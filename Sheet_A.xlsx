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4e64ecad6baa87/Desktop/my project/"/>
    </mc:Choice>
  </mc:AlternateContent>
  <xr:revisionPtr revIDLastSave="0" documentId="8_{0EC4500C-1A41-4876-841F-D4836D2ED634}" xr6:coauthVersionLast="47" xr6:coauthVersionMax="47" xr10:uidLastSave="{00000000-0000-0000-0000-000000000000}"/>
  <bookViews>
    <workbookView xWindow="-120" yWindow="-120" windowWidth="20730" windowHeight="11040" xr2:uid="{8B06E18D-8E7C-4189-912C-13A131967503}"/>
  </bookViews>
  <sheets>
    <sheet name="😎Sheet-A" sheetId="1" r:id="rId1"/>
  </sheets>
  <calcPr calcId="191029"/>
  <pivotCaches>
    <pivotCache cacheId="2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N2" i="1"/>
  <c r="I3" i="1"/>
  <c r="N3" i="1"/>
  <c r="I4" i="1"/>
  <c r="N4" i="1"/>
  <c r="I5" i="1"/>
  <c r="N5" i="1"/>
  <c r="I6" i="1"/>
  <c r="N6" i="1"/>
  <c r="I7" i="1"/>
  <c r="N7" i="1"/>
  <c r="I8" i="1"/>
  <c r="N8" i="1"/>
  <c r="I9" i="1"/>
  <c r="N9" i="1"/>
  <c r="I10" i="1"/>
  <c r="N10" i="1"/>
  <c r="I11" i="1"/>
  <c r="N11" i="1"/>
  <c r="I12" i="1"/>
  <c r="N12" i="1"/>
  <c r="I13" i="1"/>
  <c r="N13" i="1"/>
  <c r="I14" i="1"/>
  <c r="N14" i="1"/>
  <c r="I15" i="1"/>
  <c r="N15" i="1"/>
  <c r="I16" i="1"/>
  <c r="N16" i="1"/>
  <c r="I17" i="1"/>
  <c r="N17" i="1"/>
  <c r="I18" i="1"/>
  <c r="N18" i="1"/>
  <c r="I19" i="1"/>
  <c r="N19" i="1"/>
  <c r="I20" i="1"/>
  <c r="N20" i="1"/>
  <c r="I21" i="1"/>
  <c r="N21" i="1"/>
  <c r="I22" i="1"/>
  <c r="N22" i="1"/>
  <c r="I23" i="1"/>
  <c r="N23" i="1"/>
  <c r="I24" i="1"/>
  <c r="N24" i="1"/>
  <c r="I25" i="1"/>
  <c r="N25" i="1"/>
  <c r="I26" i="1"/>
  <c r="N26" i="1"/>
  <c r="I27" i="1"/>
  <c r="N27" i="1"/>
  <c r="I28" i="1"/>
  <c r="N28" i="1"/>
  <c r="I29" i="1"/>
  <c r="N29" i="1"/>
  <c r="I30" i="1"/>
  <c r="N30" i="1"/>
  <c r="I31" i="1"/>
  <c r="N31" i="1"/>
  <c r="I32" i="1"/>
  <c r="N32" i="1"/>
  <c r="I33" i="1"/>
  <c r="N33" i="1"/>
  <c r="I34" i="1"/>
  <c r="N34" i="1"/>
  <c r="I35" i="1"/>
  <c r="N35" i="1"/>
  <c r="I36" i="1"/>
  <c r="N36" i="1"/>
  <c r="I37" i="1"/>
  <c r="N37" i="1"/>
  <c r="I38" i="1"/>
  <c r="N38" i="1"/>
  <c r="I39" i="1"/>
  <c r="N39" i="1"/>
  <c r="I40" i="1"/>
  <c r="N40" i="1"/>
  <c r="I41" i="1"/>
  <c r="N41" i="1"/>
  <c r="I42" i="1"/>
  <c r="N42" i="1"/>
  <c r="I43" i="1"/>
  <c r="N43" i="1"/>
  <c r="I44" i="1"/>
  <c r="N44" i="1"/>
  <c r="I45" i="1"/>
  <c r="N45" i="1"/>
  <c r="I46" i="1"/>
  <c r="N46" i="1"/>
  <c r="I47" i="1"/>
  <c r="N47" i="1"/>
  <c r="I48" i="1"/>
  <c r="N48" i="1"/>
  <c r="I49" i="1"/>
  <c r="N49" i="1"/>
  <c r="I50" i="1"/>
  <c r="N50" i="1"/>
  <c r="I51" i="1"/>
  <c r="N51" i="1"/>
  <c r="I52" i="1"/>
  <c r="N52" i="1"/>
  <c r="I53" i="1"/>
  <c r="N53" i="1"/>
  <c r="I54" i="1"/>
  <c r="N54" i="1"/>
  <c r="I55" i="1"/>
  <c r="N55" i="1"/>
  <c r="I56" i="1"/>
  <c r="N56" i="1"/>
  <c r="I57" i="1"/>
  <c r="N57" i="1"/>
  <c r="I58" i="1"/>
  <c r="N58" i="1"/>
  <c r="I59" i="1"/>
  <c r="N59" i="1"/>
  <c r="I60" i="1"/>
  <c r="N60" i="1"/>
  <c r="I61" i="1"/>
  <c r="N61" i="1"/>
  <c r="I62" i="1"/>
  <c r="N62" i="1"/>
  <c r="I63" i="1"/>
  <c r="N63" i="1"/>
  <c r="I64" i="1"/>
  <c r="N64" i="1"/>
  <c r="I65" i="1"/>
  <c r="N65" i="1"/>
  <c r="I66" i="1"/>
  <c r="N66" i="1"/>
  <c r="I67" i="1"/>
  <c r="N67" i="1"/>
  <c r="I68" i="1"/>
  <c r="N68" i="1"/>
  <c r="I69" i="1"/>
  <c r="N69" i="1"/>
  <c r="I70" i="1"/>
  <c r="N70" i="1"/>
  <c r="I71" i="1"/>
  <c r="N71" i="1"/>
  <c r="I72" i="1"/>
  <c r="N72" i="1"/>
  <c r="I73" i="1"/>
  <c r="N73" i="1"/>
  <c r="I74" i="1"/>
  <c r="N74" i="1"/>
  <c r="I75" i="1"/>
  <c r="N75" i="1"/>
  <c r="I76" i="1"/>
  <c r="N76" i="1"/>
  <c r="I77" i="1"/>
  <c r="N77" i="1"/>
  <c r="I78" i="1"/>
  <c r="N78" i="1"/>
  <c r="I79" i="1"/>
  <c r="N79" i="1"/>
  <c r="I80" i="1"/>
  <c r="N80" i="1"/>
  <c r="I81" i="1"/>
  <c r="N81" i="1"/>
  <c r="I82" i="1"/>
  <c r="N82" i="1"/>
  <c r="I83" i="1"/>
  <c r="N83" i="1"/>
  <c r="I84" i="1"/>
  <c r="N84" i="1"/>
  <c r="I85" i="1"/>
  <c r="N85" i="1"/>
  <c r="I86" i="1"/>
  <c r="N86" i="1"/>
  <c r="I87" i="1"/>
  <c r="N87" i="1"/>
  <c r="I88" i="1"/>
  <c r="N88" i="1"/>
  <c r="I89" i="1"/>
  <c r="N89" i="1"/>
  <c r="I90" i="1"/>
  <c r="N90" i="1"/>
  <c r="I91" i="1"/>
  <c r="N91" i="1"/>
  <c r="I92" i="1"/>
  <c r="N92" i="1"/>
  <c r="I93" i="1"/>
  <c r="N93" i="1"/>
  <c r="I94" i="1"/>
  <c r="N94" i="1"/>
  <c r="I95" i="1"/>
  <c r="N95" i="1"/>
  <c r="I96" i="1"/>
  <c r="N96" i="1"/>
  <c r="I97" i="1"/>
  <c r="N97" i="1"/>
  <c r="I98" i="1"/>
  <c r="N98" i="1"/>
  <c r="I99" i="1"/>
  <c r="N99" i="1"/>
  <c r="I100" i="1"/>
  <c r="N100" i="1"/>
  <c r="I101" i="1"/>
  <c r="N101" i="1"/>
  <c r="I102" i="1"/>
  <c r="N102" i="1"/>
  <c r="I103" i="1"/>
  <c r="N103" i="1"/>
  <c r="I104" i="1"/>
  <c r="N104" i="1"/>
  <c r="I105" i="1"/>
  <c r="N105" i="1"/>
  <c r="I106" i="1"/>
  <c r="N106" i="1"/>
  <c r="I107" i="1"/>
  <c r="N107" i="1"/>
  <c r="I108" i="1"/>
  <c r="N108" i="1"/>
  <c r="I109" i="1"/>
  <c r="N109" i="1"/>
  <c r="I110" i="1"/>
  <c r="N110" i="1"/>
  <c r="I111" i="1"/>
  <c r="N111" i="1"/>
  <c r="I112" i="1"/>
  <c r="N112" i="1"/>
  <c r="I113" i="1"/>
  <c r="N113" i="1"/>
  <c r="I114" i="1"/>
  <c r="N114" i="1"/>
  <c r="I115" i="1"/>
  <c r="N115" i="1"/>
  <c r="I116" i="1"/>
  <c r="N116" i="1"/>
  <c r="I117" i="1"/>
  <c r="N117" i="1"/>
  <c r="I118" i="1"/>
  <c r="N118" i="1"/>
  <c r="I119" i="1"/>
  <c r="N119" i="1"/>
  <c r="I120" i="1"/>
  <c r="N120" i="1"/>
  <c r="I121" i="1"/>
  <c r="N121" i="1"/>
  <c r="I122" i="1"/>
  <c r="N122" i="1"/>
  <c r="I123" i="1"/>
  <c r="N123" i="1"/>
  <c r="I124" i="1"/>
  <c r="N124" i="1"/>
  <c r="I125" i="1"/>
  <c r="N125" i="1"/>
  <c r="I126" i="1"/>
  <c r="N126" i="1"/>
  <c r="I127" i="1"/>
  <c r="N127" i="1"/>
  <c r="I128" i="1"/>
  <c r="N128" i="1"/>
  <c r="I129" i="1"/>
  <c r="N129" i="1"/>
  <c r="I130" i="1"/>
  <c r="N130" i="1"/>
  <c r="I131" i="1"/>
  <c r="N131" i="1"/>
  <c r="I132" i="1"/>
  <c r="N132" i="1"/>
  <c r="I133" i="1"/>
  <c r="N133" i="1"/>
  <c r="I134" i="1"/>
  <c r="N134" i="1"/>
  <c r="I135" i="1"/>
  <c r="N135" i="1"/>
  <c r="I136" i="1"/>
  <c r="N136" i="1"/>
  <c r="I137" i="1"/>
  <c r="N137" i="1"/>
  <c r="I138" i="1"/>
  <c r="N138" i="1"/>
  <c r="I139" i="1"/>
  <c r="N139" i="1"/>
  <c r="I140" i="1"/>
  <c r="N140" i="1"/>
  <c r="I141" i="1"/>
  <c r="N141" i="1"/>
  <c r="I142" i="1"/>
  <c r="N142" i="1"/>
  <c r="I143" i="1"/>
  <c r="N143" i="1"/>
  <c r="I144" i="1"/>
  <c r="N144" i="1"/>
  <c r="I145" i="1"/>
  <c r="N145" i="1"/>
  <c r="I146" i="1"/>
  <c r="N146" i="1"/>
  <c r="I147" i="1"/>
  <c r="N147" i="1"/>
  <c r="I148" i="1"/>
  <c r="N148" i="1"/>
  <c r="I149" i="1"/>
  <c r="N149" i="1"/>
  <c r="I150" i="1"/>
  <c r="N150" i="1"/>
  <c r="I151" i="1"/>
  <c r="N151" i="1"/>
  <c r="I152" i="1"/>
  <c r="N152" i="1"/>
  <c r="I153" i="1"/>
  <c r="N153" i="1"/>
  <c r="I154" i="1"/>
  <c r="N154" i="1"/>
  <c r="I155" i="1"/>
  <c r="N155" i="1"/>
  <c r="I156" i="1"/>
  <c r="N156" i="1"/>
  <c r="I157" i="1"/>
  <c r="N157" i="1"/>
  <c r="I158" i="1"/>
  <c r="N158" i="1"/>
  <c r="I159" i="1"/>
  <c r="N159" i="1"/>
  <c r="I160" i="1"/>
  <c r="N160" i="1"/>
  <c r="I161" i="1"/>
  <c r="N161" i="1"/>
  <c r="I162" i="1"/>
  <c r="N162" i="1"/>
  <c r="I163" i="1"/>
  <c r="N163" i="1"/>
  <c r="I164" i="1"/>
  <c r="N164" i="1"/>
  <c r="I165" i="1"/>
  <c r="N165" i="1"/>
  <c r="I166" i="1"/>
  <c r="N166" i="1"/>
  <c r="I167" i="1"/>
  <c r="N167" i="1"/>
  <c r="I168" i="1"/>
  <c r="N168" i="1"/>
  <c r="I169" i="1"/>
  <c r="N169" i="1"/>
  <c r="I170" i="1"/>
  <c r="N170" i="1"/>
  <c r="I171" i="1"/>
  <c r="N171" i="1"/>
  <c r="I172" i="1"/>
  <c r="N172" i="1"/>
  <c r="I173" i="1"/>
  <c r="N173" i="1"/>
  <c r="I174" i="1"/>
  <c r="N174" i="1"/>
  <c r="I175" i="1"/>
  <c r="N175" i="1"/>
  <c r="I176" i="1"/>
  <c r="N176" i="1"/>
  <c r="I177" i="1"/>
  <c r="N177" i="1"/>
  <c r="I178" i="1"/>
  <c r="N178" i="1"/>
  <c r="I179" i="1"/>
  <c r="N179" i="1"/>
  <c r="I180" i="1"/>
  <c r="N180" i="1"/>
  <c r="I181" i="1"/>
  <c r="N181" i="1"/>
  <c r="I182" i="1"/>
  <c r="N182" i="1"/>
  <c r="I183" i="1"/>
  <c r="N183" i="1"/>
  <c r="I184" i="1"/>
  <c r="N184" i="1"/>
  <c r="I185" i="1"/>
  <c r="N185" i="1"/>
  <c r="I186" i="1"/>
  <c r="N186" i="1"/>
  <c r="I187" i="1"/>
  <c r="N187" i="1"/>
  <c r="I188" i="1"/>
  <c r="N188" i="1"/>
  <c r="I189" i="1"/>
  <c r="N189" i="1"/>
  <c r="I190" i="1"/>
  <c r="N190" i="1"/>
  <c r="I191" i="1"/>
  <c r="N191" i="1"/>
  <c r="I192" i="1"/>
  <c r="N192" i="1"/>
  <c r="I193" i="1"/>
  <c r="N193" i="1"/>
  <c r="I194" i="1"/>
  <c r="N194" i="1"/>
  <c r="I195" i="1"/>
  <c r="N195" i="1"/>
  <c r="I196" i="1"/>
  <c r="N196" i="1"/>
  <c r="I197" i="1"/>
  <c r="N197" i="1"/>
  <c r="I198" i="1"/>
  <c r="N198" i="1"/>
  <c r="I199" i="1"/>
  <c r="N199" i="1"/>
  <c r="I200" i="1"/>
  <c r="N200" i="1"/>
  <c r="I201" i="1"/>
  <c r="N201" i="1"/>
  <c r="I202" i="1"/>
  <c r="N202" i="1"/>
  <c r="I203" i="1"/>
  <c r="N203" i="1"/>
  <c r="I204" i="1"/>
  <c r="N204" i="1"/>
  <c r="I205" i="1"/>
  <c r="N205" i="1"/>
  <c r="I206" i="1"/>
  <c r="N206" i="1"/>
  <c r="I207" i="1"/>
  <c r="N207" i="1"/>
  <c r="I208" i="1"/>
  <c r="N208" i="1"/>
  <c r="I209" i="1"/>
  <c r="N209" i="1"/>
  <c r="I210" i="1"/>
  <c r="N210" i="1"/>
  <c r="I211" i="1"/>
  <c r="N211" i="1"/>
  <c r="I212" i="1"/>
  <c r="N212" i="1"/>
  <c r="I213" i="1"/>
  <c r="N213" i="1"/>
  <c r="I214" i="1"/>
  <c r="N214" i="1"/>
  <c r="I215" i="1"/>
  <c r="N215" i="1"/>
  <c r="I216" i="1"/>
  <c r="N216" i="1"/>
  <c r="I217" i="1"/>
  <c r="N217" i="1"/>
  <c r="I218" i="1"/>
  <c r="N218" i="1"/>
  <c r="I219" i="1"/>
  <c r="N219" i="1"/>
  <c r="I220" i="1"/>
  <c r="N220" i="1"/>
  <c r="I221" i="1"/>
  <c r="N221" i="1"/>
  <c r="I222" i="1"/>
  <c r="N222" i="1"/>
  <c r="I223" i="1"/>
  <c r="N223" i="1"/>
  <c r="I224" i="1"/>
  <c r="N224" i="1"/>
  <c r="I225" i="1"/>
  <c r="N225" i="1"/>
  <c r="I226" i="1"/>
  <c r="N226" i="1"/>
  <c r="I227" i="1"/>
  <c r="N227" i="1"/>
  <c r="I228" i="1"/>
  <c r="N228" i="1"/>
  <c r="I229" i="1"/>
  <c r="N229" i="1"/>
  <c r="I230" i="1"/>
  <c r="N230" i="1"/>
  <c r="I231" i="1"/>
  <c r="N231" i="1"/>
  <c r="I232" i="1"/>
  <c r="N232" i="1"/>
  <c r="I233" i="1"/>
  <c r="N233" i="1"/>
  <c r="I234" i="1"/>
  <c r="N234" i="1"/>
  <c r="I235" i="1"/>
  <c r="N235" i="1"/>
  <c r="I236" i="1"/>
  <c r="N236" i="1"/>
  <c r="I237" i="1"/>
  <c r="N237" i="1"/>
  <c r="I238" i="1"/>
  <c r="N238" i="1"/>
  <c r="I239" i="1"/>
  <c r="N239" i="1"/>
  <c r="I240" i="1"/>
  <c r="N240" i="1"/>
  <c r="I241" i="1"/>
  <c r="N241" i="1"/>
  <c r="I242" i="1"/>
  <c r="N242" i="1"/>
  <c r="I243" i="1"/>
  <c r="N243" i="1"/>
  <c r="I244" i="1"/>
  <c r="N244" i="1"/>
  <c r="I245" i="1"/>
  <c r="N245" i="1"/>
  <c r="I246" i="1"/>
  <c r="N246" i="1"/>
  <c r="I247" i="1"/>
  <c r="N247" i="1"/>
  <c r="I248" i="1"/>
  <c r="N248" i="1"/>
  <c r="I249" i="1"/>
  <c r="N249" i="1"/>
  <c r="I250" i="1"/>
  <c r="N250" i="1"/>
  <c r="I251" i="1"/>
  <c r="N251" i="1"/>
  <c r="I252" i="1"/>
  <c r="N252" i="1"/>
  <c r="I253" i="1"/>
  <c r="N253" i="1"/>
  <c r="I254" i="1"/>
  <c r="N254" i="1"/>
  <c r="I255" i="1"/>
  <c r="N255" i="1"/>
  <c r="I256" i="1"/>
  <c r="N256" i="1"/>
  <c r="I257" i="1"/>
  <c r="N257" i="1"/>
  <c r="I258" i="1"/>
  <c r="N258" i="1"/>
  <c r="I259" i="1"/>
  <c r="N259" i="1"/>
  <c r="I260" i="1"/>
  <c r="N260" i="1"/>
  <c r="I261" i="1"/>
  <c r="N261" i="1"/>
  <c r="I262" i="1"/>
  <c r="N262" i="1"/>
  <c r="I263" i="1"/>
  <c r="N263" i="1"/>
  <c r="I264" i="1"/>
  <c r="N264" i="1"/>
  <c r="I265" i="1"/>
  <c r="N265" i="1"/>
  <c r="I266" i="1"/>
  <c r="N266" i="1"/>
  <c r="I267" i="1"/>
  <c r="N267" i="1"/>
  <c r="I268" i="1"/>
  <c r="N268" i="1"/>
  <c r="I269" i="1"/>
  <c r="N269" i="1"/>
  <c r="I270" i="1"/>
  <c r="N270" i="1"/>
  <c r="I271" i="1"/>
  <c r="N271" i="1"/>
  <c r="I272" i="1"/>
  <c r="N272" i="1"/>
  <c r="I273" i="1"/>
  <c r="N273" i="1"/>
  <c r="I274" i="1"/>
  <c r="N274" i="1"/>
  <c r="I275" i="1"/>
  <c r="N275" i="1"/>
  <c r="I276" i="1"/>
  <c r="N276" i="1"/>
  <c r="I277" i="1"/>
  <c r="N277" i="1"/>
  <c r="I278" i="1"/>
  <c r="N278" i="1"/>
  <c r="I279" i="1"/>
  <c r="N279" i="1"/>
  <c r="I280" i="1"/>
  <c r="N280" i="1"/>
  <c r="I281" i="1"/>
  <c r="N281" i="1"/>
  <c r="I282" i="1"/>
  <c r="N282" i="1"/>
  <c r="I283" i="1"/>
  <c r="N283" i="1"/>
  <c r="I284" i="1"/>
  <c r="N284" i="1"/>
  <c r="I285" i="1"/>
  <c r="N285" i="1"/>
  <c r="I286" i="1"/>
  <c r="N286" i="1"/>
  <c r="I287" i="1"/>
  <c r="N287" i="1"/>
  <c r="I288" i="1"/>
  <c r="N288" i="1"/>
  <c r="I289" i="1"/>
  <c r="N289" i="1"/>
  <c r="I290" i="1"/>
  <c r="N290" i="1"/>
  <c r="I291" i="1"/>
  <c r="N291" i="1"/>
  <c r="I292" i="1"/>
  <c r="N292" i="1"/>
  <c r="I293" i="1"/>
  <c r="N293" i="1"/>
  <c r="I294" i="1"/>
  <c r="N294" i="1"/>
  <c r="I295" i="1"/>
  <c r="N295" i="1"/>
  <c r="I296" i="1"/>
  <c r="N296" i="1"/>
  <c r="I297" i="1"/>
  <c r="N297" i="1"/>
  <c r="I298" i="1"/>
  <c r="N298" i="1"/>
  <c r="I299" i="1"/>
  <c r="N299" i="1"/>
  <c r="I300" i="1"/>
  <c r="N300" i="1"/>
  <c r="I301" i="1"/>
  <c r="N301" i="1"/>
  <c r="I302" i="1"/>
  <c r="N302" i="1"/>
  <c r="I303" i="1"/>
  <c r="N303" i="1"/>
  <c r="I304" i="1"/>
  <c r="N304" i="1"/>
  <c r="I305" i="1"/>
  <c r="N305" i="1"/>
  <c r="I306" i="1"/>
  <c r="N306" i="1"/>
  <c r="I307" i="1"/>
  <c r="N307" i="1"/>
  <c r="I308" i="1"/>
  <c r="N308" i="1"/>
  <c r="I309" i="1"/>
  <c r="N309" i="1"/>
  <c r="I310" i="1"/>
  <c r="N310" i="1"/>
  <c r="I311" i="1"/>
  <c r="N311" i="1"/>
  <c r="I312" i="1"/>
  <c r="N312" i="1"/>
  <c r="I313" i="1"/>
  <c r="N313" i="1"/>
  <c r="I314" i="1"/>
  <c r="N314" i="1"/>
  <c r="I315" i="1"/>
  <c r="N315" i="1"/>
  <c r="I316" i="1"/>
  <c r="N316" i="1"/>
  <c r="I317" i="1"/>
  <c r="N317" i="1"/>
  <c r="I318" i="1"/>
  <c r="N318" i="1"/>
  <c r="I319" i="1"/>
  <c r="N319" i="1"/>
  <c r="I320" i="1"/>
  <c r="N320" i="1"/>
  <c r="I321" i="1"/>
  <c r="N321" i="1"/>
  <c r="I322" i="1"/>
  <c r="N322" i="1"/>
  <c r="I323" i="1"/>
  <c r="N323" i="1"/>
  <c r="I324" i="1"/>
  <c r="N324" i="1"/>
  <c r="I325" i="1"/>
  <c r="N325" i="1"/>
  <c r="I326" i="1"/>
  <c r="N326" i="1"/>
  <c r="I327" i="1"/>
  <c r="N327" i="1"/>
  <c r="I328" i="1"/>
  <c r="N328" i="1"/>
  <c r="I329" i="1"/>
  <c r="N329" i="1"/>
  <c r="I330" i="1"/>
  <c r="N330" i="1"/>
  <c r="I331" i="1"/>
  <c r="N331" i="1"/>
  <c r="I332" i="1"/>
  <c r="N332" i="1"/>
  <c r="I333" i="1"/>
  <c r="N333" i="1"/>
  <c r="I334" i="1"/>
  <c r="N334" i="1"/>
  <c r="I335" i="1"/>
  <c r="N335" i="1"/>
  <c r="I336" i="1"/>
  <c r="N336" i="1"/>
  <c r="I337" i="1"/>
  <c r="N337" i="1"/>
  <c r="I338" i="1"/>
  <c r="N338" i="1"/>
  <c r="I339" i="1"/>
  <c r="N339" i="1"/>
  <c r="I340" i="1"/>
  <c r="N340" i="1"/>
  <c r="I341" i="1"/>
  <c r="N341" i="1"/>
  <c r="I342" i="1"/>
  <c r="N342" i="1"/>
  <c r="I343" i="1"/>
  <c r="N343" i="1"/>
  <c r="I344" i="1"/>
  <c r="N344" i="1"/>
  <c r="I345" i="1"/>
  <c r="N345" i="1"/>
  <c r="I346" i="1"/>
  <c r="N346" i="1"/>
  <c r="I347" i="1"/>
  <c r="N347" i="1"/>
  <c r="I348" i="1"/>
  <c r="N348" i="1"/>
  <c r="I349" i="1"/>
  <c r="N349" i="1"/>
  <c r="I350" i="1"/>
  <c r="N350" i="1"/>
  <c r="I351" i="1"/>
  <c r="N351" i="1"/>
  <c r="I352" i="1"/>
  <c r="N352" i="1"/>
  <c r="I353" i="1"/>
  <c r="N353" i="1"/>
  <c r="I354" i="1"/>
  <c r="N354" i="1"/>
  <c r="I355" i="1"/>
  <c r="N355" i="1"/>
  <c r="I356" i="1"/>
  <c r="N356" i="1"/>
  <c r="I357" i="1"/>
  <c r="N357" i="1"/>
  <c r="I358" i="1"/>
  <c r="N358" i="1"/>
  <c r="I359" i="1"/>
  <c r="N359" i="1"/>
  <c r="I360" i="1"/>
  <c r="N360" i="1"/>
  <c r="I361" i="1"/>
  <c r="N361" i="1"/>
  <c r="I362" i="1"/>
  <c r="N362" i="1"/>
  <c r="I363" i="1"/>
  <c r="N363" i="1"/>
  <c r="I364" i="1"/>
  <c r="N364" i="1"/>
  <c r="I365" i="1"/>
  <c r="N365" i="1"/>
  <c r="I366" i="1"/>
  <c r="N366" i="1"/>
  <c r="I367" i="1"/>
  <c r="N367" i="1"/>
  <c r="I368" i="1"/>
  <c r="N368" i="1"/>
  <c r="I369" i="1"/>
  <c r="N369" i="1"/>
  <c r="I370" i="1"/>
  <c r="N370" i="1"/>
  <c r="I371" i="1"/>
  <c r="N371" i="1"/>
  <c r="I372" i="1"/>
  <c r="N372" i="1"/>
  <c r="I373" i="1"/>
  <c r="N373" i="1"/>
  <c r="I374" i="1"/>
  <c r="N374" i="1"/>
  <c r="I375" i="1"/>
  <c r="N375" i="1"/>
  <c r="I376" i="1"/>
  <c r="N376" i="1"/>
  <c r="I377" i="1"/>
  <c r="N377" i="1"/>
  <c r="I378" i="1"/>
  <c r="N378" i="1"/>
  <c r="I379" i="1"/>
  <c r="N379" i="1"/>
  <c r="I380" i="1"/>
  <c r="N380" i="1"/>
  <c r="I381" i="1"/>
  <c r="N381" i="1"/>
  <c r="I382" i="1"/>
  <c r="N382" i="1"/>
  <c r="I383" i="1"/>
  <c r="N383" i="1"/>
  <c r="I384" i="1"/>
  <c r="N384" i="1"/>
  <c r="I385" i="1"/>
  <c r="N385" i="1"/>
  <c r="I386" i="1"/>
  <c r="N386" i="1"/>
  <c r="I387" i="1"/>
  <c r="N387" i="1"/>
  <c r="I388" i="1"/>
  <c r="N388" i="1"/>
  <c r="I389" i="1"/>
  <c r="N389" i="1"/>
  <c r="I390" i="1"/>
  <c r="N390" i="1"/>
  <c r="I391" i="1"/>
  <c r="N391" i="1"/>
  <c r="I392" i="1"/>
  <c r="N392" i="1"/>
  <c r="I393" i="1"/>
  <c r="N393" i="1"/>
  <c r="I394" i="1"/>
  <c r="N394" i="1"/>
  <c r="I395" i="1"/>
  <c r="N395" i="1"/>
  <c r="I396" i="1"/>
  <c r="N396" i="1"/>
  <c r="I397" i="1"/>
  <c r="N397" i="1"/>
  <c r="I398" i="1"/>
  <c r="N398" i="1"/>
  <c r="I399" i="1"/>
  <c r="N399" i="1"/>
  <c r="I400" i="1"/>
  <c r="N400" i="1"/>
  <c r="I401" i="1"/>
  <c r="N401" i="1"/>
  <c r="I402" i="1"/>
  <c r="N402" i="1"/>
  <c r="I403" i="1"/>
  <c r="N403" i="1"/>
  <c r="I404" i="1"/>
  <c r="N404" i="1"/>
  <c r="I405" i="1"/>
  <c r="N405" i="1"/>
  <c r="I406" i="1"/>
  <c r="N406" i="1"/>
  <c r="I407" i="1"/>
  <c r="N407" i="1"/>
  <c r="I408" i="1"/>
  <c r="N408" i="1"/>
  <c r="I409" i="1"/>
  <c r="N409" i="1"/>
  <c r="I410" i="1"/>
  <c r="N410" i="1"/>
  <c r="I411" i="1"/>
  <c r="N411" i="1"/>
  <c r="I412" i="1"/>
  <c r="N412" i="1"/>
  <c r="I413" i="1"/>
  <c r="N413" i="1"/>
  <c r="I414" i="1"/>
  <c r="N414" i="1"/>
  <c r="I415" i="1"/>
  <c r="N415" i="1"/>
  <c r="I416" i="1"/>
  <c r="N416" i="1"/>
  <c r="I417" i="1"/>
  <c r="N417" i="1"/>
  <c r="I418" i="1"/>
  <c r="N418" i="1"/>
  <c r="I419" i="1"/>
  <c r="N419" i="1"/>
  <c r="I420" i="1"/>
  <c r="N420" i="1"/>
  <c r="I421" i="1"/>
  <c r="N421" i="1"/>
  <c r="I422" i="1"/>
  <c r="N422" i="1"/>
  <c r="I423" i="1"/>
  <c r="N423" i="1"/>
  <c r="I424" i="1"/>
  <c r="N424" i="1"/>
  <c r="I425" i="1"/>
  <c r="N425" i="1"/>
  <c r="I426" i="1"/>
  <c r="N426" i="1"/>
  <c r="I427" i="1"/>
  <c r="N427" i="1"/>
  <c r="I428" i="1"/>
  <c r="N428" i="1"/>
  <c r="I429" i="1"/>
  <c r="N429" i="1"/>
  <c r="I430" i="1"/>
  <c r="N430" i="1"/>
  <c r="I431" i="1"/>
  <c r="N431" i="1"/>
  <c r="I432" i="1"/>
  <c r="N432" i="1"/>
  <c r="I433" i="1"/>
  <c r="N433" i="1"/>
  <c r="I434" i="1"/>
  <c r="N434" i="1"/>
  <c r="I435" i="1"/>
  <c r="N435" i="1"/>
  <c r="I436" i="1"/>
  <c r="N436" i="1"/>
  <c r="I437" i="1"/>
  <c r="N437" i="1"/>
  <c r="I438" i="1"/>
  <c r="N438" i="1"/>
  <c r="I439" i="1"/>
  <c r="N439" i="1"/>
  <c r="I440" i="1"/>
  <c r="N440" i="1"/>
  <c r="I441" i="1"/>
  <c r="N441" i="1"/>
  <c r="I442" i="1"/>
  <c r="N442" i="1"/>
  <c r="I443" i="1"/>
  <c r="N443" i="1"/>
  <c r="I444" i="1"/>
  <c r="N444" i="1"/>
  <c r="I445" i="1"/>
  <c r="N445" i="1"/>
  <c r="I446" i="1"/>
  <c r="N446" i="1"/>
  <c r="I447" i="1"/>
  <c r="N447" i="1"/>
  <c r="I448" i="1"/>
  <c r="N448" i="1"/>
  <c r="I449" i="1"/>
  <c r="N449" i="1"/>
  <c r="I450" i="1"/>
  <c r="N450" i="1"/>
  <c r="I451" i="1"/>
  <c r="N451" i="1"/>
  <c r="I452" i="1"/>
  <c r="N452" i="1"/>
  <c r="I453" i="1"/>
  <c r="N453" i="1"/>
  <c r="I454" i="1"/>
  <c r="N454" i="1"/>
  <c r="I455" i="1"/>
  <c r="N455" i="1"/>
  <c r="I456" i="1"/>
  <c r="N456" i="1"/>
  <c r="I457" i="1"/>
  <c r="N457" i="1"/>
  <c r="I458" i="1"/>
  <c r="N458" i="1"/>
  <c r="I459" i="1"/>
  <c r="N459" i="1"/>
  <c r="I460" i="1"/>
  <c r="N460" i="1"/>
  <c r="I461" i="1"/>
  <c r="N461" i="1"/>
  <c r="I462" i="1"/>
  <c r="N462" i="1"/>
  <c r="I463" i="1"/>
  <c r="N463" i="1"/>
  <c r="I464" i="1"/>
  <c r="N464" i="1"/>
  <c r="I465" i="1"/>
  <c r="N465" i="1"/>
  <c r="I466" i="1"/>
  <c r="N466" i="1"/>
  <c r="I467" i="1"/>
  <c r="N467" i="1"/>
  <c r="I468" i="1"/>
  <c r="N468" i="1"/>
  <c r="I469" i="1"/>
  <c r="N469" i="1"/>
  <c r="I470" i="1"/>
  <c r="N470" i="1"/>
  <c r="I471" i="1"/>
  <c r="N471" i="1"/>
  <c r="I472" i="1"/>
  <c r="N472" i="1"/>
  <c r="I473" i="1"/>
  <c r="N473" i="1"/>
  <c r="I474" i="1"/>
  <c r="N474" i="1"/>
  <c r="I475" i="1"/>
  <c r="N475" i="1"/>
  <c r="I476" i="1"/>
  <c r="N476" i="1"/>
  <c r="I477" i="1"/>
  <c r="N477" i="1"/>
  <c r="I478" i="1"/>
  <c r="N478" i="1"/>
  <c r="I479" i="1"/>
  <c r="N479" i="1"/>
  <c r="I480" i="1"/>
  <c r="N480" i="1"/>
  <c r="I481" i="1"/>
  <c r="N481" i="1"/>
  <c r="I482" i="1"/>
  <c r="N482" i="1"/>
  <c r="I483" i="1"/>
  <c r="N483" i="1"/>
  <c r="I484" i="1"/>
  <c r="N484" i="1"/>
  <c r="I485" i="1"/>
  <c r="N485" i="1"/>
  <c r="I486" i="1"/>
  <c r="N486" i="1"/>
  <c r="I487" i="1"/>
  <c r="N487" i="1"/>
  <c r="I488" i="1"/>
  <c r="N488" i="1"/>
  <c r="I489" i="1"/>
  <c r="N489" i="1"/>
  <c r="I490" i="1"/>
  <c r="N490" i="1"/>
  <c r="I491" i="1"/>
  <c r="N491" i="1"/>
  <c r="I492" i="1"/>
  <c r="N492" i="1"/>
  <c r="I493" i="1"/>
  <c r="N493" i="1"/>
  <c r="I494" i="1"/>
  <c r="N494" i="1"/>
  <c r="I495" i="1"/>
  <c r="N495" i="1"/>
  <c r="I496" i="1"/>
  <c r="N496" i="1"/>
  <c r="I497" i="1"/>
  <c r="N497" i="1"/>
  <c r="I498" i="1"/>
  <c r="N498" i="1"/>
  <c r="I499" i="1"/>
  <c r="N499" i="1"/>
  <c r="I500" i="1"/>
  <c r="N500" i="1"/>
  <c r="I501" i="1"/>
  <c r="N501" i="1"/>
  <c r="I502" i="1"/>
  <c r="N502" i="1"/>
  <c r="I503" i="1"/>
  <c r="N503" i="1"/>
  <c r="I504" i="1"/>
  <c r="N504" i="1"/>
  <c r="I505" i="1"/>
  <c r="N505" i="1"/>
  <c r="I506" i="1"/>
  <c r="N506" i="1"/>
  <c r="I507" i="1"/>
  <c r="N507" i="1"/>
  <c r="I508" i="1"/>
  <c r="N508" i="1"/>
  <c r="I509" i="1"/>
  <c r="N509" i="1"/>
  <c r="I510" i="1"/>
  <c r="N510" i="1"/>
  <c r="I511" i="1"/>
  <c r="N511" i="1"/>
  <c r="I512" i="1"/>
  <c r="N512" i="1"/>
  <c r="I513" i="1"/>
  <c r="N513" i="1"/>
  <c r="I514" i="1"/>
  <c r="N514" i="1"/>
  <c r="I515" i="1"/>
  <c r="N515" i="1"/>
  <c r="I516" i="1"/>
  <c r="N516" i="1"/>
  <c r="I517" i="1"/>
  <c r="N517" i="1"/>
  <c r="I518" i="1"/>
  <c r="N518" i="1"/>
  <c r="I519" i="1"/>
  <c r="N519" i="1"/>
  <c r="I520" i="1"/>
  <c r="N520" i="1"/>
  <c r="I521" i="1"/>
  <c r="N521" i="1"/>
  <c r="I522" i="1"/>
  <c r="N522" i="1"/>
  <c r="I523" i="1"/>
  <c r="N523" i="1"/>
  <c r="I524" i="1"/>
  <c r="N524" i="1"/>
  <c r="I525" i="1"/>
  <c r="N525" i="1"/>
  <c r="I526" i="1"/>
  <c r="N526" i="1"/>
  <c r="I527" i="1"/>
  <c r="N527" i="1"/>
  <c r="I528" i="1"/>
  <c r="N528" i="1"/>
  <c r="I529" i="1"/>
  <c r="N529" i="1"/>
  <c r="I530" i="1"/>
  <c r="N530" i="1"/>
  <c r="I531" i="1"/>
  <c r="N531" i="1"/>
  <c r="I532" i="1"/>
  <c r="N532" i="1"/>
  <c r="I533" i="1"/>
  <c r="N533" i="1"/>
  <c r="I534" i="1"/>
  <c r="N534" i="1"/>
  <c r="I535" i="1"/>
  <c r="N535" i="1"/>
  <c r="I536" i="1"/>
  <c r="N536" i="1"/>
  <c r="I537" i="1"/>
  <c r="N537" i="1"/>
  <c r="I538" i="1"/>
  <c r="N538" i="1"/>
  <c r="I539" i="1"/>
  <c r="N539" i="1"/>
  <c r="I540" i="1"/>
  <c r="N540" i="1"/>
  <c r="I541" i="1"/>
  <c r="N541" i="1"/>
  <c r="I542" i="1"/>
  <c r="N542" i="1"/>
  <c r="I543" i="1"/>
  <c r="N543" i="1"/>
  <c r="I544" i="1"/>
  <c r="N544" i="1"/>
  <c r="I545" i="1"/>
  <c r="N545" i="1"/>
  <c r="I546" i="1"/>
  <c r="N546" i="1"/>
  <c r="I547" i="1"/>
  <c r="N547" i="1"/>
  <c r="I548" i="1"/>
  <c r="N548" i="1"/>
  <c r="I549" i="1"/>
  <c r="N549" i="1"/>
  <c r="I550" i="1"/>
  <c r="N550" i="1"/>
  <c r="I551" i="1"/>
  <c r="N551" i="1"/>
  <c r="I552" i="1"/>
  <c r="N552" i="1"/>
  <c r="I553" i="1"/>
  <c r="N553" i="1"/>
  <c r="I554" i="1"/>
  <c r="N554" i="1"/>
  <c r="I555" i="1"/>
  <c r="N555" i="1"/>
  <c r="I556" i="1"/>
  <c r="N556" i="1"/>
  <c r="I557" i="1"/>
  <c r="N557" i="1"/>
  <c r="I558" i="1"/>
  <c r="N558" i="1"/>
  <c r="I559" i="1"/>
  <c r="N559" i="1"/>
  <c r="I560" i="1"/>
  <c r="N560" i="1"/>
  <c r="I561" i="1"/>
  <c r="N561" i="1"/>
  <c r="I562" i="1"/>
  <c r="N562" i="1"/>
  <c r="I563" i="1"/>
  <c r="N563" i="1"/>
  <c r="I564" i="1"/>
  <c r="N564" i="1"/>
  <c r="I565" i="1"/>
  <c r="N565" i="1"/>
  <c r="I566" i="1"/>
  <c r="N566" i="1"/>
  <c r="I567" i="1"/>
  <c r="N567" i="1"/>
  <c r="I568" i="1"/>
  <c r="N568" i="1"/>
  <c r="I569" i="1"/>
  <c r="N569" i="1"/>
  <c r="I570" i="1"/>
  <c r="N570" i="1"/>
  <c r="I571" i="1"/>
  <c r="N571" i="1"/>
  <c r="I572" i="1"/>
  <c r="N572" i="1"/>
  <c r="I573" i="1"/>
  <c r="N573" i="1"/>
  <c r="I574" i="1"/>
  <c r="N574" i="1"/>
  <c r="I575" i="1"/>
  <c r="N575" i="1"/>
  <c r="I576" i="1"/>
  <c r="N576" i="1"/>
  <c r="I577" i="1"/>
  <c r="N577" i="1"/>
  <c r="I578" i="1"/>
  <c r="N578" i="1"/>
  <c r="I579" i="1"/>
  <c r="N579" i="1"/>
  <c r="I580" i="1"/>
  <c r="N580" i="1"/>
  <c r="I581" i="1"/>
  <c r="N581" i="1"/>
  <c r="I582" i="1"/>
  <c r="N582" i="1"/>
  <c r="I583" i="1"/>
  <c r="N583" i="1"/>
  <c r="I584" i="1"/>
  <c r="N584" i="1"/>
  <c r="I585" i="1"/>
  <c r="N585" i="1"/>
  <c r="I586" i="1"/>
  <c r="N586" i="1"/>
  <c r="I587" i="1"/>
  <c r="N587" i="1"/>
  <c r="I588" i="1"/>
  <c r="N588" i="1"/>
  <c r="I589" i="1"/>
  <c r="N589" i="1"/>
  <c r="I590" i="1"/>
  <c r="N590" i="1"/>
  <c r="I591" i="1"/>
  <c r="N591" i="1"/>
  <c r="I592" i="1"/>
  <c r="N592" i="1"/>
  <c r="I593" i="1"/>
  <c r="N593" i="1"/>
  <c r="I594" i="1"/>
  <c r="N594" i="1"/>
  <c r="I595" i="1"/>
  <c r="N595" i="1"/>
  <c r="I596" i="1"/>
  <c r="N596" i="1"/>
  <c r="I597" i="1"/>
  <c r="N597" i="1"/>
  <c r="I598" i="1"/>
  <c r="N598" i="1"/>
  <c r="I599" i="1"/>
  <c r="N599" i="1"/>
  <c r="I600" i="1"/>
  <c r="N600" i="1"/>
  <c r="I601" i="1"/>
  <c r="N601" i="1"/>
  <c r="I602" i="1"/>
  <c r="N602" i="1"/>
  <c r="I603" i="1"/>
  <c r="N603" i="1"/>
  <c r="I604" i="1"/>
  <c r="N604" i="1"/>
  <c r="I605" i="1"/>
  <c r="N605" i="1"/>
  <c r="I606" i="1"/>
  <c r="N606" i="1"/>
  <c r="I607" i="1"/>
  <c r="N607" i="1"/>
  <c r="I608" i="1"/>
  <c r="N608" i="1"/>
  <c r="I609" i="1"/>
  <c r="N609" i="1"/>
  <c r="I610" i="1"/>
  <c r="N610" i="1"/>
  <c r="I611" i="1"/>
  <c r="N611" i="1"/>
</calcChain>
</file>

<file path=xl/sharedStrings.xml><?xml version="1.0" encoding="utf-8"?>
<sst xmlns="http://schemas.openxmlformats.org/spreadsheetml/2006/main" count="43" uniqueCount="32">
  <si>
    <t>Grand Total</t>
  </si>
  <si>
    <t>Humid</t>
  </si>
  <si>
    <t>High Humid</t>
  </si>
  <si>
    <t>Saturday</t>
  </si>
  <si>
    <t>Friday</t>
  </si>
  <si>
    <t>Thursday</t>
  </si>
  <si>
    <t>Wednesday</t>
  </si>
  <si>
    <t>Tuesday</t>
  </si>
  <si>
    <t>Monday</t>
  </si>
  <si>
    <t>Sunday</t>
  </si>
  <si>
    <t>Sum of casual</t>
  </si>
  <si>
    <t>Sum of cnt</t>
  </si>
  <si>
    <t>Sum of registered</t>
  </si>
  <si>
    <t>Row Labels</t>
  </si>
  <si>
    <t>cnt</t>
  </si>
  <si>
    <t>registered</t>
  </si>
  <si>
    <t>casual</t>
  </si>
  <si>
    <t>windspeed</t>
  </si>
  <si>
    <t>Humidity</t>
  </si>
  <si>
    <t>hum</t>
  </si>
  <si>
    <t>atemp</t>
  </si>
  <si>
    <t>temp</t>
  </si>
  <si>
    <t>weathersit</t>
  </si>
  <si>
    <t>Week By Days</t>
  </si>
  <si>
    <t>weekday</t>
  </si>
  <si>
    <t>holiday</t>
  </si>
  <si>
    <t>hr</t>
  </si>
  <si>
    <t>mnth</t>
  </si>
  <si>
    <t>yr</t>
  </si>
  <si>
    <t>season</t>
  </si>
  <si>
    <t>dteday</t>
  </si>
  <si>
    <t>instant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</si>
</sst>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Bahnschrift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horizontal="left" indent="1"/>
    </xf>
    <xf numFmtId="0" fontId="0" fillId="0" borderId="0" xfId="0" pivotButton="1"/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14" fontId="1" fillId="2" borderId="0" xfId="0" applyNumberFormat="1" applyFont="1" applyFill="1" applyAlignment="1">
      <alignment horizontal="center" vertical="top"/>
    </xf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[Sheet_A.xlsx]😎Sheet-A!PivotTable6</c:name>
    <c:fmtId val="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'😎Sheet-A'!$U$3</c:f>
              <c:strCache>
                <c:ptCount val="1"/>
                <c:pt idx="0">
                  <c:v>Sum of registered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'😎Sheet-A'!$T$4:$T$24</c:f>
              <c:multiLvlStrCache>
                <c:ptCount val="13"/>
                <c:lvl>
                  <c:pt idx="0">
                    <c:v>High Humid</c:v>
                  </c:pt>
                  <c:pt idx="1">
                    <c:v>Humid</c:v>
                  </c:pt>
                  <c:pt idx="2">
                    <c:v>High Humid</c:v>
                  </c:pt>
                  <c:pt idx="3">
                    <c:v>Humid</c:v>
                  </c:pt>
                  <c:pt idx="4">
                    <c:v>High Humid</c:v>
                  </c:pt>
                  <c:pt idx="5">
                    <c:v>Humid</c:v>
                  </c:pt>
                  <c:pt idx="6">
                    <c:v>High Humid</c:v>
                  </c:pt>
                  <c:pt idx="7">
                    <c:v>Humid</c:v>
                  </c:pt>
                  <c:pt idx="8">
                    <c:v>High Humid</c:v>
                  </c:pt>
                  <c:pt idx="9">
                    <c:v>Humid</c:v>
                  </c:pt>
                  <c:pt idx="10">
                    <c:v>Humid</c:v>
                  </c:pt>
                  <c:pt idx="11">
                    <c:v>High Humid</c:v>
                  </c:pt>
                  <c:pt idx="12">
                    <c:v>Humid</c:v>
                  </c:pt>
                </c:lvl>
                <c:lvl>
                  <c:pt idx="0">
                    <c:v>Sunday</c:v>
                  </c:pt>
                  <c:pt idx="2">
                    <c:v>Monday</c:v>
                  </c:pt>
                  <c:pt idx="4">
                    <c:v>Tuesday</c:v>
                  </c:pt>
                  <c:pt idx="6">
                    <c:v>Wednesday</c:v>
                  </c:pt>
                  <c:pt idx="8">
                    <c:v>Thursday</c:v>
                  </c:pt>
                  <c:pt idx="10">
                    <c:v>Friday</c:v>
                  </c:pt>
                  <c:pt idx="11">
                    <c:v>Saturday</c:v>
                  </c:pt>
                </c:lvl>
              </c:multiLvlStrCache>
            </c:multiLvlStrRef>
          </c:cat>
          <c:val>
            <c:numRef>
              <c:f>'😎Sheet-A'!$U$4:$U$24</c:f>
              <c:numCache>
                <c:formatCode>General</c:formatCode>
                <c:ptCount val="13"/>
                <c:pt idx="0">
                  <c:v>338</c:v>
                </c:pt>
                <c:pt idx="1">
                  <c:v>3121</c:v>
                </c:pt>
                <c:pt idx="2">
                  <c:v>143</c:v>
                </c:pt>
                <c:pt idx="3">
                  <c:v>3084</c:v>
                </c:pt>
                <c:pt idx="4">
                  <c:v>16</c:v>
                </c:pt>
                <c:pt idx="5">
                  <c:v>4706</c:v>
                </c:pt>
                <c:pt idx="6">
                  <c:v>863</c:v>
                </c:pt>
                <c:pt idx="7">
                  <c:v>4284</c:v>
                </c:pt>
                <c:pt idx="8">
                  <c:v>1083</c:v>
                </c:pt>
                <c:pt idx="9">
                  <c:v>3616</c:v>
                </c:pt>
                <c:pt idx="10">
                  <c:v>5146</c:v>
                </c:pt>
                <c:pt idx="11">
                  <c:v>487</c:v>
                </c:pt>
                <c:pt idx="12">
                  <c:v>4265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CD-4347-909B-4B7B2C50AF56}"/>
            </c:ext>
          </c:extLst>
        </c:ser>
        <c:ser>
          <c:idx val="1"/>
          <c:order val="1"/>
          <c:tx>
            <c:strRef>
              <c:f>'😎Sheet-A'!$V$3</c:f>
              <c:strCache>
                <c:ptCount val="1"/>
                <c:pt idx="0">
                  <c:v>Sum of cnt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multiLvlStrRef>
              <c:f>'😎Sheet-A'!$T$4:$T$24</c:f>
              <c:multiLvlStrCache>
                <c:ptCount val="13"/>
                <c:lvl>
                  <c:pt idx="0">
                    <c:v>High Humid</c:v>
                  </c:pt>
                  <c:pt idx="1">
                    <c:v>Humid</c:v>
                  </c:pt>
                  <c:pt idx="2">
                    <c:v>High Humid</c:v>
                  </c:pt>
                  <c:pt idx="3">
                    <c:v>Humid</c:v>
                  </c:pt>
                  <c:pt idx="4">
                    <c:v>High Humid</c:v>
                  </c:pt>
                  <c:pt idx="5">
                    <c:v>Humid</c:v>
                  </c:pt>
                  <c:pt idx="6">
                    <c:v>High Humid</c:v>
                  </c:pt>
                  <c:pt idx="7">
                    <c:v>Humid</c:v>
                  </c:pt>
                  <c:pt idx="8">
                    <c:v>High Humid</c:v>
                  </c:pt>
                  <c:pt idx="9">
                    <c:v>Humid</c:v>
                  </c:pt>
                  <c:pt idx="10">
                    <c:v>Humid</c:v>
                  </c:pt>
                  <c:pt idx="11">
                    <c:v>High Humid</c:v>
                  </c:pt>
                  <c:pt idx="12">
                    <c:v>Humid</c:v>
                  </c:pt>
                </c:lvl>
                <c:lvl>
                  <c:pt idx="0">
                    <c:v>Sunday</c:v>
                  </c:pt>
                  <c:pt idx="2">
                    <c:v>Monday</c:v>
                  </c:pt>
                  <c:pt idx="4">
                    <c:v>Tuesday</c:v>
                  </c:pt>
                  <c:pt idx="6">
                    <c:v>Wednesday</c:v>
                  </c:pt>
                  <c:pt idx="8">
                    <c:v>Thursday</c:v>
                  </c:pt>
                  <c:pt idx="10">
                    <c:v>Friday</c:v>
                  </c:pt>
                  <c:pt idx="11">
                    <c:v>Saturday</c:v>
                  </c:pt>
                </c:lvl>
              </c:multiLvlStrCache>
            </c:multiLvlStrRef>
          </c:cat>
          <c:val>
            <c:numRef>
              <c:f>'😎Sheet-A'!$V$4:$V$24</c:f>
              <c:numCache>
                <c:formatCode>General</c:formatCode>
                <c:ptCount val="13"/>
                <c:pt idx="0">
                  <c:v>479</c:v>
                </c:pt>
                <c:pt idx="1">
                  <c:v>3694</c:v>
                </c:pt>
                <c:pt idx="2">
                  <c:v>179</c:v>
                </c:pt>
                <c:pt idx="3">
                  <c:v>3634</c:v>
                </c:pt>
                <c:pt idx="4">
                  <c:v>17</c:v>
                </c:pt>
                <c:pt idx="5">
                  <c:v>5069</c:v>
                </c:pt>
                <c:pt idx="6">
                  <c:v>881</c:v>
                </c:pt>
                <c:pt idx="7">
                  <c:v>4612</c:v>
                </c:pt>
                <c:pt idx="8">
                  <c:v>1128</c:v>
                </c:pt>
                <c:pt idx="9">
                  <c:v>3790</c:v>
                </c:pt>
                <c:pt idx="10">
                  <c:v>5370</c:v>
                </c:pt>
                <c:pt idx="11">
                  <c:v>499</c:v>
                </c:pt>
                <c:pt idx="12">
                  <c:v>4546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CD-4347-909B-4B7B2C50AF56}"/>
            </c:ext>
          </c:extLst>
        </c:ser>
        <c:ser>
          <c:idx val="2"/>
          <c:order val="2"/>
          <c:tx>
            <c:strRef>
              <c:f>'😎Sheet-A'!$W$3</c:f>
              <c:strCache>
                <c:ptCount val="1"/>
                <c:pt idx="0">
                  <c:v>Sum of casual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multiLvlStrRef>
              <c:f>'😎Sheet-A'!$T$4:$T$24</c:f>
              <c:multiLvlStrCache>
                <c:ptCount val="13"/>
                <c:lvl>
                  <c:pt idx="0">
                    <c:v>High Humid</c:v>
                  </c:pt>
                  <c:pt idx="1">
                    <c:v>Humid</c:v>
                  </c:pt>
                  <c:pt idx="2">
                    <c:v>High Humid</c:v>
                  </c:pt>
                  <c:pt idx="3">
                    <c:v>Humid</c:v>
                  </c:pt>
                  <c:pt idx="4">
                    <c:v>High Humid</c:v>
                  </c:pt>
                  <c:pt idx="5">
                    <c:v>Humid</c:v>
                  </c:pt>
                  <c:pt idx="6">
                    <c:v>High Humid</c:v>
                  </c:pt>
                  <c:pt idx="7">
                    <c:v>Humid</c:v>
                  </c:pt>
                  <c:pt idx="8">
                    <c:v>High Humid</c:v>
                  </c:pt>
                  <c:pt idx="9">
                    <c:v>Humid</c:v>
                  </c:pt>
                  <c:pt idx="10">
                    <c:v>Humid</c:v>
                  </c:pt>
                  <c:pt idx="11">
                    <c:v>High Humid</c:v>
                  </c:pt>
                  <c:pt idx="12">
                    <c:v>Humid</c:v>
                  </c:pt>
                </c:lvl>
                <c:lvl>
                  <c:pt idx="0">
                    <c:v>Sunday</c:v>
                  </c:pt>
                  <c:pt idx="2">
                    <c:v>Monday</c:v>
                  </c:pt>
                  <c:pt idx="4">
                    <c:v>Tuesday</c:v>
                  </c:pt>
                  <c:pt idx="6">
                    <c:v>Wednesday</c:v>
                  </c:pt>
                  <c:pt idx="8">
                    <c:v>Thursday</c:v>
                  </c:pt>
                  <c:pt idx="10">
                    <c:v>Friday</c:v>
                  </c:pt>
                  <c:pt idx="11">
                    <c:v>Saturday</c:v>
                  </c:pt>
                </c:lvl>
              </c:multiLvlStrCache>
            </c:multiLvlStrRef>
          </c:cat>
          <c:val>
            <c:numRef>
              <c:f>'😎Sheet-A'!$W$4:$W$24</c:f>
              <c:numCache>
                <c:formatCode>General</c:formatCode>
                <c:ptCount val="13"/>
                <c:pt idx="0">
                  <c:v>141</c:v>
                </c:pt>
                <c:pt idx="1">
                  <c:v>573</c:v>
                </c:pt>
                <c:pt idx="2">
                  <c:v>36</c:v>
                </c:pt>
                <c:pt idx="3">
                  <c:v>550</c:v>
                </c:pt>
                <c:pt idx="4">
                  <c:v>1</c:v>
                </c:pt>
                <c:pt idx="5">
                  <c:v>363</c:v>
                </c:pt>
                <c:pt idx="6">
                  <c:v>18</c:v>
                </c:pt>
                <c:pt idx="7">
                  <c:v>328</c:v>
                </c:pt>
                <c:pt idx="8">
                  <c:v>45</c:v>
                </c:pt>
                <c:pt idx="9">
                  <c:v>174</c:v>
                </c:pt>
                <c:pt idx="10">
                  <c:v>224</c:v>
                </c:pt>
                <c:pt idx="11">
                  <c:v>12</c:v>
                </c:pt>
                <c:pt idx="12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CD-4347-909B-4B7B2C50A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960913903"/>
        <c:axId val="1960914319"/>
      </c:lineChart>
      <c:catAx>
        <c:axId val="196091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endParaRPr lang="en-US"/>
          </a:p>
        </c:txPr>
        <c:crossAx val="1960914319"/>
        <c:crosses val="autoZero"/>
        <c:auto val="1"/>
        <c:lblAlgn val="ctr"/>
        <c:lblOffset val="100"/>
        <c:noMultiLvlLbl val="0"/>
      </c:catAx>
      <c:valAx>
        <c:axId val="1960914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91390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38099</xdr:colOff>
      <xdr:row>1</xdr:row>
      <xdr:rowOff>157161</xdr:rowOff>
    </xdr:from>
    <xdr:to>
      <xdr:col>33</xdr:col>
      <xdr:colOff>314325</xdr:colOff>
      <xdr:row>15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34F807-8181-451E-99F6-AC6004FBF8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nal%20Projects/NextHike%20Projec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vind bhujade" refreshedDate="46227.964236805557" createdVersion="7" refreshedVersion="7" minRefreshableVersion="3" recordCount="610" xr:uid="{D494E3D1-735A-40CC-A584-87D5CF3C93BF}">
  <cacheSource type="worksheet">
    <worksheetSource name="Table2" r:id="rId2"/>
  </cacheSource>
  <cacheFields count="19">
    <cacheField name="instant" numFmtId="0">
      <sharedItems containsSemiMixedTypes="0" containsString="0" containsNumber="1" containsInteger="1" minValue="1" maxValue="610"/>
    </cacheField>
    <cacheField name="dteday" numFmtId="14">
      <sharedItems containsSemiMixedTypes="0" containsNonDate="0" containsDate="1" containsString="0" minDate="2011-01-01T00:00:00" maxDate="2011-01-29T00:00:00"/>
    </cacheField>
    <cacheField name="season" numFmtId="0">
      <sharedItems containsSemiMixedTypes="0" containsString="0" containsNumber="1" containsInteger="1" minValue="1" maxValue="1"/>
    </cacheField>
    <cacheField name="yr" numFmtId="0">
      <sharedItems containsSemiMixedTypes="0" containsString="0" containsNumber="1" containsInteger="1" minValue="0" maxValue="0"/>
    </cacheField>
    <cacheField name="mnth" numFmtId="0">
      <sharedItems containsSemiMixedTypes="0" containsString="0" containsNumber="1" containsInteger="1" minValue="1" maxValue="1"/>
    </cacheField>
    <cacheField name="hr" numFmtId="0">
      <sharedItems containsSemiMixedTypes="0" containsString="0" containsNumber="1" containsInteger="1" minValue="0" maxValue="23"/>
    </cacheField>
    <cacheField name="holiday" numFmtId="0">
      <sharedItems/>
    </cacheField>
    <cacheField name="weekday" numFmtId="0">
      <sharedItems containsSemiMixedTypes="0" containsString="0" containsNumber="1" containsInteger="1" minValue="0" maxValue="6"/>
    </cacheField>
    <cacheField name="Week By Days" numFmtId="0">
      <sharedItems count="7">
        <s v="Sunday"/>
        <s v="Monday"/>
        <s v="Tuesday"/>
        <s v="Wednesday"/>
        <s v="Thursday"/>
        <s v="Friday"/>
        <s v="Saturday"/>
      </sharedItems>
    </cacheField>
    <cacheField name="weathersit" numFmtId="0">
      <sharedItems containsSemiMixedTypes="0" containsString="0" containsNumber="1" containsInteger="1" minValue="1" maxValue="4"/>
    </cacheField>
    <cacheField name="temp" numFmtId="0">
      <sharedItems containsSemiMixedTypes="0" containsString="0" containsNumber="1" minValue="0.02" maxValue="0.46" count="23">
        <n v="0.24"/>
        <n v="0.22"/>
        <n v="0.2"/>
        <n v="0.32"/>
        <n v="0.38"/>
        <n v="0.36"/>
        <n v="0.42"/>
        <n v="0.46"/>
        <n v="0.44"/>
        <n v="0.4"/>
        <n v="0.34"/>
        <n v="0.3"/>
        <n v="0.26"/>
        <n v="0.16"/>
        <n v="0.14000000000000001"/>
        <n v="0.18"/>
        <n v="0.12"/>
        <n v="0.28000000000000003"/>
        <n v="0.1"/>
        <n v="0.08"/>
        <n v="0.06"/>
        <n v="0.04"/>
        <n v="0.02"/>
      </sharedItems>
    </cacheField>
    <cacheField name="Column2" numFmtId="0">
      <sharedItems containsNonDate="0" containsString="0" containsBlank="1" count="1">
        <m/>
      </sharedItems>
    </cacheField>
    <cacheField name="atemp" numFmtId="0">
      <sharedItems containsString="0" containsBlank="1" containsNumber="1" minValue="0" maxValue="0.45450000000000002"/>
    </cacheField>
    <cacheField name="hum" numFmtId="0">
      <sharedItems containsSemiMixedTypes="0" containsString="0" containsNumber="1" minValue="0.21" maxValue="1"/>
    </cacheField>
    <cacheField name="Humidity" numFmtId="0">
      <sharedItems count="2">
        <s v="High Humid"/>
        <s v="Humid"/>
      </sharedItems>
    </cacheField>
    <cacheField name="windspeed" numFmtId="0">
      <sharedItems containsSemiMixedTypes="0" containsString="0" containsNumber="1" minValue="0" maxValue="0.58209999999999995"/>
    </cacheField>
    <cacheField name="casual" numFmtId="0">
      <sharedItems containsSemiMixedTypes="0" containsString="0" containsNumber="1" containsInteger="1" minValue="0" maxValue="47"/>
    </cacheField>
    <cacheField name="registered" numFmtId="0">
      <sharedItems containsSemiMixedTypes="0" containsString="0" containsNumber="1" containsInteger="1" minValue="0" maxValue="247"/>
    </cacheField>
    <cacheField name="cnt" numFmtId="0">
      <sharedItems containsSemiMixedTypes="0" containsString="0" containsNumber="1" containsInteger="1" minValue="1" maxValue="2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"/>
    <d v="2011-01-01T00:00:00"/>
    <n v="1"/>
    <n v="0"/>
    <n v="1"/>
    <n v="0"/>
    <b v="0"/>
    <n v="6"/>
    <x v="0"/>
    <n v="1"/>
    <x v="0"/>
    <x v="0"/>
    <n v="0.28789999999999999"/>
    <n v="0.81"/>
    <x v="0"/>
    <n v="0"/>
    <n v="3"/>
    <n v="13"/>
    <n v="16"/>
  </r>
  <r>
    <n v="2"/>
    <d v="2011-01-01T00:00:00"/>
    <n v="1"/>
    <n v="0"/>
    <n v="1"/>
    <n v="1"/>
    <b v="0"/>
    <n v="6"/>
    <x v="0"/>
    <n v="1"/>
    <x v="1"/>
    <x v="0"/>
    <n v="0.2727"/>
    <n v="0.8"/>
    <x v="1"/>
    <n v="0"/>
    <n v="8"/>
    <n v="32"/>
    <n v="40"/>
  </r>
  <r>
    <n v="3"/>
    <d v="2011-01-01T00:00:00"/>
    <n v="1"/>
    <n v="0"/>
    <n v="1"/>
    <n v="2"/>
    <b v="0"/>
    <n v="6"/>
    <x v="0"/>
    <n v="1"/>
    <x v="1"/>
    <x v="0"/>
    <n v="0.2727"/>
    <n v="0.8"/>
    <x v="1"/>
    <n v="0"/>
    <n v="5"/>
    <n v="27"/>
    <n v="32"/>
  </r>
  <r>
    <n v="4"/>
    <d v="2011-01-01T00:00:00"/>
    <n v="1"/>
    <n v="0"/>
    <n v="1"/>
    <n v="3"/>
    <b v="0"/>
    <n v="6"/>
    <x v="0"/>
    <n v="1"/>
    <x v="0"/>
    <x v="0"/>
    <n v="0.28789999999999999"/>
    <n v="0.75"/>
    <x v="1"/>
    <n v="0"/>
    <n v="3"/>
    <n v="10"/>
    <n v="13"/>
  </r>
  <r>
    <n v="5"/>
    <d v="2011-01-01T00:00:00"/>
    <n v="1"/>
    <n v="0"/>
    <n v="1"/>
    <n v="4"/>
    <b v="0"/>
    <n v="6"/>
    <x v="0"/>
    <n v="1"/>
    <x v="0"/>
    <x v="0"/>
    <n v="0.28789999999999999"/>
    <n v="0.75"/>
    <x v="1"/>
    <n v="0"/>
    <n v="0"/>
    <n v="1"/>
    <n v="1"/>
  </r>
  <r>
    <n v="6"/>
    <d v="2011-01-01T00:00:00"/>
    <n v="1"/>
    <n v="0"/>
    <n v="1"/>
    <n v="5"/>
    <b v="0"/>
    <n v="6"/>
    <x v="0"/>
    <n v="2"/>
    <x v="0"/>
    <x v="0"/>
    <n v="0.2576"/>
    <n v="0.75"/>
    <x v="1"/>
    <n v="8.9599999999999999E-2"/>
    <n v="0"/>
    <n v="1"/>
    <n v="1"/>
  </r>
  <r>
    <n v="7"/>
    <d v="2011-01-01T00:00:00"/>
    <n v="1"/>
    <n v="0"/>
    <n v="1"/>
    <n v="6"/>
    <b v="0"/>
    <n v="6"/>
    <x v="0"/>
    <n v="1"/>
    <x v="1"/>
    <x v="0"/>
    <n v="0.2727"/>
    <n v="0.8"/>
    <x v="1"/>
    <n v="0"/>
    <n v="2"/>
    <n v="0"/>
    <n v="2"/>
  </r>
  <r>
    <n v="8"/>
    <d v="2011-01-01T00:00:00"/>
    <n v="1"/>
    <n v="0"/>
    <n v="1"/>
    <n v="7"/>
    <b v="0"/>
    <n v="6"/>
    <x v="0"/>
    <n v="1"/>
    <x v="2"/>
    <x v="0"/>
    <n v="0.2576"/>
    <n v="0.86"/>
    <x v="0"/>
    <n v="0"/>
    <n v="1"/>
    <n v="2"/>
    <n v="3"/>
  </r>
  <r>
    <n v="9"/>
    <d v="2011-01-01T00:00:00"/>
    <n v="1"/>
    <n v="0"/>
    <n v="1"/>
    <n v="8"/>
    <b v="0"/>
    <n v="6"/>
    <x v="0"/>
    <n v="1"/>
    <x v="0"/>
    <x v="0"/>
    <m/>
    <n v="0.75"/>
    <x v="1"/>
    <n v="0"/>
    <n v="1"/>
    <n v="7"/>
    <n v="8"/>
  </r>
  <r>
    <n v="10"/>
    <d v="2011-01-01T00:00:00"/>
    <n v="1"/>
    <n v="0"/>
    <n v="1"/>
    <n v="9"/>
    <b v="0"/>
    <n v="6"/>
    <x v="0"/>
    <n v="1"/>
    <x v="3"/>
    <x v="0"/>
    <n v="0.34849999999999998"/>
    <n v="0.76"/>
    <x v="1"/>
    <n v="0"/>
    <n v="8"/>
    <n v="6"/>
    <n v="14"/>
  </r>
  <r>
    <n v="11"/>
    <d v="2011-01-01T00:00:00"/>
    <n v="1"/>
    <n v="0"/>
    <n v="1"/>
    <n v="10"/>
    <b v="0"/>
    <n v="6"/>
    <x v="0"/>
    <n v="1"/>
    <x v="4"/>
    <x v="0"/>
    <n v="0.39389999999999997"/>
    <n v="0.76"/>
    <x v="1"/>
    <n v="0.25369999999999998"/>
    <n v="12"/>
    <n v="24"/>
    <n v="36"/>
  </r>
  <r>
    <n v="12"/>
    <d v="2011-01-01T00:00:00"/>
    <n v="1"/>
    <n v="0"/>
    <n v="1"/>
    <n v="11"/>
    <b v="0"/>
    <n v="6"/>
    <x v="0"/>
    <n v="1"/>
    <x v="5"/>
    <x v="0"/>
    <n v="0.33329999999999999"/>
    <n v="0.81"/>
    <x v="0"/>
    <n v="0.28360000000000002"/>
    <n v="26"/>
    <n v="30"/>
    <n v="56"/>
  </r>
  <r>
    <n v="13"/>
    <d v="2011-01-01T00:00:00"/>
    <n v="1"/>
    <n v="0"/>
    <n v="1"/>
    <n v="12"/>
    <b v="0"/>
    <n v="6"/>
    <x v="0"/>
    <n v="1"/>
    <x v="6"/>
    <x v="0"/>
    <n v="0.42420000000000002"/>
    <n v="0.77"/>
    <x v="1"/>
    <n v="0.28360000000000002"/>
    <n v="29"/>
    <n v="55"/>
    <n v="84"/>
  </r>
  <r>
    <n v="14"/>
    <d v="2011-01-01T00:00:00"/>
    <n v="1"/>
    <n v="0"/>
    <n v="1"/>
    <n v="13"/>
    <b v="0"/>
    <n v="6"/>
    <x v="0"/>
    <n v="2"/>
    <x v="7"/>
    <x v="0"/>
    <n v="0.45450000000000002"/>
    <n v="0.72"/>
    <x v="1"/>
    <n v="0.29849999999999999"/>
    <n v="47"/>
    <n v="47"/>
    <n v="94"/>
  </r>
  <r>
    <n v="15"/>
    <d v="2011-01-01T00:00:00"/>
    <n v="1"/>
    <n v="0"/>
    <n v="1"/>
    <n v="14"/>
    <b v="0"/>
    <n v="6"/>
    <x v="0"/>
    <n v="2"/>
    <x v="7"/>
    <x v="0"/>
    <n v="0.45450000000000002"/>
    <n v="0.72"/>
    <x v="1"/>
    <n v="0.28360000000000002"/>
    <n v="35"/>
    <n v="71"/>
    <n v="106"/>
  </r>
  <r>
    <n v="16"/>
    <d v="2011-01-01T00:00:00"/>
    <n v="1"/>
    <n v="0"/>
    <n v="1"/>
    <n v="15"/>
    <b v="0"/>
    <n v="6"/>
    <x v="0"/>
    <n v="2"/>
    <x v="8"/>
    <x v="0"/>
    <n v="0.43940000000000001"/>
    <n v="0.77"/>
    <x v="1"/>
    <n v="0.29849999999999999"/>
    <n v="40"/>
    <n v="70"/>
    <n v="110"/>
  </r>
  <r>
    <n v="17"/>
    <d v="2011-01-01T00:00:00"/>
    <n v="1"/>
    <n v="0"/>
    <n v="1"/>
    <n v="16"/>
    <b v="0"/>
    <n v="6"/>
    <x v="0"/>
    <n v="2"/>
    <x v="6"/>
    <x v="0"/>
    <n v="0.42420000000000002"/>
    <n v="0.82"/>
    <x v="0"/>
    <n v="0.29849999999999999"/>
    <n v="41"/>
    <n v="52"/>
    <n v="93"/>
  </r>
  <r>
    <n v="18"/>
    <d v="2011-01-01T00:00:00"/>
    <n v="1"/>
    <n v="0"/>
    <n v="1"/>
    <n v="17"/>
    <b v="0"/>
    <n v="6"/>
    <x v="0"/>
    <n v="2"/>
    <x v="8"/>
    <x v="0"/>
    <m/>
    <n v="0.82"/>
    <x v="0"/>
    <n v="0.28360000000000002"/>
    <n v="15"/>
    <n v="52"/>
    <n v="67"/>
  </r>
  <r>
    <n v="19"/>
    <d v="2011-01-01T00:00:00"/>
    <n v="1"/>
    <n v="0"/>
    <n v="1"/>
    <n v="18"/>
    <b v="0"/>
    <n v="6"/>
    <x v="0"/>
    <n v="3"/>
    <x v="6"/>
    <x v="0"/>
    <n v="0.42420000000000002"/>
    <n v="0.88"/>
    <x v="0"/>
    <n v="0.25369999999999998"/>
    <n v="9"/>
    <n v="26"/>
    <n v="35"/>
  </r>
  <r>
    <n v="20"/>
    <d v="2011-01-01T00:00:00"/>
    <n v="1"/>
    <n v="0"/>
    <n v="1"/>
    <n v="19"/>
    <b v="0"/>
    <n v="6"/>
    <x v="0"/>
    <n v="3"/>
    <x v="6"/>
    <x v="0"/>
    <n v="0.42420000000000002"/>
    <n v="0.88"/>
    <x v="0"/>
    <n v="0.25369999999999998"/>
    <n v="6"/>
    <n v="31"/>
    <n v="37"/>
  </r>
  <r>
    <n v="21"/>
    <d v="2011-01-01T00:00:00"/>
    <n v="1"/>
    <n v="0"/>
    <n v="1"/>
    <n v="20"/>
    <b v="0"/>
    <n v="6"/>
    <x v="0"/>
    <n v="2"/>
    <x v="9"/>
    <x v="0"/>
    <n v="0.40910000000000002"/>
    <n v="0.87"/>
    <x v="0"/>
    <n v="0.25369999999999998"/>
    <n v="11"/>
    <n v="25"/>
    <n v="36"/>
  </r>
  <r>
    <n v="22"/>
    <d v="2011-01-01T00:00:00"/>
    <n v="1"/>
    <n v="0"/>
    <n v="1"/>
    <n v="21"/>
    <b v="0"/>
    <n v="6"/>
    <x v="0"/>
    <n v="2"/>
    <x v="9"/>
    <x v="0"/>
    <n v="0.40910000000000002"/>
    <n v="0.87"/>
    <x v="0"/>
    <n v="0.19400000000000001"/>
    <n v="3"/>
    <n v="31"/>
    <n v="34"/>
  </r>
  <r>
    <n v="23"/>
    <d v="2011-01-01T00:00:00"/>
    <n v="1"/>
    <n v="0"/>
    <n v="1"/>
    <n v="22"/>
    <b v="0"/>
    <n v="6"/>
    <x v="0"/>
    <n v="2"/>
    <x v="9"/>
    <x v="0"/>
    <n v="0.40910000000000002"/>
    <n v="0.94"/>
    <x v="0"/>
    <n v="0.22389999999999999"/>
    <n v="11"/>
    <n v="17"/>
    <n v="28"/>
  </r>
  <r>
    <n v="24"/>
    <d v="2011-01-01T00:00:00"/>
    <n v="1"/>
    <n v="0"/>
    <n v="1"/>
    <n v="23"/>
    <b v="0"/>
    <n v="6"/>
    <x v="0"/>
    <n v="2"/>
    <x v="7"/>
    <x v="0"/>
    <m/>
    <n v="0.88"/>
    <x v="0"/>
    <n v="0.29849999999999999"/>
    <n v="15"/>
    <n v="24"/>
    <n v="39"/>
  </r>
  <r>
    <n v="25"/>
    <d v="2011-01-02T00:00:00"/>
    <n v="1"/>
    <n v="0"/>
    <n v="1"/>
    <n v="0"/>
    <b v="0"/>
    <n v="0"/>
    <x v="1"/>
    <n v="2"/>
    <x v="7"/>
    <x v="0"/>
    <n v="0.45450000000000002"/>
    <n v="0.88"/>
    <x v="0"/>
    <n v="0.29849999999999999"/>
    <n v="4"/>
    <n v="13"/>
    <n v="17"/>
  </r>
  <r>
    <n v="26"/>
    <d v="2011-01-02T00:00:00"/>
    <n v="1"/>
    <n v="0"/>
    <n v="1"/>
    <n v="1"/>
    <b v="0"/>
    <n v="0"/>
    <x v="1"/>
    <n v="2"/>
    <x v="8"/>
    <x v="0"/>
    <n v="0.43940000000000001"/>
    <n v="0.94"/>
    <x v="0"/>
    <n v="0.25369999999999998"/>
    <n v="1"/>
    <n v="16"/>
    <n v="17"/>
  </r>
  <r>
    <n v="27"/>
    <d v="2011-01-02T00:00:00"/>
    <n v="1"/>
    <n v="0"/>
    <n v="1"/>
    <n v="2"/>
    <b v="0"/>
    <n v="0"/>
    <x v="1"/>
    <n v="2"/>
    <x v="6"/>
    <x v="0"/>
    <n v="0.42420000000000002"/>
    <n v="1"/>
    <x v="0"/>
    <n v="0.28360000000000002"/>
    <n v="1"/>
    <n v="8"/>
    <n v="9"/>
  </r>
  <r>
    <n v="28"/>
    <d v="2011-01-02T00:00:00"/>
    <n v="1"/>
    <n v="0"/>
    <n v="1"/>
    <n v="3"/>
    <b v="0"/>
    <n v="0"/>
    <x v="1"/>
    <n v="2"/>
    <x v="7"/>
    <x v="0"/>
    <n v="0.45450000000000002"/>
    <n v="0.94"/>
    <x v="0"/>
    <n v="0.19400000000000001"/>
    <n v="2"/>
    <n v="4"/>
    <n v="6"/>
  </r>
  <r>
    <n v="29"/>
    <d v="2011-01-02T00:00:00"/>
    <n v="1"/>
    <n v="0"/>
    <n v="1"/>
    <n v="4"/>
    <b v="0"/>
    <n v="0"/>
    <x v="1"/>
    <n v="2"/>
    <x v="7"/>
    <x v="0"/>
    <m/>
    <n v="0.94"/>
    <x v="0"/>
    <n v="0.19400000000000001"/>
    <n v="2"/>
    <n v="1"/>
    <n v="3"/>
  </r>
  <r>
    <n v="30"/>
    <d v="2011-01-02T00:00:00"/>
    <n v="1"/>
    <n v="0"/>
    <n v="1"/>
    <n v="6"/>
    <b v="0"/>
    <n v="0"/>
    <x v="1"/>
    <n v="3"/>
    <x v="6"/>
    <x v="0"/>
    <n v="0.42420000000000002"/>
    <n v="0.77"/>
    <x v="1"/>
    <n v="0.29849999999999999"/>
    <n v="0"/>
    <n v="2"/>
    <n v="2"/>
  </r>
  <r>
    <n v="31"/>
    <d v="2011-01-02T00:00:00"/>
    <n v="1"/>
    <n v="0"/>
    <n v="1"/>
    <n v="7"/>
    <b v="0"/>
    <n v="0"/>
    <x v="1"/>
    <n v="2"/>
    <x v="9"/>
    <x v="0"/>
    <n v="0.40910000000000002"/>
    <n v="0.76"/>
    <x v="1"/>
    <n v="0.19400000000000001"/>
    <n v="0"/>
    <n v="1"/>
    <n v="1"/>
  </r>
  <r>
    <n v="32"/>
    <d v="2011-01-02T00:00:00"/>
    <n v="1"/>
    <n v="0"/>
    <n v="1"/>
    <n v="8"/>
    <b v="0"/>
    <n v="0"/>
    <x v="1"/>
    <n v="3"/>
    <x v="9"/>
    <x v="0"/>
    <n v="0.40910000000000002"/>
    <n v="0.71"/>
    <x v="1"/>
    <n v="0.22389999999999999"/>
    <n v="0"/>
    <n v="8"/>
    <n v="8"/>
  </r>
  <r>
    <n v="33"/>
    <d v="2011-01-02T00:00:00"/>
    <n v="1"/>
    <n v="0"/>
    <n v="1"/>
    <n v="9"/>
    <b v="0"/>
    <n v="0"/>
    <x v="1"/>
    <n v="2"/>
    <x v="4"/>
    <x v="0"/>
    <m/>
    <n v="0.76"/>
    <x v="1"/>
    <n v="0.22389999999999999"/>
    <n v="1"/>
    <n v="19"/>
    <n v="20"/>
  </r>
  <r>
    <n v="34"/>
    <d v="2011-01-02T00:00:00"/>
    <n v="1"/>
    <n v="0"/>
    <n v="1"/>
    <n v="10"/>
    <b v="0"/>
    <n v="0"/>
    <x v="1"/>
    <n v="2"/>
    <x v="5"/>
    <x v="0"/>
    <n v="0.34849999999999998"/>
    <n v="0.81"/>
    <x v="0"/>
    <n v="0.22389999999999999"/>
    <n v="7"/>
    <n v="46"/>
    <n v="53"/>
  </r>
  <r>
    <n v="35"/>
    <d v="2011-01-02T00:00:00"/>
    <n v="1"/>
    <n v="0"/>
    <n v="1"/>
    <n v="11"/>
    <b v="0"/>
    <n v="0"/>
    <x v="1"/>
    <n v="2"/>
    <x v="5"/>
    <x v="0"/>
    <n v="0.33329999999999999"/>
    <n v="0.71"/>
    <x v="1"/>
    <n v="0.25369999999999998"/>
    <n v="16"/>
    <n v="54"/>
    <n v="70"/>
  </r>
  <r>
    <n v="36"/>
    <d v="2011-01-02T00:00:00"/>
    <n v="1"/>
    <n v="0"/>
    <n v="1"/>
    <n v="12"/>
    <b v="0"/>
    <n v="0"/>
    <x v="1"/>
    <n v="2"/>
    <x v="5"/>
    <x v="0"/>
    <n v="0.33329999999999999"/>
    <n v="0.66"/>
    <x v="1"/>
    <n v="0.29849999999999999"/>
    <n v="20"/>
    <n v="73"/>
    <n v="93"/>
  </r>
  <r>
    <n v="37"/>
    <d v="2011-01-02T00:00:00"/>
    <n v="1"/>
    <n v="0"/>
    <n v="1"/>
    <n v="13"/>
    <b v="0"/>
    <n v="0"/>
    <x v="1"/>
    <n v="2"/>
    <x v="5"/>
    <x v="0"/>
    <n v="0.34849999999999998"/>
    <n v="0.66"/>
    <x v="1"/>
    <n v="0.1343"/>
    <n v="11"/>
    <n v="64"/>
    <n v="75"/>
  </r>
  <r>
    <n v="38"/>
    <d v="2011-01-02T00:00:00"/>
    <n v="1"/>
    <n v="0"/>
    <n v="1"/>
    <n v="14"/>
    <b v="0"/>
    <n v="0"/>
    <x v="1"/>
    <n v="3"/>
    <x v="5"/>
    <x v="0"/>
    <m/>
    <n v="0.76"/>
    <x v="1"/>
    <n v="0.19400000000000001"/>
    <n v="4"/>
    <n v="55"/>
    <n v="59"/>
  </r>
  <r>
    <n v="39"/>
    <d v="2011-01-02T00:00:00"/>
    <n v="1"/>
    <n v="0"/>
    <n v="1"/>
    <n v="15"/>
    <b v="0"/>
    <n v="0"/>
    <x v="1"/>
    <n v="3"/>
    <x v="10"/>
    <x v="0"/>
    <n v="0.33329999999999999"/>
    <n v="0.81"/>
    <x v="0"/>
    <n v="0.16420000000000001"/>
    <n v="19"/>
    <n v="55"/>
    <n v="74"/>
  </r>
  <r>
    <n v="40"/>
    <d v="2011-01-02T00:00:00"/>
    <n v="1"/>
    <n v="0"/>
    <n v="1"/>
    <n v="16"/>
    <b v="0"/>
    <n v="0"/>
    <x v="1"/>
    <n v="3"/>
    <x v="10"/>
    <x v="0"/>
    <n v="0.33329999999999999"/>
    <n v="0.71"/>
    <x v="1"/>
    <n v="0.16420000000000001"/>
    <n v="9"/>
    <n v="67"/>
    <n v="76"/>
  </r>
  <r>
    <n v="41"/>
    <d v="2011-01-02T00:00:00"/>
    <n v="1"/>
    <n v="0"/>
    <n v="1"/>
    <n v="17"/>
    <b v="0"/>
    <n v="0"/>
    <x v="1"/>
    <n v="1"/>
    <x v="10"/>
    <x v="0"/>
    <n v="0.33329999999999999"/>
    <n v="0.56999999999999995"/>
    <x v="1"/>
    <n v="0.19400000000000001"/>
    <n v="7"/>
    <n v="58"/>
    <n v="65"/>
  </r>
  <r>
    <n v="42"/>
    <d v="2011-01-02T00:00:00"/>
    <n v="1"/>
    <n v="0"/>
    <n v="1"/>
    <n v="18"/>
    <b v="0"/>
    <n v="0"/>
    <x v="1"/>
    <n v="2"/>
    <x v="5"/>
    <x v="0"/>
    <n v="0.33329999999999999"/>
    <n v="0.46"/>
    <x v="1"/>
    <n v="0.32840000000000003"/>
    <n v="10"/>
    <n v="43"/>
    <n v="53"/>
  </r>
  <r>
    <n v="43"/>
    <d v="2011-01-02T00:00:00"/>
    <n v="1"/>
    <n v="0"/>
    <n v="1"/>
    <n v="19"/>
    <b v="0"/>
    <n v="0"/>
    <x v="1"/>
    <n v="1"/>
    <x v="3"/>
    <x v="0"/>
    <n v="0.28789999999999999"/>
    <n v="0.42"/>
    <x v="1"/>
    <n v="0.44779999999999998"/>
    <n v="1"/>
    <n v="29"/>
    <n v="30"/>
  </r>
  <r>
    <n v="44"/>
    <d v="2011-01-02T00:00:00"/>
    <n v="1"/>
    <n v="0"/>
    <n v="1"/>
    <n v="20"/>
    <b v="0"/>
    <n v="0"/>
    <x v="1"/>
    <n v="1"/>
    <x v="11"/>
    <x v="0"/>
    <m/>
    <n v="0.39"/>
    <x v="1"/>
    <n v="0.35820000000000002"/>
    <n v="5"/>
    <n v="17"/>
    <n v="22"/>
  </r>
  <r>
    <n v="45"/>
    <d v="2011-01-02T00:00:00"/>
    <n v="1"/>
    <n v="0"/>
    <n v="1"/>
    <n v="21"/>
    <b v="0"/>
    <n v="0"/>
    <x v="1"/>
    <n v="1"/>
    <x v="12"/>
    <x v="0"/>
    <n v="0.2273"/>
    <n v="0.44"/>
    <x v="1"/>
    <n v="0.32840000000000003"/>
    <n v="11"/>
    <n v="20"/>
    <n v="31"/>
  </r>
  <r>
    <n v="46"/>
    <d v="2011-01-02T00:00:00"/>
    <n v="1"/>
    <n v="0"/>
    <n v="1"/>
    <n v="22"/>
    <b v="0"/>
    <n v="0"/>
    <x v="1"/>
    <n v="1"/>
    <x v="0"/>
    <x v="0"/>
    <n v="0.21210000000000001"/>
    <n v="0.44"/>
    <x v="1"/>
    <n v="0.29849999999999999"/>
    <n v="0"/>
    <n v="9"/>
    <n v="9"/>
  </r>
  <r>
    <n v="47"/>
    <d v="2011-01-02T00:00:00"/>
    <n v="1"/>
    <n v="0"/>
    <n v="1"/>
    <n v="23"/>
    <b v="0"/>
    <n v="0"/>
    <x v="1"/>
    <n v="1"/>
    <x v="1"/>
    <x v="0"/>
    <n v="0.2273"/>
    <n v="0.47"/>
    <x v="1"/>
    <n v="0.16420000000000001"/>
    <n v="0"/>
    <n v="8"/>
    <n v="8"/>
  </r>
  <r>
    <n v="48"/>
    <d v="2011-01-03T00:00:00"/>
    <n v="1"/>
    <n v="0"/>
    <n v="1"/>
    <n v="0"/>
    <b v="0"/>
    <n v="1"/>
    <x v="2"/>
    <n v="1"/>
    <x v="1"/>
    <x v="0"/>
    <n v="0.19700000000000001"/>
    <n v="0.44"/>
    <x v="1"/>
    <n v="0.35820000000000002"/>
    <n v="0"/>
    <n v="5"/>
    <n v="5"/>
  </r>
  <r>
    <n v="49"/>
    <d v="2011-01-03T00:00:00"/>
    <n v="1"/>
    <n v="0"/>
    <n v="1"/>
    <n v="1"/>
    <b v="0"/>
    <n v="1"/>
    <x v="2"/>
    <n v="1"/>
    <x v="2"/>
    <x v="0"/>
    <m/>
    <n v="0.44"/>
    <x v="1"/>
    <n v="0.41789999999999999"/>
    <n v="0"/>
    <n v="2"/>
    <n v="2"/>
  </r>
  <r>
    <n v="50"/>
    <d v="2011-01-03T00:00:00"/>
    <n v="1"/>
    <n v="0"/>
    <n v="1"/>
    <n v="4"/>
    <b v="0"/>
    <n v="1"/>
    <x v="2"/>
    <n v="1"/>
    <x v="13"/>
    <x v="0"/>
    <n v="0.13639999999999999"/>
    <n v="0.47"/>
    <x v="1"/>
    <n v="0.3881"/>
    <n v="0"/>
    <n v="1"/>
    <n v="1"/>
  </r>
  <r>
    <n v="51"/>
    <d v="2011-01-03T00:00:00"/>
    <n v="1"/>
    <n v="0"/>
    <n v="1"/>
    <n v="5"/>
    <b v="0"/>
    <n v="1"/>
    <x v="2"/>
    <n v="1"/>
    <x v="13"/>
    <x v="0"/>
    <n v="0.13639999999999999"/>
    <n v="0.47"/>
    <x v="1"/>
    <n v="0.28360000000000002"/>
    <n v="0"/>
    <n v="3"/>
    <n v="3"/>
  </r>
  <r>
    <n v="52"/>
    <d v="2011-01-03T00:00:00"/>
    <n v="1"/>
    <n v="0"/>
    <n v="1"/>
    <n v="6"/>
    <b v="0"/>
    <n v="1"/>
    <x v="2"/>
    <n v="1"/>
    <x v="14"/>
    <x v="0"/>
    <n v="0.1061"/>
    <n v="0.5"/>
    <x v="1"/>
    <n v="0.3881"/>
    <n v="0"/>
    <n v="30"/>
    <n v="30"/>
  </r>
  <r>
    <n v="53"/>
    <d v="2011-01-03T00:00:00"/>
    <n v="1"/>
    <n v="0"/>
    <n v="1"/>
    <n v="7"/>
    <b v="0"/>
    <n v="1"/>
    <x v="2"/>
    <n v="1"/>
    <x v="14"/>
    <x v="0"/>
    <n v="0.13639999999999999"/>
    <n v="0.5"/>
    <x v="1"/>
    <n v="0.19400000000000001"/>
    <n v="1"/>
    <n v="63"/>
    <n v="64"/>
  </r>
  <r>
    <n v="54"/>
    <d v="2011-01-03T00:00:00"/>
    <n v="1"/>
    <n v="0"/>
    <n v="1"/>
    <n v="8"/>
    <b v="0"/>
    <n v="1"/>
    <x v="2"/>
    <n v="1"/>
    <x v="14"/>
    <x v="0"/>
    <n v="0.1212"/>
    <n v="0.5"/>
    <x v="1"/>
    <n v="0.28360000000000002"/>
    <n v="1"/>
    <n v="153"/>
    <n v="154"/>
  </r>
  <r>
    <n v="55"/>
    <d v="2011-01-03T00:00:00"/>
    <n v="1"/>
    <n v="0"/>
    <n v="1"/>
    <n v="9"/>
    <b v="0"/>
    <n v="1"/>
    <x v="2"/>
    <n v="1"/>
    <x v="13"/>
    <x v="0"/>
    <n v="0.13639999999999999"/>
    <n v="0.43"/>
    <x v="1"/>
    <n v="0.3881"/>
    <n v="7"/>
    <n v="81"/>
    <n v="88"/>
  </r>
  <r>
    <n v="56"/>
    <d v="2011-01-03T00:00:00"/>
    <n v="1"/>
    <n v="0"/>
    <n v="1"/>
    <n v="10"/>
    <b v="0"/>
    <n v="1"/>
    <x v="2"/>
    <n v="1"/>
    <x v="15"/>
    <x v="0"/>
    <n v="0.16669999999999999"/>
    <n v="0.43"/>
    <x v="1"/>
    <n v="0.25369999999999998"/>
    <n v="11"/>
    <n v="33"/>
    <n v="44"/>
  </r>
  <r>
    <n v="57"/>
    <d v="2011-01-03T00:00:00"/>
    <n v="1"/>
    <n v="0"/>
    <n v="1"/>
    <n v="11"/>
    <b v="0"/>
    <n v="1"/>
    <x v="2"/>
    <n v="1"/>
    <x v="2"/>
    <x v="0"/>
    <n v="0.18179999999999999"/>
    <n v="0.4"/>
    <x v="1"/>
    <n v="0.32840000000000003"/>
    <n v="10"/>
    <n v="41"/>
    <n v="51"/>
  </r>
  <r>
    <n v="58"/>
    <d v="2011-01-03T00:00:00"/>
    <n v="1"/>
    <n v="0"/>
    <n v="1"/>
    <n v="12"/>
    <b v="0"/>
    <n v="1"/>
    <x v="2"/>
    <n v="1"/>
    <x v="1"/>
    <x v="0"/>
    <n v="0.21210000000000001"/>
    <n v="0.35"/>
    <x v="1"/>
    <n v="0.29849999999999999"/>
    <n v="13"/>
    <n v="48"/>
    <n v="61"/>
  </r>
  <r>
    <n v="59"/>
    <d v="2011-01-03T00:00:00"/>
    <n v="1"/>
    <n v="0"/>
    <n v="1"/>
    <n v="13"/>
    <b v="0"/>
    <n v="1"/>
    <x v="2"/>
    <n v="1"/>
    <x v="0"/>
    <x v="0"/>
    <m/>
    <n v="0.35"/>
    <x v="1"/>
    <n v="0.28360000000000002"/>
    <n v="8"/>
    <n v="53"/>
    <n v="61"/>
  </r>
  <r>
    <n v="60"/>
    <d v="2011-01-03T00:00:00"/>
    <n v="1"/>
    <n v="0"/>
    <n v="1"/>
    <n v="14"/>
    <b v="0"/>
    <n v="1"/>
    <x v="2"/>
    <n v="1"/>
    <x v="12"/>
    <x v="0"/>
    <n v="0.2424"/>
    <n v="0.3"/>
    <x v="1"/>
    <n v="0.28360000000000002"/>
    <n v="11"/>
    <n v="66"/>
    <n v="77"/>
  </r>
  <r>
    <n v="61"/>
    <d v="2011-01-03T00:00:00"/>
    <n v="1"/>
    <n v="0"/>
    <n v="1"/>
    <n v="15"/>
    <b v="0"/>
    <n v="1"/>
    <x v="2"/>
    <n v="1"/>
    <x v="12"/>
    <x v="0"/>
    <n v="0.2424"/>
    <n v="0.3"/>
    <x v="1"/>
    <n v="0.25369999999999998"/>
    <n v="14"/>
    <n v="58"/>
    <n v="72"/>
  </r>
  <r>
    <n v="62"/>
    <d v="2011-01-03T00:00:00"/>
    <n v="1"/>
    <n v="0"/>
    <n v="1"/>
    <n v="16"/>
    <b v="0"/>
    <n v="1"/>
    <x v="2"/>
    <n v="1"/>
    <x v="12"/>
    <x v="0"/>
    <n v="0.2424"/>
    <n v="0.3"/>
    <x v="1"/>
    <n v="0.25369999999999998"/>
    <n v="9"/>
    <n v="67"/>
    <n v="76"/>
  </r>
  <r>
    <n v="63"/>
    <d v="2011-01-03T00:00:00"/>
    <n v="1"/>
    <n v="0"/>
    <n v="1"/>
    <n v="17"/>
    <b v="0"/>
    <n v="1"/>
    <x v="2"/>
    <n v="1"/>
    <x v="0"/>
    <x v="0"/>
    <n v="0.2273"/>
    <n v="0.3"/>
    <x v="1"/>
    <n v="0.22389999999999999"/>
    <n v="11"/>
    <n v="146"/>
    <n v="157"/>
  </r>
  <r>
    <n v="64"/>
    <d v="2011-01-03T00:00:00"/>
    <n v="1"/>
    <n v="0"/>
    <n v="1"/>
    <n v="18"/>
    <b v="0"/>
    <n v="1"/>
    <x v="2"/>
    <n v="1"/>
    <x v="0"/>
    <x v="0"/>
    <n v="0.2576"/>
    <n v="0.32"/>
    <x v="1"/>
    <n v="0.1045"/>
    <n v="9"/>
    <n v="148"/>
    <n v="157"/>
  </r>
  <r>
    <n v="65"/>
    <d v="2011-01-03T00:00:00"/>
    <n v="1"/>
    <n v="0"/>
    <n v="1"/>
    <n v="19"/>
    <b v="0"/>
    <n v="1"/>
    <x v="2"/>
    <n v="1"/>
    <x v="2"/>
    <x v="0"/>
    <n v="0.2576"/>
    <n v="0.47"/>
    <x v="1"/>
    <n v="0"/>
    <n v="8"/>
    <n v="102"/>
    <n v="110"/>
  </r>
  <r>
    <n v="66"/>
    <d v="2011-01-03T00:00:00"/>
    <n v="1"/>
    <n v="0"/>
    <n v="1"/>
    <n v="20"/>
    <b v="0"/>
    <n v="1"/>
    <x v="2"/>
    <n v="1"/>
    <x v="2"/>
    <x v="0"/>
    <m/>
    <n v="0.47"/>
    <x v="1"/>
    <n v="0.1045"/>
    <n v="3"/>
    <n v="49"/>
    <n v="52"/>
  </r>
  <r>
    <n v="67"/>
    <d v="2011-01-03T00:00:00"/>
    <n v="1"/>
    <n v="0"/>
    <n v="1"/>
    <n v="21"/>
    <b v="0"/>
    <n v="1"/>
    <x v="2"/>
    <n v="1"/>
    <x v="15"/>
    <x v="0"/>
    <n v="0.19700000000000001"/>
    <n v="0.64"/>
    <x v="1"/>
    <n v="0.1343"/>
    <n v="3"/>
    <n v="49"/>
    <n v="52"/>
  </r>
  <r>
    <n v="68"/>
    <d v="2011-01-03T00:00:00"/>
    <n v="1"/>
    <n v="0"/>
    <n v="1"/>
    <n v="22"/>
    <b v="0"/>
    <n v="1"/>
    <x v="2"/>
    <n v="1"/>
    <x v="14"/>
    <x v="0"/>
    <n v="0.1515"/>
    <n v="0.69"/>
    <x v="1"/>
    <n v="0.1343"/>
    <n v="0"/>
    <n v="20"/>
    <n v="20"/>
  </r>
  <r>
    <n v="69"/>
    <d v="2011-01-03T00:00:00"/>
    <n v="1"/>
    <n v="0"/>
    <n v="1"/>
    <n v="23"/>
    <b v="0"/>
    <n v="1"/>
    <x v="2"/>
    <n v="1"/>
    <x v="15"/>
    <x v="0"/>
    <n v="0.21210000000000001"/>
    <n v="0.55000000000000004"/>
    <x v="1"/>
    <n v="0.1045"/>
    <n v="1"/>
    <n v="11"/>
    <n v="12"/>
  </r>
  <r>
    <n v="70"/>
    <d v="2011-01-04T00:00:00"/>
    <n v="1"/>
    <n v="0"/>
    <n v="1"/>
    <n v="0"/>
    <b v="0"/>
    <n v="2"/>
    <x v="3"/>
    <n v="1"/>
    <x v="13"/>
    <x v="0"/>
    <m/>
    <n v="0.55000000000000004"/>
    <x v="1"/>
    <n v="0.1045"/>
    <n v="0"/>
    <n v="5"/>
    <n v="5"/>
  </r>
  <r>
    <n v="71"/>
    <d v="2011-01-04T00:00:00"/>
    <n v="1"/>
    <n v="0"/>
    <n v="1"/>
    <n v="1"/>
    <b v="0"/>
    <n v="2"/>
    <x v="3"/>
    <n v="1"/>
    <x v="13"/>
    <x v="0"/>
    <n v="0.18179999999999999"/>
    <n v="0.59"/>
    <x v="1"/>
    <n v="0.1045"/>
    <n v="0"/>
    <n v="2"/>
    <n v="2"/>
  </r>
  <r>
    <n v="72"/>
    <d v="2011-01-04T00:00:00"/>
    <n v="1"/>
    <n v="0"/>
    <n v="1"/>
    <n v="2"/>
    <b v="0"/>
    <n v="2"/>
    <x v="3"/>
    <n v="1"/>
    <x v="14"/>
    <x v="0"/>
    <n v="0.1515"/>
    <n v="0.63"/>
    <x v="1"/>
    <n v="0.1343"/>
    <n v="0"/>
    <n v="1"/>
    <n v="1"/>
  </r>
  <r>
    <n v="73"/>
    <d v="2011-01-04T00:00:00"/>
    <n v="1"/>
    <n v="0"/>
    <n v="1"/>
    <n v="4"/>
    <b v="0"/>
    <n v="2"/>
    <x v="3"/>
    <n v="1"/>
    <x v="14"/>
    <x v="0"/>
    <n v="0.18179999999999999"/>
    <n v="0.63"/>
    <x v="1"/>
    <n v="8.9599999999999999E-2"/>
    <n v="0"/>
    <n v="2"/>
    <n v="2"/>
  </r>
  <r>
    <n v="74"/>
    <d v="2011-01-04T00:00:00"/>
    <n v="1"/>
    <n v="0"/>
    <n v="1"/>
    <n v="5"/>
    <b v="0"/>
    <n v="2"/>
    <x v="3"/>
    <n v="1"/>
    <x v="16"/>
    <x v="0"/>
    <n v="0.1515"/>
    <n v="0.68"/>
    <x v="1"/>
    <n v="0.1045"/>
    <n v="0"/>
    <n v="4"/>
    <n v="4"/>
  </r>
  <r>
    <n v="75"/>
    <d v="2011-01-04T00:00:00"/>
    <n v="1"/>
    <n v="0"/>
    <n v="1"/>
    <n v="6"/>
    <b v="0"/>
    <n v="2"/>
    <x v="3"/>
    <n v="1"/>
    <x v="16"/>
    <x v="0"/>
    <n v="0.1515"/>
    <n v="0.74"/>
    <x v="1"/>
    <n v="0.1045"/>
    <n v="0"/>
    <n v="36"/>
    <n v="36"/>
  </r>
  <r>
    <n v="76"/>
    <d v="2011-01-04T00:00:00"/>
    <n v="1"/>
    <n v="0"/>
    <n v="1"/>
    <n v="7"/>
    <b v="0"/>
    <n v="2"/>
    <x v="3"/>
    <n v="1"/>
    <x v="16"/>
    <x v="0"/>
    <n v="0.1515"/>
    <n v="0.74"/>
    <x v="1"/>
    <n v="0.1343"/>
    <n v="2"/>
    <n v="92"/>
    <n v="94"/>
  </r>
  <r>
    <n v="77"/>
    <d v="2011-01-04T00:00:00"/>
    <n v="1"/>
    <n v="0"/>
    <n v="1"/>
    <n v="8"/>
    <b v="0"/>
    <n v="2"/>
    <x v="3"/>
    <n v="1"/>
    <x v="14"/>
    <x v="0"/>
    <n v="0.1515"/>
    <n v="0.69"/>
    <x v="1"/>
    <n v="0.16420000000000001"/>
    <n v="2"/>
    <n v="177"/>
    <n v="179"/>
  </r>
  <r>
    <n v="78"/>
    <d v="2011-01-04T00:00:00"/>
    <n v="1"/>
    <n v="0"/>
    <n v="1"/>
    <n v="9"/>
    <b v="0"/>
    <n v="2"/>
    <x v="3"/>
    <n v="1"/>
    <x v="13"/>
    <x v="0"/>
    <n v="0.1515"/>
    <n v="0.64"/>
    <x v="1"/>
    <n v="0.22389999999999999"/>
    <n v="2"/>
    <n v="98"/>
    <n v="100"/>
  </r>
  <r>
    <n v="79"/>
    <d v="2011-01-04T00:00:00"/>
    <n v="1"/>
    <n v="0"/>
    <n v="1"/>
    <n v="10"/>
    <b v="0"/>
    <n v="2"/>
    <x v="3"/>
    <n v="2"/>
    <x v="13"/>
    <x v="0"/>
    <n v="0.13639999999999999"/>
    <n v="0.69"/>
    <x v="1"/>
    <n v="0.32840000000000003"/>
    <n v="5"/>
    <n v="37"/>
    <n v="42"/>
  </r>
  <r>
    <n v="80"/>
    <d v="2011-01-04T00:00:00"/>
    <n v="1"/>
    <n v="0"/>
    <n v="1"/>
    <n v="11"/>
    <b v="0"/>
    <n v="2"/>
    <x v="3"/>
    <n v="1"/>
    <x v="1"/>
    <x v="0"/>
    <n v="0.21210000000000001"/>
    <n v="0.51"/>
    <x v="1"/>
    <n v="0.29849999999999999"/>
    <n v="7"/>
    <n v="50"/>
    <n v="57"/>
  </r>
  <r>
    <n v="81"/>
    <d v="2011-01-04T00:00:00"/>
    <n v="1"/>
    <n v="0"/>
    <n v="1"/>
    <n v="12"/>
    <b v="0"/>
    <n v="2"/>
    <x v="3"/>
    <n v="1"/>
    <x v="1"/>
    <x v="0"/>
    <n v="0.2273"/>
    <n v="0.51"/>
    <x v="1"/>
    <n v="0.16420000000000001"/>
    <n v="12"/>
    <n v="66"/>
    <n v="78"/>
  </r>
  <r>
    <n v="82"/>
    <d v="2011-01-04T00:00:00"/>
    <n v="1"/>
    <n v="0"/>
    <n v="1"/>
    <n v="13"/>
    <b v="0"/>
    <n v="2"/>
    <x v="3"/>
    <n v="1"/>
    <x v="0"/>
    <x v="0"/>
    <n v="0.2273"/>
    <n v="0.56000000000000005"/>
    <x v="1"/>
    <n v="0.19400000000000001"/>
    <n v="18"/>
    <n v="79"/>
    <n v="97"/>
  </r>
  <r>
    <n v="83"/>
    <d v="2011-01-04T00:00:00"/>
    <n v="1"/>
    <n v="0"/>
    <n v="1"/>
    <n v="14"/>
    <b v="0"/>
    <n v="2"/>
    <x v="3"/>
    <n v="1"/>
    <x v="12"/>
    <x v="0"/>
    <n v="0.2576"/>
    <n v="0.52"/>
    <x v="1"/>
    <n v="0.22389999999999999"/>
    <n v="9"/>
    <n v="54"/>
    <n v="63"/>
  </r>
  <r>
    <n v="84"/>
    <d v="2011-01-04T00:00:00"/>
    <n v="1"/>
    <n v="0"/>
    <n v="1"/>
    <n v="15"/>
    <b v="0"/>
    <n v="2"/>
    <x v="3"/>
    <n v="1"/>
    <x v="17"/>
    <x v="0"/>
    <n v="0.2727"/>
    <n v="0.52"/>
    <x v="1"/>
    <n v="0.25369999999999998"/>
    <n v="17"/>
    <n v="48"/>
    <n v="65"/>
  </r>
  <r>
    <n v="85"/>
    <d v="2011-01-04T00:00:00"/>
    <n v="1"/>
    <n v="0"/>
    <n v="1"/>
    <n v="16"/>
    <b v="0"/>
    <n v="2"/>
    <x v="3"/>
    <n v="1"/>
    <x v="11"/>
    <x v="0"/>
    <n v="0.28789999999999999"/>
    <n v="0.49"/>
    <x v="1"/>
    <n v="0.25369999999999998"/>
    <n v="15"/>
    <n v="68"/>
    <n v="83"/>
  </r>
  <r>
    <n v="86"/>
    <d v="2011-01-04T00:00:00"/>
    <n v="1"/>
    <n v="0"/>
    <n v="1"/>
    <n v="17"/>
    <b v="0"/>
    <n v="2"/>
    <x v="3"/>
    <n v="1"/>
    <x v="17"/>
    <x v="0"/>
    <n v="0.2727"/>
    <n v="0.48"/>
    <x v="1"/>
    <n v="0.22389999999999999"/>
    <n v="10"/>
    <n v="202"/>
    <n v="212"/>
  </r>
  <r>
    <n v="87"/>
    <d v="2011-01-04T00:00:00"/>
    <n v="1"/>
    <n v="0"/>
    <n v="1"/>
    <n v="18"/>
    <b v="0"/>
    <n v="2"/>
    <x v="3"/>
    <n v="1"/>
    <x v="12"/>
    <x v="0"/>
    <n v="0.2576"/>
    <n v="0.48"/>
    <x v="1"/>
    <n v="0.19400000000000001"/>
    <n v="3"/>
    <n v="179"/>
    <n v="182"/>
  </r>
  <r>
    <n v="88"/>
    <d v="2011-01-04T00:00:00"/>
    <n v="1"/>
    <n v="0"/>
    <n v="1"/>
    <n v="19"/>
    <b v="0"/>
    <n v="2"/>
    <x v="3"/>
    <n v="1"/>
    <x v="0"/>
    <x v="0"/>
    <n v="0.2576"/>
    <n v="0.48"/>
    <x v="1"/>
    <n v="0.1045"/>
    <n v="2"/>
    <n v="110"/>
    <n v="112"/>
  </r>
  <r>
    <n v="89"/>
    <d v="2011-01-04T00:00:00"/>
    <n v="1"/>
    <n v="0"/>
    <n v="1"/>
    <n v="20"/>
    <b v="0"/>
    <n v="2"/>
    <x v="3"/>
    <n v="1"/>
    <x v="0"/>
    <x v="0"/>
    <n v="0.2576"/>
    <n v="0.48"/>
    <x v="1"/>
    <n v="0.1045"/>
    <n v="1"/>
    <n v="53"/>
    <n v="54"/>
  </r>
  <r>
    <n v="90"/>
    <d v="2011-01-04T00:00:00"/>
    <n v="1"/>
    <n v="0"/>
    <n v="1"/>
    <n v="21"/>
    <b v="0"/>
    <n v="2"/>
    <x v="3"/>
    <n v="1"/>
    <x v="1"/>
    <x v="0"/>
    <n v="0.2727"/>
    <n v="0.64"/>
    <x v="1"/>
    <n v="0"/>
    <n v="0"/>
    <n v="48"/>
    <n v="48"/>
  </r>
  <r>
    <n v="91"/>
    <d v="2011-01-04T00:00:00"/>
    <n v="1"/>
    <n v="0"/>
    <n v="1"/>
    <n v="22"/>
    <b v="0"/>
    <n v="2"/>
    <x v="3"/>
    <n v="1"/>
    <x v="1"/>
    <x v="0"/>
    <n v="0.2576"/>
    <n v="0.64"/>
    <x v="1"/>
    <n v="8.9599999999999999E-2"/>
    <n v="1"/>
    <n v="34"/>
    <n v="35"/>
  </r>
  <r>
    <n v="92"/>
    <d v="2011-01-04T00:00:00"/>
    <n v="1"/>
    <n v="0"/>
    <n v="1"/>
    <n v="23"/>
    <b v="0"/>
    <n v="2"/>
    <x v="3"/>
    <n v="1"/>
    <x v="2"/>
    <x v="0"/>
    <n v="0.2273"/>
    <n v="0.69"/>
    <x v="1"/>
    <n v="8.9599999999999999E-2"/>
    <n v="2"/>
    <n v="9"/>
    <n v="11"/>
  </r>
  <r>
    <n v="93"/>
    <d v="2011-01-05T00:00:00"/>
    <n v="1"/>
    <n v="0"/>
    <n v="1"/>
    <n v="0"/>
    <b v="0"/>
    <n v="3"/>
    <x v="4"/>
    <n v="1"/>
    <x v="2"/>
    <x v="0"/>
    <n v="0.2576"/>
    <n v="0.64"/>
    <x v="1"/>
    <n v="0"/>
    <n v="0"/>
    <n v="6"/>
    <n v="6"/>
  </r>
  <r>
    <n v="94"/>
    <d v="2011-01-05T00:00:00"/>
    <n v="1"/>
    <n v="0"/>
    <n v="1"/>
    <n v="1"/>
    <b v="0"/>
    <n v="3"/>
    <x v="4"/>
    <n v="1"/>
    <x v="13"/>
    <x v="0"/>
    <n v="0.19700000000000001"/>
    <n v="0.74"/>
    <x v="1"/>
    <n v="8.9599999999999999E-2"/>
    <n v="0"/>
    <n v="6"/>
    <n v="6"/>
  </r>
  <r>
    <n v="95"/>
    <d v="2011-01-05T00:00:00"/>
    <n v="1"/>
    <n v="0"/>
    <n v="1"/>
    <n v="2"/>
    <b v="0"/>
    <n v="3"/>
    <x v="4"/>
    <n v="1"/>
    <x v="13"/>
    <x v="0"/>
    <n v="0.19700000000000001"/>
    <n v="0.74"/>
    <x v="1"/>
    <n v="8.9599999999999999E-2"/>
    <n v="0"/>
    <n v="2"/>
    <n v="2"/>
  </r>
  <r>
    <n v="96"/>
    <d v="2011-01-05T00:00:00"/>
    <n v="1"/>
    <n v="0"/>
    <n v="1"/>
    <n v="4"/>
    <b v="0"/>
    <n v="3"/>
    <x v="4"/>
    <n v="1"/>
    <x v="0"/>
    <x v="0"/>
    <n v="0.2273"/>
    <n v="0.48"/>
    <x v="1"/>
    <n v="0.22389999999999999"/>
    <n v="0"/>
    <n v="2"/>
    <n v="2"/>
  </r>
  <r>
    <n v="97"/>
    <d v="2011-01-05T00:00:00"/>
    <n v="1"/>
    <n v="0"/>
    <n v="1"/>
    <n v="5"/>
    <b v="0"/>
    <n v="3"/>
    <x v="4"/>
    <n v="1"/>
    <x v="1"/>
    <x v="0"/>
    <n v="0.2273"/>
    <n v="0.47"/>
    <x v="1"/>
    <n v="0.16420000000000001"/>
    <n v="0"/>
    <n v="3"/>
    <n v="3"/>
  </r>
  <r>
    <n v="98"/>
    <d v="2011-01-05T00:00:00"/>
    <n v="1"/>
    <n v="0"/>
    <n v="1"/>
    <n v="6"/>
    <b v="0"/>
    <n v="3"/>
    <x v="4"/>
    <n v="1"/>
    <x v="2"/>
    <x v="0"/>
    <n v="0.19700000000000001"/>
    <n v="0.47"/>
    <x v="1"/>
    <n v="0.22389999999999999"/>
    <n v="0"/>
    <n v="33"/>
    <n v="33"/>
  </r>
  <r>
    <n v="99"/>
    <d v="2011-01-05T00:00:00"/>
    <n v="1"/>
    <n v="0"/>
    <n v="1"/>
    <n v="7"/>
    <b v="0"/>
    <n v="3"/>
    <x v="4"/>
    <n v="1"/>
    <x v="15"/>
    <x v="0"/>
    <n v="0.18179999999999999"/>
    <n v="0.43"/>
    <x v="1"/>
    <n v="0.19400000000000001"/>
    <n v="1"/>
    <n v="87"/>
    <n v="88"/>
  </r>
  <r>
    <n v="100"/>
    <d v="2011-01-05T00:00:00"/>
    <n v="1"/>
    <n v="0"/>
    <n v="1"/>
    <n v="8"/>
    <b v="0"/>
    <n v="3"/>
    <x v="4"/>
    <n v="1"/>
    <x v="2"/>
    <x v="0"/>
    <n v="0.18179999999999999"/>
    <n v="0.4"/>
    <x v="1"/>
    <n v="0.29849999999999999"/>
    <n v="3"/>
    <n v="192"/>
    <n v="195"/>
  </r>
  <r>
    <n v="101"/>
    <d v="2011-01-05T00:00:00"/>
    <n v="1"/>
    <n v="0"/>
    <n v="1"/>
    <n v="9"/>
    <b v="0"/>
    <n v="3"/>
    <x v="4"/>
    <n v="1"/>
    <x v="1"/>
    <x v="0"/>
    <n v="0.19700000000000001"/>
    <n v="0.37"/>
    <x v="1"/>
    <n v="0.32840000000000003"/>
    <n v="6"/>
    <n v="109"/>
    <n v="115"/>
  </r>
  <r>
    <n v="102"/>
    <d v="2011-01-05T00:00:00"/>
    <n v="1"/>
    <n v="0"/>
    <n v="1"/>
    <n v="10"/>
    <b v="0"/>
    <n v="3"/>
    <x v="4"/>
    <n v="1"/>
    <x v="1"/>
    <x v="0"/>
    <n v="0.19700000000000001"/>
    <n v="0.37"/>
    <x v="1"/>
    <n v="0.32840000000000003"/>
    <n v="4"/>
    <n v="53"/>
    <n v="57"/>
  </r>
  <r>
    <n v="103"/>
    <d v="2011-01-05T00:00:00"/>
    <n v="1"/>
    <n v="0"/>
    <n v="1"/>
    <n v="11"/>
    <b v="0"/>
    <n v="3"/>
    <x v="4"/>
    <n v="1"/>
    <x v="12"/>
    <x v="0"/>
    <n v="0.2273"/>
    <n v="0.33"/>
    <x v="1"/>
    <n v="0.32840000000000003"/>
    <n v="12"/>
    <n v="34"/>
    <n v="46"/>
  </r>
  <r>
    <n v="104"/>
    <d v="2011-01-05T00:00:00"/>
    <n v="1"/>
    <n v="0"/>
    <n v="1"/>
    <n v="12"/>
    <b v="0"/>
    <n v="3"/>
    <x v="4"/>
    <n v="1"/>
    <x v="12"/>
    <x v="0"/>
    <n v="0.2273"/>
    <n v="0.33"/>
    <x v="1"/>
    <n v="0.32840000000000003"/>
    <n v="5"/>
    <n v="74"/>
    <n v="79"/>
  </r>
  <r>
    <n v="105"/>
    <d v="2011-01-05T00:00:00"/>
    <n v="1"/>
    <n v="0"/>
    <n v="1"/>
    <n v="13"/>
    <b v="0"/>
    <n v="3"/>
    <x v="4"/>
    <n v="1"/>
    <x v="17"/>
    <x v="0"/>
    <n v="0.2576"/>
    <n v="0.3"/>
    <x v="1"/>
    <n v="0.29849999999999999"/>
    <n v="6"/>
    <n v="65"/>
    <n v="71"/>
  </r>
  <r>
    <n v="106"/>
    <d v="2011-01-05T00:00:00"/>
    <n v="1"/>
    <n v="0"/>
    <n v="1"/>
    <n v="14"/>
    <b v="0"/>
    <n v="3"/>
    <x v="4"/>
    <n v="1"/>
    <x v="11"/>
    <x v="0"/>
    <n v="0.28789999999999999"/>
    <n v="0.28000000000000003"/>
    <x v="1"/>
    <n v="0.19400000000000001"/>
    <n v="10"/>
    <n v="52"/>
    <n v="62"/>
  </r>
  <r>
    <n v="107"/>
    <d v="2011-01-05T00:00:00"/>
    <n v="1"/>
    <n v="0"/>
    <n v="1"/>
    <n v="15"/>
    <b v="0"/>
    <n v="3"/>
    <x v="4"/>
    <n v="1"/>
    <x v="11"/>
    <x v="0"/>
    <n v="0.28789999999999999"/>
    <n v="0.28000000000000003"/>
    <x v="1"/>
    <n v="0.19400000000000001"/>
    <n v="7"/>
    <n v="55"/>
    <n v="62"/>
  </r>
  <r>
    <n v="108"/>
    <d v="2011-01-05T00:00:00"/>
    <n v="1"/>
    <n v="0"/>
    <n v="1"/>
    <n v="16"/>
    <b v="0"/>
    <n v="3"/>
    <x v="4"/>
    <n v="1"/>
    <x v="11"/>
    <x v="0"/>
    <n v="0.31819999999999998"/>
    <n v="0.28000000000000003"/>
    <x v="1"/>
    <n v="8.9599999999999999E-2"/>
    <n v="4"/>
    <n v="85"/>
    <n v="89"/>
  </r>
  <r>
    <n v="109"/>
    <d v="2011-01-05T00:00:00"/>
    <n v="1"/>
    <n v="0"/>
    <n v="1"/>
    <n v="17"/>
    <b v="0"/>
    <n v="3"/>
    <x v="4"/>
    <n v="1"/>
    <x v="0"/>
    <x v="0"/>
    <n v="0.2273"/>
    <n v="0.38"/>
    <x v="1"/>
    <n v="0.19400000000000001"/>
    <n v="4"/>
    <n v="186"/>
    <n v="190"/>
  </r>
  <r>
    <n v="110"/>
    <d v="2011-01-05T00:00:00"/>
    <n v="1"/>
    <n v="0"/>
    <n v="1"/>
    <n v="18"/>
    <b v="0"/>
    <n v="3"/>
    <x v="4"/>
    <n v="1"/>
    <x v="0"/>
    <x v="0"/>
    <n v="0.2424"/>
    <n v="0.38"/>
    <x v="1"/>
    <n v="0.1343"/>
    <n v="3"/>
    <n v="166"/>
    <n v="169"/>
  </r>
  <r>
    <n v="111"/>
    <d v="2011-01-05T00:00:00"/>
    <n v="1"/>
    <n v="0"/>
    <n v="1"/>
    <n v="19"/>
    <b v="0"/>
    <n v="3"/>
    <x v="4"/>
    <n v="1"/>
    <x v="0"/>
    <x v="0"/>
    <n v="0.2576"/>
    <n v="0.38"/>
    <x v="1"/>
    <n v="0.1045"/>
    <n v="5"/>
    <n v="127"/>
    <n v="132"/>
  </r>
  <r>
    <n v="112"/>
    <d v="2011-01-05T00:00:00"/>
    <n v="1"/>
    <n v="0"/>
    <n v="1"/>
    <n v="20"/>
    <b v="0"/>
    <n v="3"/>
    <x v="4"/>
    <n v="1"/>
    <x v="1"/>
    <x v="0"/>
    <n v="0.2273"/>
    <n v="0.47"/>
    <x v="1"/>
    <n v="0.16420000000000001"/>
    <n v="7"/>
    <n v="82"/>
    <n v="89"/>
  </r>
  <r>
    <n v="113"/>
    <d v="2011-01-05T00:00:00"/>
    <n v="1"/>
    <n v="0"/>
    <n v="1"/>
    <n v="21"/>
    <b v="0"/>
    <n v="3"/>
    <x v="4"/>
    <n v="1"/>
    <x v="2"/>
    <x v="0"/>
    <n v="0.19700000000000001"/>
    <n v="0.51"/>
    <x v="1"/>
    <n v="0.19400000000000001"/>
    <n v="3"/>
    <n v="40"/>
    <n v="43"/>
  </r>
  <r>
    <n v="114"/>
    <d v="2011-01-05T00:00:00"/>
    <n v="1"/>
    <n v="0"/>
    <n v="1"/>
    <n v="22"/>
    <b v="0"/>
    <n v="3"/>
    <x v="4"/>
    <n v="1"/>
    <x v="15"/>
    <x v="0"/>
    <n v="0.19700000000000001"/>
    <n v="0.55000000000000004"/>
    <x v="1"/>
    <n v="0.1343"/>
    <n v="1"/>
    <n v="41"/>
    <n v="42"/>
  </r>
  <r>
    <n v="115"/>
    <d v="2011-01-05T00:00:00"/>
    <n v="1"/>
    <n v="0"/>
    <n v="1"/>
    <n v="23"/>
    <b v="0"/>
    <n v="3"/>
    <x v="4"/>
    <n v="1"/>
    <x v="2"/>
    <x v="0"/>
    <n v="0.2576"/>
    <n v="0.47"/>
    <x v="1"/>
    <n v="0"/>
    <n v="1"/>
    <n v="18"/>
    <n v="19"/>
  </r>
  <r>
    <n v="116"/>
    <d v="2011-01-06T00:00:00"/>
    <n v="1"/>
    <n v="0"/>
    <n v="1"/>
    <n v="0"/>
    <b v="0"/>
    <n v="4"/>
    <x v="5"/>
    <n v="1"/>
    <x v="15"/>
    <x v="0"/>
    <n v="0.2424"/>
    <n v="0.55000000000000004"/>
    <x v="1"/>
    <n v="0"/>
    <n v="0"/>
    <n v="11"/>
    <n v="11"/>
  </r>
  <r>
    <n v="117"/>
    <d v="2011-01-06T00:00:00"/>
    <n v="1"/>
    <n v="0"/>
    <n v="1"/>
    <n v="1"/>
    <b v="0"/>
    <n v="4"/>
    <x v="5"/>
    <n v="1"/>
    <x v="13"/>
    <x v="0"/>
    <n v="0.2273"/>
    <n v="0.64"/>
    <x v="1"/>
    <n v="0"/>
    <n v="0"/>
    <n v="4"/>
    <n v="4"/>
  </r>
  <r>
    <n v="118"/>
    <d v="2011-01-06T00:00:00"/>
    <n v="1"/>
    <n v="0"/>
    <n v="1"/>
    <n v="2"/>
    <b v="0"/>
    <n v="4"/>
    <x v="5"/>
    <n v="1"/>
    <x v="13"/>
    <x v="0"/>
    <n v="0.2273"/>
    <n v="0.64"/>
    <x v="1"/>
    <n v="0"/>
    <n v="0"/>
    <n v="2"/>
    <n v="2"/>
  </r>
  <r>
    <n v="119"/>
    <d v="2011-01-06T00:00:00"/>
    <n v="1"/>
    <n v="0"/>
    <n v="1"/>
    <n v="4"/>
    <b v="0"/>
    <n v="4"/>
    <x v="5"/>
    <n v="2"/>
    <x v="13"/>
    <x v="0"/>
    <n v="0.19700000000000001"/>
    <n v="0.64"/>
    <x v="1"/>
    <n v="8.9599999999999999E-2"/>
    <n v="0"/>
    <n v="1"/>
    <n v="1"/>
  </r>
  <r>
    <n v="120"/>
    <d v="2011-01-06T00:00:00"/>
    <n v="1"/>
    <n v="0"/>
    <n v="1"/>
    <n v="5"/>
    <b v="0"/>
    <n v="4"/>
    <x v="5"/>
    <n v="2"/>
    <x v="14"/>
    <x v="0"/>
    <n v="0.18179999999999999"/>
    <n v="0.69"/>
    <x v="1"/>
    <n v="8.9599999999999999E-2"/>
    <n v="0"/>
    <n v="4"/>
    <n v="4"/>
  </r>
  <r>
    <n v="121"/>
    <d v="2011-01-06T00:00:00"/>
    <n v="1"/>
    <n v="0"/>
    <n v="1"/>
    <n v="6"/>
    <b v="0"/>
    <n v="4"/>
    <x v="5"/>
    <n v="2"/>
    <x v="14"/>
    <x v="0"/>
    <n v="0.16669999999999999"/>
    <n v="0.63"/>
    <x v="1"/>
    <n v="0.1045"/>
    <n v="0"/>
    <n v="36"/>
    <n v="36"/>
  </r>
  <r>
    <n v="122"/>
    <d v="2011-01-06T00:00:00"/>
    <n v="1"/>
    <n v="0"/>
    <n v="1"/>
    <n v="7"/>
    <b v="0"/>
    <n v="4"/>
    <x v="5"/>
    <n v="2"/>
    <x v="13"/>
    <x v="0"/>
    <n v="0.2273"/>
    <n v="0.59"/>
    <x v="1"/>
    <n v="0"/>
    <n v="0"/>
    <n v="95"/>
    <n v="95"/>
  </r>
  <r>
    <n v="123"/>
    <d v="2011-01-06T00:00:00"/>
    <n v="1"/>
    <n v="0"/>
    <n v="1"/>
    <n v="8"/>
    <b v="0"/>
    <n v="4"/>
    <x v="5"/>
    <n v="1"/>
    <x v="13"/>
    <x v="0"/>
    <n v="0.2273"/>
    <n v="0.59"/>
    <x v="1"/>
    <n v="0"/>
    <n v="3"/>
    <n v="216"/>
    <n v="219"/>
  </r>
  <r>
    <n v="124"/>
    <d v="2011-01-06T00:00:00"/>
    <n v="1"/>
    <n v="0"/>
    <n v="1"/>
    <n v="9"/>
    <b v="0"/>
    <n v="4"/>
    <x v="5"/>
    <n v="2"/>
    <x v="15"/>
    <x v="0"/>
    <n v="0.2424"/>
    <n v="0.51"/>
    <x v="1"/>
    <n v="0"/>
    <n v="6"/>
    <n v="116"/>
    <n v="122"/>
  </r>
  <r>
    <n v="125"/>
    <d v="2011-01-06T00:00:00"/>
    <n v="1"/>
    <n v="0"/>
    <n v="1"/>
    <n v="10"/>
    <b v="0"/>
    <n v="4"/>
    <x v="5"/>
    <n v="1"/>
    <x v="2"/>
    <x v="0"/>
    <n v="0.2576"/>
    <n v="0.47"/>
    <x v="1"/>
    <n v="0"/>
    <n v="3"/>
    <n v="42"/>
    <n v="45"/>
  </r>
  <r>
    <n v="126"/>
    <d v="2011-01-06T00:00:00"/>
    <n v="1"/>
    <n v="0"/>
    <n v="1"/>
    <n v="11"/>
    <b v="0"/>
    <n v="4"/>
    <x v="5"/>
    <n v="1"/>
    <x v="1"/>
    <x v="0"/>
    <n v="0.2576"/>
    <n v="0.44"/>
    <x v="1"/>
    <n v="8.9599999999999999E-2"/>
    <n v="2"/>
    <n v="57"/>
    <n v="59"/>
  </r>
  <r>
    <n v="127"/>
    <d v="2011-01-06T00:00:00"/>
    <n v="1"/>
    <n v="0"/>
    <n v="1"/>
    <n v="12"/>
    <b v="0"/>
    <n v="4"/>
    <x v="5"/>
    <n v="1"/>
    <x v="12"/>
    <x v="0"/>
    <n v="0.28789999999999999"/>
    <n v="0.35"/>
    <x v="1"/>
    <n v="0"/>
    <n v="6"/>
    <n v="78"/>
    <n v="84"/>
  </r>
  <r>
    <n v="128"/>
    <d v="2011-01-06T00:00:00"/>
    <n v="1"/>
    <n v="0"/>
    <n v="1"/>
    <n v="13"/>
    <b v="0"/>
    <n v="4"/>
    <x v="5"/>
    <n v="1"/>
    <x v="12"/>
    <x v="0"/>
    <n v="0.2727"/>
    <n v="0.35"/>
    <x v="1"/>
    <n v="0.1045"/>
    <n v="12"/>
    <n v="55"/>
    <n v="67"/>
  </r>
  <r>
    <n v="129"/>
    <d v="2011-01-06T00:00:00"/>
    <n v="1"/>
    <n v="0"/>
    <n v="1"/>
    <n v="14"/>
    <b v="0"/>
    <n v="4"/>
    <x v="5"/>
    <n v="1"/>
    <x v="17"/>
    <x v="0"/>
    <n v="0.2727"/>
    <n v="0.36"/>
    <x v="1"/>
    <n v="0.16420000000000001"/>
    <n v="11"/>
    <n v="59"/>
    <n v="70"/>
  </r>
  <r>
    <n v="130"/>
    <d v="2011-01-06T00:00:00"/>
    <n v="1"/>
    <n v="0"/>
    <n v="1"/>
    <n v="15"/>
    <b v="0"/>
    <n v="4"/>
    <x v="5"/>
    <n v="1"/>
    <x v="17"/>
    <x v="0"/>
    <n v="0.2727"/>
    <n v="0.36"/>
    <x v="1"/>
    <n v="0"/>
    <n v="8"/>
    <n v="54"/>
    <n v="62"/>
  </r>
  <r>
    <n v="131"/>
    <d v="2011-01-06T00:00:00"/>
    <n v="1"/>
    <n v="0"/>
    <n v="1"/>
    <n v="16"/>
    <b v="0"/>
    <n v="4"/>
    <x v="5"/>
    <n v="1"/>
    <x v="12"/>
    <x v="0"/>
    <n v="0.2576"/>
    <n v="0.38"/>
    <x v="1"/>
    <n v="0.16420000000000001"/>
    <n v="12"/>
    <n v="74"/>
    <n v="86"/>
  </r>
  <r>
    <n v="132"/>
    <d v="2011-01-06T00:00:00"/>
    <n v="1"/>
    <n v="0"/>
    <n v="1"/>
    <n v="17"/>
    <b v="0"/>
    <n v="4"/>
    <x v="5"/>
    <n v="1"/>
    <x v="1"/>
    <x v="0"/>
    <n v="0.2273"/>
    <n v="0.51"/>
    <x v="1"/>
    <n v="0.16420000000000001"/>
    <n v="9"/>
    <n v="163"/>
    <n v="172"/>
  </r>
  <r>
    <n v="133"/>
    <d v="2011-01-06T00:00:00"/>
    <n v="1"/>
    <n v="0"/>
    <n v="1"/>
    <n v="18"/>
    <b v="0"/>
    <n v="4"/>
    <x v="5"/>
    <n v="1"/>
    <x v="1"/>
    <x v="0"/>
    <n v="0.2273"/>
    <n v="0.51"/>
    <x v="1"/>
    <n v="0.1343"/>
    <n v="5"/>
    <n v="158"/>
    <n v="163"/>
  </r>
  <r>
    <n v="134"/>
    <d v="2011-01-06T00:00:00"/>
    <n v="1"/>
    <n v="0"/>
    <n v="1"/>
    <n v="19"/>
    <b v="0"/>
    <n v="4"/>
    <x v="5"/>
    <n v="1"/>
    <x v="1"/>
    <x v="0"/>
    <n v="0.2576"/>
    <n v="0.55000000000000004"/>
    <x v="1"/>
    <n v="8.9599999999999999E-2"/>
    <n v="3"/>
    <n v="109"/>
    <n v="112"/>
  </r>
  <r>
    <n v="135"/>
    <d v="2011-01-06T00:00:00"/>
    <n v="1"/>
    <n v="0"/>
    <n v="1"/>
    <n v="20"/>
    <b v="0"/>
    <n v="4"/>
    <x v="5"/>
    <n v="1"/>
    <x v="2"/>
    <x v="0"/>
    <n v="0.21210000000000001"/>
    <n v="0.51"/>
    <x v="1"/>
    <n v="0.16420000000000001"/>
    <n v="3"/>
    <n v="66"/>
    <n v="69"/>
  </r>
  <r>
    <n v="136"/>
    <d v="2011-01-06T00:00:00"/>
    <n v="1"/>
    <n v="0"/>
    <n v="1"/>
    <n v="21"/>
    <b v="0"/>
    <n v="4"/>
    <x v="5"/>
    <n v="2"/>
    <x v="1"/>
    <x v="0"/>
    <n v="0.21210000000000001"/>
    <n v="0.55000000000000004"/>
    <x v="1"/>
    <n v="0.22389999999999999"/>
    <n v="0"/>
    <n v="48"/>
    <n v="48"/>
  </r>
  <r>
    <n v="137"/>
    <d v="2011-01-06T00:00:00"/>
    <n v="1"/>
    <n v="0"/>
    <n v="1"/>
    <n v="22"/>
    <b v="0"/>
    <n v="4"/>
    <x v="5"/>
    <n v="2"/>
    <x v="1"/>
    <x v="0"/>
    <n v="0.21210000000000001"/>
    <n v="0.51"/>
    <x v="1"/>
    <n v="0.28360000000000002"/>
    <n v="1"/>
    <n v="51"/>
    <n v="52"/>
  </r>
  <r>
    <n v="138"/>
    <d v="2011-01-06T00:00:00"/>
    <n v="1"/>
    <n v="0"/>
    <n v="1"/>
    <n v="23"/>
    <b v="0"/>
    <n v="4"/>
    <x v="5"/>
    <n v="2"/>
    <x v="2"/>
    <x v="0"/>
    <n v="0.19700000000000001"/>
    <n v="0.59"/>
    <x v="1"/>
    <n v="0.19400000000000001"/>
    <n v="4"/>
    <n v="19"/>
    <n v="23"/>
  </r>
  <r>
    <n v="139"/>
    <d v="2011-01-07T00:00:00"/>
    <n v="1"/>
    <n v="0"/>
    <n v="1"/>
    <n v="0"/>
    <b v="0"/>
    <n v="5"/>
    <x v="6"/>
    <n v="2"/>
    <x v="2"/>
    <x v="0"/>
    <n v="0.19700000000000001"/>
    <n v="0.64"/>
    <x v="1"/>
    <n v="0.19400000000000001"/>
    <n v="4"/>
    <n v="13"/>
    <n v="17"/>
  </r>
  <r>
    <n v="140"/>
    <d v="2011-01-07T00:00:00"/>
    <n v="1"/>
    <n v="0"/>
    <n v="1"/>
    <n v="1"/>
    <b v="0"/>
    <n v="5"/>
    <x v="6"/>
    <n v="2"/>
    <x v="2"/>
    <x v="0"/>
    <n v="0.19700000000000001"/>
    <n v="0.69"/>
    <x v="1"/>
    <n v="0.22389999999999999"/>
    <n v="2"/>
    <n v="5"/>
    <n v="7"/>
  </r>
  <r>
    <n v="141"/>
    <d v="2011-01-07T00:00:00"/>
    <n v="1"/>
    <n v="0"/>
    <n v="1"/>
    <n v="2"/>
    <b v="0"/>
    <n v="5"/>
    <x v="6"/>
    <n v="2"/>
    <x v="2"/>
    <x v="0"/>
    <n v="0.19700000000000001"/>
    <n v="0.69"/>
    <x v="1"/>
    <n v="0.22389999999999999"/>
    <n v="0"/>
    <n v="1"/>
    <n v="1"/>
  </r>
  <r>
    <n v="142"/>
    <d v="2011-01-07T00:00:00"/>
    <n v="1"/>
    <n v="0"/>
    <n v="1"/>
    <n v="4"/>
    <b v="0"/>
    <n v="5"/>
    <x v="6"/>
    <n v="2"/>
    <x v="2"/>
    <x v="0"/>
    <n v="0.21210000000000001"/>
    <n v="0.69"/>
    <x v="1"/>
    <n v="0.1343"/>
    <n v="0"/>
    <n v="1"/>
    <n v="1"/>
  </r>
  <r>
    <n v="143"/>
    <d v="2011-01-07T00:00:00"/>
    <n v="1"/>
    <n v="0"/>
    <n v="1"/>
    <n v="5"/>
    <b v="0"/>
    <n v="5"/>
    <x v="6"/>
    <n v="3"/>
    <x v="1"/>
    <x v="0"/>
    <n v="0.2727"/>
    <n v="0.55000000000000004"/>
    <x v="1"/>
    <n v="0"/>
    <n v="0"/>
    <n v="5"/>
    <n v="5"/>
  </r>
  <r>
    <n v="144"/>
    <d v="2011-01-07T00:00:00"/>
    <n v="1"/>
    <n v="0"/>
    <n v="1"/>
    <n v="6"/>
    <b v="0"/>
    <n v="5"/>
    <x v="6"/>
    <n v="2"/>
    <x v="2"/>
    <x v="0"/>
    <n v="0.2576"/>
    <n v="0.69"/>
    <x v="1"/>
    <n v="0"/>
    <n v="8"/>
    <n v="26"/>
    <n v="34"/>
  </r>
  <r>
    <n v="145"/>
    <d v="2011-01-07T00:00:00"/>
    <n v="1"/>
    <n v="0"/>
    <n v="1"/>
    <n v="7"/>
    <b v="0"/>
    <n v="5"/>
    <x v="6"/>
    <n v="1"/>
    <x v="2"/>
    <x v="0"/>
    <n v="0.21210000000000001"/>
    <n v="0.69"/>
    <x v="1"/>
    <n v="0.1343"/>
    <n v="8"/>
    <n v="76"/>
    <n v="84"/>
  </r>
  <r>
    <n v="146"/>
    <d v="2011-01-07T00:00:00"/>
    <n v="1"/>
    <n v="0"/>
    <n v="1"/>
    <n v="8"/>
    <b v="0"/>
    <n v="5"/>
    <x v="6"/>
    <n v="1"/>
    <x v="2"/>
    <x v="0"/>
    <n v="0.19700000000000001"/>
    <n v="0.51"/>
    <x v="1"/>
    <n v="0.25369999999999998"/>
    <n v="20"/>
    <n v="190"/>
    <n v="210"/>
  </r>
  <r>
    <n v="147"/>
    <d v="2011-01-07T00:00:00"/>
    <n v="1"/>
    <n v="0"/>
    <n v="1"/>
    <n v="9"/>
    <b v="0"/>
    <n v="5"/>
    <x v="6"/>
    <n v="1"/>
    <x v="2"/>
    <x v="0"/>
    <n v="0.18179999999999999"/>
    <n v="0.47"/>
    <x v="1"/>
    <n v="0.29849999999999999"/>
    <n v="9"/>
    <n v="125"/>
    <n v="134"/>
  </r>
  <r>
    <n v="148"/>
    <d v="2011-01-07T00:00:00"/>
    <n v="1"/>
    <n v="0"/>
    <n v="1"/>
    <n v="10"/>
    <b v="0"/>
    <n v="5"/>
    <x v="6"/>
    <n v="1"/>
    <x v="1"/>
    <x v="0"/>
    <n v="0.19700000000000001"/>
    <n v="0.37"/>
    <x v="1"/>
    <n v="0.32840000000000003"/>
    <n v="16"/>
    <n v="47"/>
    <n v="63"/>
  </r>
  <r>
    <n v="149"/>
    <d v="2011-01-07T00:00:00"/>
    <n v="1"/>
    <n v="0"/>
    <n v="1"/>
    <n v="11"/>
    <b v="0"/>
    <n v="5"/>
    <x v="6"/>
    <n v="2"/>
    <x v="2"/>
    <x v="0"/>
    <n v="0.19700000000000001"/>
    <n v="0.4"/>
    <x v="1"/>
    <n v="0.22389999999999999"/>
    <n v="19"/>
    <n v="48"/>
    <n v="67"/>
  </r>
  <r>
    <n v="150"/>
    <d v="2011-01-07T00:00:00"/>
    <n v="1"/>
    <n v="0"/>
    <n v="1"/>
    <n v="12"/>
    <b v="0"/>
    <n v="5"/>
    <x v="6"/>
    <n v="2"/>
    <x v="2"/>
    <x v="0"/>
    <n v="0.19700000000000001"/>
    <n v="0.37"/>
    <x v="1"/>
    <n v="0.25369999999999998"/>
    <n v="9"/>
    <n v="50"/>
    <n v="59"/>
  </r>
  <r>
    <n v="151"/>
    <d v="2011-01-07T00:00:00"/>
    <n v="1"/>
    <n v="0"/>
    <n v="1"/>
    <n v="13"/>
    <b v="0"/>
    <n v="5"/>
    <x v="6"/>
    <n v="2"/>
    <x v="2"/>
    <x v="0"/>
    <n v="0.18179999999999999"/>
    <n v="0.37"/>
    <x v="1"/>
    <n v="0.28360000000000002"/>
    <n v="9"/>
    <n v="64"/>
    <n v="73"/>
  </r>
  <r>
    <n v="152"/>
    <d v="2011-01-07T00:00:00"/>
    <n v="1"/>
    <n v="0"/>
    <n v="1"/>
    <n v="14"/>
    <b v="0"/>
    <n v="5"/>
    <x v="6"/>
    <n v="2"/>
    <x v="2"/>
    <x v="0"/>
    <n v="0.19700000000000001"/>
    <n v="0.4"/>
    <x v="1"/>
    <n v="0.25369999999999998"/>
    <n v="7"/>
    <n v="43"/>
    <n v="50"/>
  </r>
  <r>
    <n v="153"/>
    <d v="2011-01-07T00:00:00"/>
    <n v="1"/>
    <n v="0"/>
    <n v="1"/>
    <n v="15"/>
    <b v="0"/>
    <n v="5"/>
    <x v="6"/>
    <n v="2"/>
    <x v="2"/>
    <x v="0"/>
    <n v="0.21210000000000001"/>
    <n v="0.37"/>
    <x v="1"/>
    <n v="0.16420000000000001"/>
    <n v="9"/>
    <n v="63"/>
    <n v="72"/>
  </r>
  <r>
    <n v="154"/>
    <d v="2011-01-07T00:00:00"/>
    <n v="1"/>
    <n v="0"/>
    <n v="1"/>
    <n v="16"/>
    <b v="0"/>
    <n v="5"/>
    <x v="6"/>
    <n v="2"/>
    <x v="2"/>
    <x v="0"/>
    <n v="0.21210000000000001"/>
    <n v="0.37"/>
    <x v="1"/>
    <n v="0.16420000000000001"/>
    <n v="5"/>
    <n v="82"/>
    <n v="87"/>
  </r>
  <r>
    <n v="155"/>
    <d v="2011-01-07T00:00:00"/>
    <n v="1"/>
    <n v="0"/>
    <n v="1"/>
    <n v="17"/>
    <b v="0"/>
    <n v="5"/>
    <x v="6"/>
    <n v="2"/>
    <x v="2"/>
    <x v="0"/>
    <n v="0.2576"/>
    <n v="0.37"/>
    <x v="1"/>
    <n v="0"/>
    <n v="9"/>
    <n v="178"/>
    <n v="187"/>
  </r>
  <r>
    <n v="156"/>
    <d v="2011-01-07T00:00:00"/>
    <n v="1"/>
    <n v="0"/>
    <n v="1"/>
    <n v="18"/>
    <b v="0"/>
    <n v="5"/>
    <x v="6"/>
    <n v="1"/>
    <x v="2"/>
    <x v="0"/>
    <n v="0.2273"/>
    <n v="0.4"/>
    <x v="1"/>
    <n v="8.9599999999999999E-2"/>
    <n v="7"/>
    <n v="116"/>
    <n v="123"/>
  </r>
  <r>
    <n v="157"/>
    <d v="2011-01-07T00:00:00"/>
    <n v="1"/>
    <n v="0"/>
    <n v="1"/>
    <n v="19"/>
    <b v="0"/>
    <n v="5"/>
    <x v="6"/>
    <n v="1"/>
    <x v="13"/>
    <x v="0"/>
    <n v="0.19700000000000001"/>
    <n v="0.55000000000000004"/>
    <x v="1"/>
    <n v="8.9599999999999999E-2"/>
    <n v="3"/>
    <n v="92"/>
    <n v="95"/>
  </r>
  <r>
    <n v="158"/>
    <d v="2011-01-07T00:00:00"/>
    <n v="1"/>
    <n v="0"/>
    <n v="1"/>
    <n v="20"/>
    <b v="0"/>
    <n v="5"/>
    <x v="6"/>
    <n v="1"/>
    <x v="15"/>
    <x v="0"/>
    <n v="0.21210000000000001"/>
    <n v="0.47"/>
    <x v="1"/>
    <n v="0.1045"/>
    <n v="1"/>
    <n v="50"/>
    <n v="51"/>
  </r>
  <r>
    <n v="159"/>
    <d v="2011-01-07T00:00:00"/>
    <n v="1"/>
    <n v="0"/>
    <n v="1"/>
    <n v="21"/>
    <b v="0"/>
    <n v="5"/>
    <x v="6"/>
    <n v="1"/>
    <x v="15"/>
    <x v="0"/>
    <n v="0.19700000000000001"/>
    <n v="0.47"/>
    <x v="1"/>
    <n v="0.1343"/>
    <n v="0"/>
    <n v="39"/>
    <n v="39"/>
  </r>
  <r>
    <n v="160"/>
    <d v="2011-01-07T00:00:00"/>
    <n v="1"/>
    <n v="0"/>
    <n v="1"/>
    <n v="22"/>
    <b v="0"/>
    <n v="5"/>
    <x v="6"/>
    <n v="2"/>
    <x v="15"/>
    <x v="0"/>
    <n v="0.19700000000000001"/>
    <n v="0.43"/>
    <x v="1"/>
    <n v="0.16420000000000001"/>
    <n v="2"/>
    <n v="34"/>
    <n v="36"/>
  </r>
  <r>
    <n v="161"/>
    <d v="2011-01-07T00:00:00"/>
    <n v="1"/>
    <n v="0"/>
    <n v="1"/>
    <n v="23"/>
    <b v="0"/>
    <n v="5"/>
    <x v="6"/>
    <n v="2"/>
    <x v="15"/>
    <x v="0"/>
    <n v="0.19700000000000001"/>
    <n v="0.51"/>
    <x v="1"/>
    <n v="0.16420000000000001"/>
    <n v="1"/>
    <n v="14"/>
    <n v="15"/>
  </r>
  <r>
    <n v="162"/>
    <d v="2011-01-08T00:00:00"/>
    <n v="1"/>
    <n v="0"/>
    <n v="1"/>
    <n v="0"/>
    <b v="0"/>
    <n v="6"/>
    <x v="0"/>
    <n v="2"/>
    <x v="15"/>
    <x v="0"/>
    <n v="0.19700000000000001"/>
    <n v="0.51"/>
    <x v="1"/>
    <n v="0.16420000000000001"/>
    <n v="1"/>
    <n v="24"/>
    <n v="25"/>
  </r>
  <r>
    <n v="163"/>
    <d v="2011-01-08T00:00:00"/>
    <n v="1"/>
    <n v="0"/>
    <n v="1"/>
    <n v="1"/>
    <b v="0"/>
    <n v="6"/>
    <x v="0"/>
    <n v="2"/>
    <x v="15"/>
    <x v="0"/>
    <n v="0.21210000000000001"/>
    <n v="0.55000000000000004"/>
    <x v="1"/>
    <n v="8.9599999999999999E-2"/>
    <n v="1"/>
    <n v="15"/>
    <n v="16"/>
  </r>
  <r>
    <n v="164"/>
    <d v="2011-01-08T00:00:00"/>
    <n v="1"/>
    <n v="0"/>
    <n v="1"/>
    <n v="2"/>
    <b v="0"/>
    <n v="6"/>
    <x v="0"/>
    <n v="2"/>
    <x v="15"/>
    <x v="0"/>
    <n v="0.2424"/>
    <n v="0.55000000000000004"/>
    <x v="1"/>
    <n v="0"/>
    <n v="3"/>
    <n v="13"/>
    <n v="16"/>
  </r>
  <r>
    <n v="165"/>
    <d v="2011-01-08T00:00:00"/>
    <n v="1"/>
    <n v="0"/>
    <n v="1"/>
    <n v="3"/>
    <b v="0"/>
    <n v="6"/>
    <x v="0"/>
    <n v="3"/>
    <x v="15"/>
    <x v="0"/>
    <n v="0.19700000000000001"/>
    <n v="0.55000000000000004"/>
    <x v="1"/>
    <n v="0.16420000000000001"/>
    <n v="0"/>
    <n v="7"/>
    <n v="7"/>
  </r>
  <r>
    <n v="166"/>
    <d v="2011-01-08T00:00:00"/>
    <n v="1"/>
    <n v="0"/>
    <n v="1"/>
    <n v="4"/>
    <b v="0"/>
    <n v="6"/>
    <x v="0"/>
    <n v="3"/>
    <x v="15"/>
    <x v="0"/>
    <n v="0.19700000000000001"/>
    <n v="0.55000000000000004"/>
    <x v="1"/>
    <n v="0.16420000000000001"/>
    <n v="0"/>
    <n v="1"/>
    <n v="1"/>
  </r>
  <r>
    <n v="167"/>
    <d v="2011-01-08T00:00:00"/>
    <n v="1"/>
    <n v="0"/>
    <n v="1"/>
    <n v="5"/>
    <b v="0"/>
    <n v="6"/>
    <x v="0"/>
    <n v="2"/>
    <x v="13"/>
    <x v="0"/>
    <n v="0.16669999999999999"/>
    <n v="0.74"/>
    <x v="1"/>
    <n v="0.16420000000000001"/>
    <n v="0"/>
    <n v="5"/>
    <n v="5"/>
  </r>
  <r>
    <n v="168"/>
    <d v="2011-01-08T00:00:00"/>
    <n v="1"/>
    <n v="0"/>
    <n v="1"/>
    <n v="6"/>
    <b v="0"/>
    <n v="6"/>
    <x v="0"/>
    <n v="2"/>
    <x v="13"/>
    <x v="0"/>
    <n v="0.16669999999999999"/>
    <n v="0.74"/>
    <x v="1"/>
    <n v="0.16420000000000001"/>
    <n v="0"/>
    <n v="2"/>
    <n v="2"/>
  </r>
  <r>
    <n v="169"/>
    <d v="2011-01-08T00:00:00"/>
    <n v="1"/>
    <n v="0"/>
    <n v="1"/>
    <n v="7"/>
    <b v="0"/>
    <n v="6"/>
    <x v="0"/>
    <n v="2"/>
    <x v="13"/>
    <x v="0"/>
    <n v="0.18179999999999999"/>
    <n v="0.74"/>
    <x v="1"/>
    <n v="0.1045"/>
    <n v="1"/>
    <n v="8"/>
    <n v="9"/>
  </r>
  <r>
    <n v="170"/>
    <d v="2011-01-08T00:00:00"/>
    <n v="1"/>
    <n v="0"/>
    <n v="1"/>
    <n v="8"/>
    <b v="0"/>
    <n v="6"/>
    <x v="0"/>
    <n v="3"/>
    <x v="13"/>
    <x v="0"/>
    <n v="0.18179999999999999"/>
    <n v="0.93"/>
    <x v="0"/>
    <n v="0.1045"/>
    <n v="0"/>
    <n v="15"/>
    <n v="15"/>
  </r>
  <r>
    <n v="171"/>
    <d v="2011-01-08T00:00:00"/>
    <n v="1"/>
    <n v="0"/>
    <n v="1"/>
    <n v="9"/>
    <b v="0"/>
    <n v="6"/>
    <x v="0"/>
    <n v="3"/>
    <x v="13"/>
    <x v="0"/>
    <n v="0.18179999999999999"/>
    <n v="0.93"/>
    <x v="0"/>
    <n v="0.1045"/>
    <n v="0"/>
    <n v="20"/>
    <n v="20"/>
  </r>
  <r>
    <n v="172"/>
    <d v="2011-01-08T00:00:00"/>
    <n v="1"/>
    <n v="0"/>
    <n v="1"/>
    <n v="10"/>
    <b v="0"/>
    <n v="6"/>
    <x v="0"/>
    <n v="2"/>
    <x v="15"/>
    <x v="0"/>
    <n v="0.19700000000000001"/>
    <n v="0.8"/>
    <x v="1"/>
    <n v="0.16420000000000001"/>
    <n v="5"/>
    <n v="56"/>
    <n v="61"/>
  </r>
  <r>
    <n v="173"/>
    <d v="2011-01-08T00:00:00"/>
    <n v="1"/>
    <n v="0"/>
    <n v="1"/>
    <n v="11"/>
    <b v="0"/>
    <n v="6"/>
    <x v="0"/>
    <n v="2"/>
    <x v="2"/>
    <x v="0"/>
    <n v="0.18179999999999999"/>
    <n v="0.69"/>
    <x v="1"/>
    <n v="0.3881"/>
    <n v="2"/>
    <n v="60"/>
    <n v="62"/>
  </r>
  <r>
    <n v="174"/>
    <d v="2011-01-08T00:00:00"/>
    <n v="1"/>
    <n v="0"/>
    <n v="1"/>
    <n v="12"/>
    <b v="0"/>
    <n v="6"/>
    <x v="0"/>
    <n v="2"/>
    <x v="2"/>
    <x v="0"/>
    <n v="0.18179999999999999"/>
    <n v="0.59"/>
    <x v="1"/>
    <n v="0.35820000000000002"/>
    <n v="8"/>
    <n v="90"/>
    <n v="98"/>
  </r>
  <r>
    <n v="175"/>
    <d v="2011-01-08T00:00:00"/>
    <n v="1"/>
    <n v="0"/>
    <n v="1"/>
    <n v="13"/>
    <b v="0"/>
    <n v="6"/>
    <x v="0"/>
    <n v="1"/>
    <x v="2"/>
    <x v="0"/>
    <n v="0.18179999999999999"/>
    <n v="0.44"/>
    <x v="1"/>
    <n v="0.32840000000000003"/>
    <n v="7"/>
    <n v="95"/>
    <n v="102"/>
  </r>
  <r>
    <n v="176"/>
    <d v="2011-01-08T00:00:00"/>
    <n v="1"/>
    <n v="0"/>
    <n v="1"/>
    <n v="14"/>
    <b v="0"/>
    <n v="6"/>
    <x v="0"/>
    <n v="1"/>
    <x v="2"/>
    <x v="0"/>
    <n v="0.16669999999999999"/>
    <n v="0.32"/>
    <x v="1"/>
    <n v="0.49249999999999999"/>
    <n v="12"/>
    <n v="83"/>
    <n v="95"/>
  </r>
  <r>
    <n v="177"/>
    <d v="2011-01-08T00:00:00"/>
    <n v="1"/>
    <n v="0"/>
    <n v="1"/>
    <n v="15"/>
    <b v="0"/>
    <n v="6"/>
    <x v="0"/>
    <n v="1"/>
    <x v="2"/>
    <x v="0"/>
    <n v="0.16669999999999999"/>
    <n v="0.32"/>
    <x v="1"/>
    <n v="0.44779999999999998"/>
    <n v="5"/>
    <n v="69"/>
    <n v="74"/>
  </r>
  <r>
    <n v="178"/>
    <d v="2011-01-08T00:00:00"/>
    <n v="1"/>
    <n v="0"/>
    <n v="1"/>
    <n v="16"/>
    <b v="0"/>
    <n v="6"/>
    <x v="0"/>
    <n v="1"/>
    <x v="15"/>
    <x v="0"/>
    <n v="0.13639999999999999"/>
    <n v="0.28999999999999998"/>
    <x v="1"/>
    <n v="0.44779999999999998"/>
    <n v="8"/>
    <n v="68"/>
    <n v="76"/>
  </r>
  <r>
    <n v="179"/>
    <d v="2011-01-08T00:00:00"/>
    <n v="1"/>
    <n v="0"/>
    <n v="1"/>
    <n v="17"/>
    <b v="0"/>
    <n v="6"/>
    <x v="0"/>
    <n v="1"/>
    <x v="13"/>
    <x v="0"/>
    <n v="0.1212"/>
    <n v="0.37"/>
    <x v="1"/>
    <n v="0.55220000000000002"/>
    <n v="5"/>
    <n v="64"/>
    <n v="69"/>
  </r>
  <r>
    <n v="180"/>
    <d v="2011-01-08T00:00:00"/>
    <n v="1"/>
    <n v="0"/>
    <n v="1"/>
    <n v="18"/>
    <b v="0"/>
    <n v="6"/>
    <x v="0"/>
    <n v="1"/>
    <x v="14"/>
    <x v="0"/>
    <n v="0.1212"/>
    <n v="0.39"/>
    <x v="1"/>
    <n v="0.29849999999999999"/>
    <n v="3"/>
    <n v="52"/>
    <n v="55"/>
  </r>
  <r>
    <n v="181"/>
    <d v="2011-01-08T00:00:00"/>
    <n v="1"/>
    <n v="0"/>
    <n v="1"/>
    <n v="19"/>
    <b v="0"/>
    <n v="6"/>
    <x v="0"/>
    <n v="1"/>
    <x v="14"/>
    <x v="0"/>
    <n v="0.1212"/>
    <n v="0.36"/>
    <x v="1"/>
    <n v="0.25369999999999998"/>
    <n v="4"/>
    <n v="26"/>
    <n v="30"/>
  </r>
  <r>
    <n v="182"/>
    <d v="2011-01-08T00:00:00"/>
    <n v="1"/>
    <n v="0"/>
    <n v="1"/>
    <n v="20"/>
    <b v="0"/>
    <n v="6"/>
    <x v="0"/>
    <n v="1"/>
    <x v="16"/>
    <x v="0"/>
    <n v="0.1212"/>
    <n v="0.36"/>
    <x v="1"/>
    <n v="0.25369999999999998"/>
    <n v="0"/>
    <n v="28"/>
    <n v="28"/>
  </r>
  <r>
    <n v="183"/>
    <d v="2011-01-08T00:00:00"/>
    <n v="1"/>
    <n v="0"/>
    <n v="1"/>
    <n v="21"/>
    <b v="0"/>
    <n v="6"/>
    <x v="0"/>
    <n v="1"/>
    <x v="16"/>
    <x v="0"/>
    <n v="0.1061"/>
    <n v="0.39"/>
    <x v="1"/>
    <n v="0.35820000000000002"/>
    <n v="2"/>
    <n v="35"/>
    <n v="37"/>
  </r>
  <r>
    <n v="184"/>
    <d v="2011-01-08T00:00:00"/>
    <n v="1"/>
    <n v="0"/>
    <n v="1"/>
    <n v="22"/>
    <b v="0"/>
    <n v="6"/>
    <x v="0"/>
    <n v="1"/>
    <x v="16"/>
    <x v="0"/>
    <n v="0.1061"/>
    <n v="0.36"/>
    <x v="1"/>
    <n v="0.3881"/>
    <n v="1"/>
    <n v="33"/>
    <n v="34"/>
  </r>
  <r>
    <n v="185"/>
    <d v="2011-01-08T00:00:00"/>
    <n v="1"/>
    <n v="0"/>
    <n v="1"/>
    <n v="23"/>
    <b v="0"/>
    <n v="6"/>
    <x v="0"/>
    <n v="1"/>
    <x v="18"/>
    <x v="0"/>
    <n v="6.0600000000000001E-2"/>
    <n v="0.39"/>
    <x v="1"/>
    <n v="0.44779999999999998"/>
    <n v="0"/>
    <n v="22"/>
    <n v="22"/>
  </r>
  <r>
    <n v="186"/>
    <d v="2011-01-09T00:00:00"/>
    <n v="1"/>
    <n v="0"/>
    <n v="1"/>
    <n v="0"/>
    <b v="0"/>
    <n v="0"/>
    <x v="1"/>
    <n v="1"/>
    <x v="18"/>
    <x v="0"/>
    <n v="7.5800000000000006E-2"/>
    <n v="0.42"/>
    <x v="1"/>
    <n v="0.3881"/>
    <n v="1"/>
    <n v="24"/>
    <n v="25"/>
  </r>
  <r>
    <n v="187"/>
    <d v="2011-01-09T00:00:00"/>
    <n v="1"/>
    <n v="0"/>
    <n v="1"/>
    <n v="1"/>
    <b v="0"/>
    <n v="0"/>
    <x v="1"/>
    <n v="1"/>
    <x v="18"/>
    <x v="0"/>
    <n v="6.0600000000000001E-2"/>
    <n v="0.42"/>
    <x v="1"/>
    <n v="0.4627"/>
    <n v="0"/>
    <n v="12"/>
    <n v="12"/>
  </r>
  <r>
    <n v="188"/>
    <d v="2011-01-09T00:00:00"/>
    <n v="1"/>
    <n v="0"/>
    <n v="1"/>
    <n v="2"/>
    <b v="0"/>
    <n v="0"/>
    <x v="1"/>
    <n v="1"/>
    <x v="18"/>
    <x v="0"/>
    <n v="6.0600000000000001E-2"/>
    <n v="0.46"/>
    <x v="1"/>
    <n v="0.4627"/>
    <n v="0"/>
    <n v="11"/>
    <n v="11"/>
  </r>
  <r>
    <n v="189"/>
    <d v="2011-01-09T00:00:00"/>
    <n v="1"/>
    <n v="0"/>
    <n v="1"/>
    <n v="3"/>
    <b v="0"/>
    <n v="0"/>
    <x v="1"/>
    <n v="1"/>
    <x v="18"/>
    <x v="0"/>
    <n v="7.5800000000000006E-2"/>
    <n v="0.46"/>
    <x v="1"/>
    <n v="0.41789999999999999"/>
    <n v="0"/>
    <n v="4"/>
    <n v="4"/>
  </r>
  <r>
    <n v="190"/>
    <d v="2011-01-09T00:00:00"/>
    <n v="1"/>
    <n v="0"/>
    <n v="1"/>
    <n v="4"/>
    <b v="0"/>
    <n v="0"/>
    <x v="1"/>
    <n v="1"/>
    <x v="19"/>
    <x v="0"/>
    <n v="9.0899999999999995E-2"/>
    <n v="0.53"/>
    <x v="1"/>
    <n v="0.19400000000000001"/>
    <n v="0"/>
    <n v="1"/>
    <n v="1"/>
  </r>
  <r>
    <n v="191"/>
    <d v="2011-01-09T00:00:00"/>
    <n v="1"/>
    <n v="0"/>
    <n v="1"/>
    <n v="5"/>
    <b v="0"/>
    <n v="0"/>
    <x v="1"/>
    <n v="1"/>
    <x v="19"/>
    <x v="0"/>
    <n v="9.0899999999999995E-2"/>
    <n v="0.53"/>
    <x v="1"/>
    <n v="0.19400000000000001"/>
    <n v="0"/>
    <n v="1"/>
    <n v="1"/>
  </r>
  <r>
    <n v="192"/>
    <d v="2011-01-09T00:00:00"/>
    <n v="1"/>
    <n v="0"/>
    <n v="1"/>
    <n v="6"/>
    <b v="0"/>
    <n v="0"/>
    <x v="1"/>
    <n v="1"/>
    <x v="18"/>
    <x v="0"/>
    <n v="9.0899999999999995E-2"/>
    <n v="0.49"/>
    <x v="1"/>
    <n v="0.28360000000000002"/>
    <n v="0"/>
    <n v="1"/>
    <n v="1"/>
  </r>
  <r>
    <n v="193"/>
    <d v="2011-01-09T00:00:00"/>
    <n v="1"/>
    <n v="0"/>
    <n v="1"/>
    <n v="7"/>
    <b v="0"/>
    <n v="0"/>
    <x v="1"/>
    <n v="1"/>
    <x v="19"/>
    <x v="0"/>
    <n v="9.0899999999999995E-2"/>
    <n v="0.53"/>
    <x v="1"/>
    <n v="0.19400000000000001"/>
    <n v="1"/>
    <n v="5"/>
    <n v="6"/>
  </r>
  <r>
    <n v="194"/>
    <d v="2011-01-09T00:00:00"/>
    <n v="1"/>
    <n v="0"/>
    <n v="1"/>
    <n v="8"/>
    <b v="0"/>
    <n v="0"/>
    <x v="1"/>
    <n v="1"/>
    <x v="18"/>
    <x v="0"/>
    <n v="9.0899999999999995E-2"/>
    <n v="0.49"/>
    <x v="1"/>
    <n v="0.28360000000000002"/>
    <n v="0"/>
    <n v="10"/>
    <n v="10"/>
  </r>
  <r>
    <n v="195"/>
    <d v="2011-01-09T00:00:00"/>
    <n v="1"/>
    <n v="0"/>
    <n v="1"/>
    <n v="9"/>
    <b v="0"/>
    <n v="0"/>
    <x v="1"/>
    <n v="1"/>
    <x v="16"/>
    <x v="0"/>
    <n v="7.5800000000000006E-2"/>
    <n v="0.46"/>
    <x v="1"/>
    <n v="0.52239999999999998"/>
    <n v="0"/>
    <n v="19"/>
    <n v="19"/>
  </r>
  <r>
    <n v="196"/>
    <d v="2011-01-09T00:00:00"/>
    <n v="1"/>
    <n v="0"/>
    <n v="1"/>
    <n v="10"/>
    <b v="0"/>
    <n v="0"/>
    <x v="1"/>
    <n v="1"/>
    <x v="14"/>
    <x v="0"/>
    <n v="0.1061"/>
    <n v="0.43"/>
    <x v="1"/>
    <n v="0.3881"/>
    <n v="0"/>
    <n v="49"/>
    <n v="49"/>
  </r>
  <r>
    <n v="197"/>
    <d v="2011-01-09T00:00:00"/>
    <n v="1"/>
    <n v="0"/>
    <n v="1"/>
    <n v="11"/>
    <b v="0"/>
    <n v="0"/>
    <x v="1"/>
    <n v="1"/>
    <x v="13"/>
    <x v="0"/>
    <n v="0.1212"/>
    <n v="0.4"/>
    <x v="1"/>
    <n v="0.52239999999999998"/>
    <n v="2"/>
    <n v="47"/>
    <n v="49"/>
  </r>
  <r>
    <n v="198"/>
    <d v="2011-01-09T00:00:00"/>
    <n v="1"/>
    <n v="0"/>
    <n v="1"/>
    <n v="12"/>
    <b v="0"/>
    <n v="0"/>
    <x v="1"/>
    <n v="1"/>
    <x v="15"/>
    <x v="0"/>
    <n v="0.13639999999999999"/>
    <n v="0.37"/>
    <x v="1"/>
    <n v="0.44779999999999998"/>
    <n v="4"/>
    <n v="79"/>
    <n v="83"/>
  </r>
  <r>
    <n v="199"/>
    <d v="2011-01-09T00:00:00"/>
    <n v="1"/>
    <n v="0"/>
    <n v="1"/>
    <n v="13"/>
    <b v="0"/>
    <n v="0"/>
    <x v="1"/>
    <n v="1"/>
    <x v="2"/>
    <x v="0"/>
    <n v="0.16669999999999999"/>
    <n v="0.34"/>
    <x v="1"/>
    <n v="0.44779999999999998"/>
    <n v="6"/>
    <n v="69"/>
    <n v="75"/>
  </r>
  <r>
    <n v="200"/>
    <d v="2011-01-09T00:00:00"/>
    <n v="1"/>
    <n v="0"/>
    <n v="1"/>
    <n v="14"/>
    <b v="0"/>
    <n v="0"/>
    <x v="1"/>
    <n v="1"/>
    <x v="1"/>
    <x v="0"/>
    <n v="0.18179999999999999"/>
    <n v="0.32"/>
    <x v="1"/>
    <n v="0.4627"/>
    <n v="8"/>
    <n v="64"/>
    <n v="72"/>
  </r>
  <r>
    <n v="201"/>
    <d v="2011-01-09T00:00:00"/>
    <n v="1"/>
    <n v="0"/>
    <n v="1"/>
    <n v="15"/>
    <b v="0"/>
    <n v="0"/>
    <x v="1"/>
    <n v="1"/>
    <x v="1"/>
    <x v="0"/>
    <n v="0.19700000000000001"/>
    <n v="0.35"/>
    <x v="1"/>
    <n v="0.35820000000000002"/>
    <n v="5"/>
    <n v="77"/>
    <n v="82"/>
  </r>
  <r>
    <n v="202"/>
    <d v="2011-01-09T00:00:00"/>
    <n v="1"/>
    <n v="0"/>
    <n v="1"/>
    <n v="16"/>
    <b v="0"/>
    <n v="0"/>
    <x v="1"/>
    <n v="1"/>
    <x v="2"/>
    <x v="0"/>
    <n v="0.16669999999999999"/>
    <n v="0.34"/>
    <x v="1"/>
    <n v="0.44779999999999998"/>
    <n v="13"/>
    <n v="79"/>
    <n v="92"/>
  </r>
  <r>
    <n v="203"/>
    <d v="2011-01-09T00:00:00"/>
    <n v="1"/>
    <n v="0"/>
    <n v="1"/>
    <n v="17"/>
    <b v="0"/>
    <n v="0"/>
    <x v="1"/>
    <n v="1"/>
    <x v="15"/>
    <x v="0"/>
    <n v="0.1515"/>
    <n v="0.37"/>
    <x v="1"/>
    <n v="0.3881"/>
    <n v="3"/>
    <n v="59"/>
    <n v="62"/>
  </r>
  <r>
    <n v="204"/>
    <d v="2011-01-09T00:00:00"/>
    <n v="1"/>
    <n v="0"/>
    <n v="1"/>
    <n v="18"/>
    <b v="0"/>
    <n v="0"/>
    <x v="1"/>
    <n v="1"/>
    <x v="13"/>
    <x v="0"/>
    <n v="0.13639999999999999"/>
    <n v="0.4"/>
    <x v="1"/>
    <n v="0.32840000000000003"/>
    <n v="4"/>
    <n v="44"/>
    <n v="48"/>
  </r>
  <r>
    <n v="205"/>
    <d v="2011-01-09T00:00:00"/>
    <n v="1"/>
    <n v="0"/>
    <n v="1"/>
    <n v="19"/>
    <b v="0"/>
    <n v="0"/>
    <x v="1"/>
    <n v="1"/>
    <x v="13"/>
    <x v="0"/>
    <n v="0.13639999999999999"/>
    <n v="0.43"/>
    <x v="1"/>
    <n v="0.32840000000000003"/>
    <n v="1"/>
    <n v="40"/>
    <n v="41"/>
  </r>
  <r>
    <n v="206"/>
    <d v="2011-01-09T00:00:00"/>
    <n v="1"/>
    <n v="0"/>
    <n v="1"/>
    <n v="20"/>
    <b v="0"/>
    <n v="0"/>
    <x v="1"/>
    <n v="1"/>
    <x v="14"/>
    <x v="0"/>
    <n v="0.1212"/>
    <n v="0.46"/>
    <x v="1"/>
    <n v="0.25369999999999998"/>
    <n v="0"/>
    <n v="38"/>
    <n v="38"/>
  </r>
  <r>
    <n v="207"/>
    <d v="2011-01-09T00:00:00"/>
    <n v="1"/>
    <n v="0"/>
    <n v="1"/>
    <n v="21"/>
    <b v="0"/>
    <n v="0"/>
    <x v="1"/>
    <n v="1"/>
    <x v="14"/>
    <x v="0"/>
    <n v="0.1061"/>
    <n v="0.46"/>
    <x v="1"/>
    <n v="0.41789999999999999"/>
    <n v="1"/>
    <n v="19"/>
    <n v="20"/>
  </r>
  <r>
    <n v="208"/>
    <d v="2011-01-09T00:00:00"/>
    <n v="1"/>
    <n v="0"/>
    <n v="1"/>
    <n v="22"/>
    <b v="0"/>
    <n v="0"/>
    <x v="1"/>
    <n v="1"/>
    <x v="14"/>
    <x v="0"/>
    <n v="0.1212"/>
    <n v="0.46"/>
    <x v="1"/>
    <n v="0.29849999999999999"/>
    <n v="5"/>
    <n v="10"/>
    <n v="15"/>
  </r>
  <r>
    <n v="209"/>
    <d v="2011-01-09T00:00:00"/>
    <n v="1"/>
    <n v="0"/>
    <n v="1"/>
    <n v="23"/>
    <b v="0"/>
    <n v="0"/>
    <x v="1"/>
    <n v="1"/>
    <x v="16"/>
    <x v="0"/>
    <n v="0.13639999999999999"/>
    <n v="0.5"/>
    <x v="1"/>
    <n v="0.19400000000000001"/>
    <n v="0"/>
    <n v="6"/>
    <n v="6"/>
  </r>
  <r>
    <n v="210"/>
    <d v="2011-01-10T00:00:00"/>
    <n v="1"/>
    <n v="0"/>
    <n v="1"/>
    <n v="0"/>
    <b v="0"/>
    <n v="1"/>
    <x v="2"/>
    <n v="1"/>
    <x v="16"/>
    <x v="0"/>
    <n v="0.1212"/>
    <n v="0.5"/>
    <x v="1"/>
    <n v="0.28360000000000002"/>
    <n v="2"/>
    <n v="3"/>
    <n v="5"/>
  </r>
  <r>
    <n v="211"/>
    <d v="2011-01-10T00:00:00"/>
    <n v="1"/>
    <n v="0"/>
    <n v="1"/>
    <n v="1"/>
    <b v="0"/>
    <n v="1"/>
    <x v="2"/>
    <n v="1"/>
    <x v="16"/>
    <x v="0"/>
    <n v="0.1212"/>
    <n v="0.5"/>
    <x v="1"/>
    <n v="0.28360000000000002"/>
    <n v="1"/>
    <n v="0"/>
    <n v="1"/>
  </r>
  <r>
    <n v="212"/>
    <d v="2011-01-10T00:00:00"/>
    <n v="1"/>
    <n v="0"/>
    <n v="1"/>
    <n v="2"/>
    <b v="0"/>
    <n v="1"/>
    <x v="2"/>
    <n v="1"/>
    <x v="16"/>
    <x v="0"/>
    <n v="0.1212"/>
    <n v="0.5"/>
    <x v="1"/>
    <n v="0.22389999999999999"/>
    <n v="0"/>
    <n v="3"/>
    <n v="3"/>
  </r>
  <r>
    <n v="213"/>
    <d v="2011-01-10T00:00:00"/>
    <n v="1"/>
    <n v="0"/>
    <n v="1"/>
    <n v="3"/>
    <b v="0"/>
    <n v="1"/>
    <x v="2"/>
    <n v="1"/>
    <x v="16"/>
    <x v="0"/>
    <n v="0.1212"/>
    <n v="0.5"/>
    <x v="1"/>
    <n v="0.22389999999999999"/>
    <n v="0"/>
    <n v="1"/>
    <n v="1"/>
  </r>
  <r>
    <n v="214"/>
    <d v="2011-01-10T00:00:00"/>
    <n v="1"/>
    <n v="0"/>
    <n v="1"/>
    <n v="4"/>
    <b v="0"/>
    <n v="1"/>
    <x v="2"/>
    <n v="1"/>
    <x v="18"/>
    <x v="0"/>
    <n v="0.1212"/>
    <n v="0.54"/>
    <x v="1"/>
    <n v="0.1343"/>
    <n v="1"/>
    <n v="2"/>
    <n v="3"/>
  </r>
  <r>
    <n v="215"/>
    <d v="2011-01-10T00:00:00"/>
    <n v="1"/>
    <n v="0"/>
    <n v="1"/>
    <n v="5"/>
    <b v="0"/>
    <n v="1"/>
    <x v="2"/>
    <n v="1"/>
    <x v="18"/>
    <x v="0"/>
    <n v="0.1061"/>
    <n v="0.54"/>
    <x v="1"/>
    <n v="0.25369999999999998"/>
    <n v="0"/>
    <n v="3"/>
    <n v="3"/>
  </r>
  <r>
    <n v="216"/>
    <d v="2011-01-10T00:00:00"/>
    <n v="1"/>
    <n v="0"/>
    <n v="1"/>
    <n v="6"/>
    <b v="0"/>
    <n v="1"/>
    <x v="2"/>
    <n v="1"/>
    <x v="16"/>
    <x v="0"/>
    <n v="0.1212"/>
    <n v="0.5"/>
    <x v="1"/>
    <n v="0.28360000000000002"/>
    <n v="0"/>
    <n v="31"/>
    <n v="31"/>
  </r>
  <r>
    <n v="217"/>
    <d v="2011-01-10T00:00:00"/>
    <n v="1"/>
    <n v="0"/>
    <n v="1"/>
    <n v="7"/>
    <b v="0"/>
    <n v="1"/>
    <x v="2"/>
    <n v="1"/>
    <x v="16"/>
    <x v="0"/>
    <n v="0.1212"/>
    <n v="0.5"/>
    <x v="1"/>
    <n v="0.22389999999999999"/>
    <n v="2"/>
    <n v="75"/>
    <n v="77"/>
  </r>
  <r>
    <n v="218"/>
    <d v="2011-01-10T00:00:00"/>
    <n v="1"/>
    <n v="0"/>
    <n v="1"/>
    <n v="8"/>
    <b v="0"/>
    <n v="1"/>
    <x v="2"/>
    <n v="2"/>
    <x v="16"/>
    <x v="0"/>
    <n v="0.1212"/>
    <n v="0.5"/>
    <x v="1"/>
    <n v="0.28360000000000002"/>
    <n v="4"/>
    <n v="184"/>
    <n v="188"/>
  </r>
  <r>
    <n v="219"/>
    <d v="2011-01-10T00:00:00"/>
    <n v="1"/>
    <n v="0"/>
    <n v="1"/>
    <n v="9"/>
    <b v="0"/>
    <n v="1"/>
    <x v="2"/>
    <n v="2"/>
    <x v="14"/>
    <x v="0"/>
    <n v="0.1212"/>
    <n v="0.5"/>
    <x v="1"/>
    <n v="0.25369999999999998"/>
    <n v="2"/>
    <n v="92"/>
    <n v="94"/>
  </r>
  <r>
    <n v="220"/>
    <d v="2011-01-10T00:00:00"/>
    <n v="1"/>
    <n v="0"/>
    <n v="1"/>
    <n v="10"/>
    <b v="0"/>
    <n v="1"/>
    <x v="2"/>
    <n v="2"/>
    <x v="14"/>
    <x v="0"/>
    <n v="0.1212"/>
    <n v="0.5"/>
    <x v="1"/>
    <n v="0.29849999999999999"/>
    <n v="0"/>
    <n v="31"/>
    <n v="31"/>
  </r>
  <r>
    <n v="221"/>
    <d v="2011-01-10T00:00:00"/>
    <n v="1"/>
    <n v="0"/>
    <n v="1"/>
    <n v="11"/>
    <b v="0"/>
    <n v="1"/>
    <x v="2"/>
    <n v="2"/>
    <x v="13"/>
    <x v="0"/>
    <n v="0.13639999999999999"/>
    <n v="0.47"/>
    <x v="1"/>
    <n v="0.28360000000000002"/>
    <n v="2"/>
    <n v="28"/>
    <n v="30"/>
  </r>
  <r>
    <n v="222"/>
    <d v="2011-01-10T00:00:00"/>
    <n v="1"/>
    <n v="0"/>
    <n v="1"/>
    <n v="12"/>
    <b v="0"/>
    <n v="1"/>
    <x v="2"/>
    <n v="2"/>
    <x v="2"/>
    <x v="0"/>
    <n v="0.18179999999999999"/>
    <n v="0.4"/>
    <x v="1"/>
    <n v="0.28360000000000002"/>
    <n v="5"/>
    <n v="47"/>
    <n v="52"/>
  </r>
  <r>
    <n v="223"/>
    <d v="2011-01-10T00:00:00"/>
    <n v="1"/>
    <n v="0"/>
    <n v="1"/>
    <n v="13"/>
    <b v="0"/>
    <n v="1"/>
    <x v="2"/>
    <n v="2"/>
    <x v="2"/>
    <x v="0"/>
    <n v="0.18179999999999999"/>
    <n v="0.4"/>
    <x v="1"/>
    <n v="0.28360000000000002"/>
    <n v="4"/>
    <n v="50"/>
    <n v="54"/>
  </r>
  <r>
    <n v="224"/>
    <d v="2011-01-10T00:00:00"/>
    <n v="1"/>
    <n v="0"/>
    <n v="1"/>
    <n v="14"/>
    <b v="0"/>
    <n v="1"/>
    <x v="2"/>
    <n v="2"/>
    <x v="2"/>
    <x v="0"/>
    <n v="0.19700000000000001"/>
    <n v="0.4"/>
    <x v="1"/>
    <n v="0.22389999999999999"/>
    <n v="0"/>
    <n v="47"/>
    <n v="47"/>
  </r>
  <r>
    <n v="225"/>
    <d v="2011-01-10T00:00:00"/>
    <n v="1"/>
    <n v="0"/>
    <n v="1"/>
    <n v="15"/>
    <b v="0"/>
    <n v="1"/>
    <x v="2"/>
    <n v="2"/>
    <x v="2"/>
    <x v="0"/>
    <n v="0.19700000000000001"/>
    <n v="0.4"/>
    <x v="1"/>
    <n v="0.22389999999999999"/>
    <n v="2"/>
    <n v="43"/>
    <n v="45"/>
  </r>
  <r>
    <n v="226"/>
    <d v="2011-01-10T00:00:00"/>
    <n v="1"/>
    <n v="0"/>
    <n v="1"/>
    <n v="16"/>
    <b v="0"/>
    <n v="1"/>
    <x v="2"/>
    <n v="1"/>
    <x v="2"/>
    <x v="0"/>
    <n v="0.21210000000000001"/>
    <n v="0.4"/>
    <x v="1"/>
    <n v="0.1343"/>
    <n v="4"/>
    <n v="70"/>
    <n v="74"/>
  </r>
  <r>
    <n v="227"/>
    <d v="2011-01-10T00:00:00"/>
    <n v="1"/>
    <n v="0"/>
    <n v="1"/>
    <n v="17"/>
    <b v="0"/>
    <n v="1"/>
    <x v="2"/>
    <n v="1"/>
    <x v="2"/>
    <x v="0"/>
    <n v="0.2273"/>
    <n v="0.4"/>
    <x v="1"/>
    <n v="0.1045"/>
    <n v="4"/>
    <n v="174"/>
    <n v="178"/>
  </r>
  <r>
    <n v="228"/>
    <d v="2011-01-10T00:00:00"/>
    <n v="1"/>
    <n v="0"/>
    <n v="1"/>
    <n v="18"/>
    <b v="0"/>
    <n v="1"/>
    <x v="2"/>
    <n v="1"/>
    <x v="2"/>
    <x v="0"/>
    <n v="0.19700000000000001"/>
    <n v="0.4"/>
    <x v="1"/>
    <n v="0.22389999999999999"/>
    <n v="1"/>
    <n v="154"/>
    <n v="155"/>
  </r>
  <r>
    <n v="229"/>
    <d v="2011-01-10T00:00:00"/>
    <n v="1"/>
    <n v="0"/>
    <n v="1"/>
    <n v="19"/>
    <b v="0"/>
    <n v="1"/>
    <x v="2"/>
    <n v="1"/>
    <x v="13"/>
    <x v="0"/>
    <n v="0.16669999999999999"/>
    <n v="0.47"/>
    <x v="1"/>
    <n v="0.16420000000000001"/>
    <n v="3"/>
    <n v="92"/>
    <n v="95"/>
  </r>
  <r>
    <n v="230"/>
    <d v="2011-01-10T00:00:00"/>
    <n v="1"/>
    <n v="0"/>
    <n v="1"/>
    <n v="20"/>
    <b v="0"/>
    <n v="1"/>
    <x v="2"/>
    <n v="1"/>
    <x v="13"/>
    <x v="0"/>
    <n v="0.16669999999999999"/>
    <n v="0.5"/>
    <x v="1"/>
    <n v="0.16420000000000001"/>
    <n v="1"/>
    <n v="73"/>
    <n v="74"/>
  </r>
  <r>
    <n v="231"/>
    <d v="2011-01-10T00:00:00"/>
    <n v="1"/>
    <n v="0"/>
    <n v="1"/>
    <n v="21"/>
    <b v="0"/>
    <n v="1"/>
    <x v="2"/>
    <n v="1"/>
    <x v="14"/>
    <x v="0"/>
    <n v="0.13639999999999999"/>
    <n v="0.59"/>
    <x v="1"/>
    <n v="0.19400000000000001"/>
    <n v="1"/>
    <n v="37"/>
    <n v="38"/>
  </r>
  <r>
    <n v="232"/>
    <d v="2011-01-10T00:00:00"/>
    <n v="1"/>
    <n v="0"/>
    <n v="1"/>
    <n v="22"/>
    <b v="0"/>
    <n v="1"/>
    <x v="2"/>
    <n v="1"/>
    <x v="14"/>
    <x v="0"/>
    <n v="0.1515"/>
    <n v="0.59"/>
    <x v="1"/>
    <n v="0.16420000000000001"/>
    <n v="2"/>
    <n v="22"/>
    <n v="24"/>
  </r>
  <r>
    <n v="233"/>
    <d v="2011-01-10T00:00:00"/>
    <n v="1"/>
    <n v="0"/>
    <n v="1"/>
    <n v="23"/>
    <b v="0"/>
    <n v="1"/>
    <x v="2"/>
    <n v="1"/>
    <x v="14"/>
    <x v="0"/>
    <n v="0.1515"/>
    <n v="0.59"/>
    <x v="1"/>
    <n v="0.16420000000000001"/>
    <n v="0"/>
    <n v="18"/>
    <n v="18"/>
  </r>
  <r>
    <n v="234"/>
    <d v="2011-01-11T00:00:00"/>
    <n v="1"/>
    <n v="0"/>
    <n v="1"/>
    <n v="0"/>
    <b v="0"/>
    <n v="2"/>
    <x v="3"/>
    <n v="1"/>
    <x v="14"/>
    <x v="0"/>
    <n v="0.16669999999999999"/>
    <n v="0.59"/>
    <x v="1"/>
    <n v="0.1045"/>
    <n v="2"/>
    <n v="10"/>
    <n v="12"/>
  </r>
  <r>
    <n v="235"/>
    <d v="2011-01-11T00:00:00"/>
    <n v="1"/>
    <n v="0"/>
    <n v="1"/>
    <n v="1"/>
    <b v="0"/>
    <n v="2"/>
    <x v="3"/>
    <n v="1"/>
    <x v="14"/>
    <x v="0"/>
    <n v="0.1515"/>
    <n v="0.59"/>
    <x v="1"/>
    <n v="0.16420000000000001"/>
    <n v="0"/>
    <n v="3"/>
    <n v="3"/>
  </r>
  <r>
    <n v="236"/>
    <d v="2011-01-11T00:00:00"/>
    <n v="1"/>
    <n v="0"/>
    <n v="1"/>
    <n v="2"/>
    <b v="0"/>
    <n v="2"/>
    <x v="3"/>
    <n v="2"/>
    <x v="13"/>
    <x v="0"/>
    <n v="0.1515"/>
    <n v="0.55000000000000004"/>
    <x v="1"/>
    <n v="0.19400000000000001"/>
    <n v="0"/>
    <n v="3"/>
    <n v="3"/>
  </r>
  <r>
    <n v="237"/>
    <d v="2011-01-11T00:00:00"/>
    <n v="1"/>
    <n v="0"/>
    <n v="1"/>
    <n v="5"/>
    <b v="0"/>
    <n v="2"/>
    <x v="3"/>
    <n v="2"/>
    <x v="13"/>
    <x v="0"/>
    <n v="0.18179999999999999"/>
    <n v="0.55000000000000004"/>
    <x v="1"/>
    <n v="0.1343"/>
    <n v="0"/>
    <n v="6"/>
    <n v="6"/>
  </r>
  <r>
    <n v="238"/>
    <d v="2011-01-11T00:00:00"/>
    <n v="1"/>
    <n v="0"/>
    <n v="1"/>
    <n v="6"/>
    <b v="0"/>
    <n v="2"/>
    <x v="3"/>
    <n v="2"/>
    <x v="13"/>
    <x v="0"/>
    <n v="0.18179999999999999"/>
    <n v="0.55000000000000004"/>
    <x v="1"/>
    <n v="0.1343"/>
    <n v="0"/>
    <n v="27"/>
    <n v="27"/>
  </r>
  <r>
    <n v="239"/>
    <d v="2011-01-11T00:00:00"/>
    <n v="1"/>
    <n v="0"/>
    <n v="1"/>
    <n v="7"/>
    <b v="0"/>
    <n v="2"/>
    <x v="3"/>
    <n v="2"/>
    <x v="13"/>
    <x v="0"/>
    <n v="0.2273"/>
    <n v="0.55000000000000004"/>
    <x v="1"/>
    <n v="0"/>
    <n v="2"/>
    <n v="97"/>
    <n v="99"/>
  </r>
  <r>
    <n v="240"/>
    <d v="2011-01-11T00:00:00"/>
    <n v="1"/>
    <n v="0"/>
    <n v="1"/>
    <n v="8"/>
    <b v="0"/>
    <n v="2"/>
    <x v="3"/>
    <n v="2"/>
    <x v="15"/>
    <x v="0"/>
    <n v="0.21210000000000001"/>
    <n v="0.51"/>
    <x v="1"/>
    <n v="8.9599999999999999E-2"/>
    <n v="3"/>
    <n v="214"/>
    <n v="217"/>
  </r>
  <r>
    <n v="241"/>
    <d v="2011-01-11T00:00:00"/>
    <n v="1"/>
    <n v="0"/>
    <n v="1"/>
    <n v="9"/>
    <b v="0"/>
    <n v="2"/>
    <x v="3"/>
    <n v="2"/>
    <x v="15"/>
    <x v="0"/>
    <n v="0.19700000000000001"/>
    <n v="0.51"/>
    <x v="1"/>
    <n v="0.16420000000000001"/>
    <n v="3"/>
    <n v="127"/>
    <n v="130"/>
  </r>
  <r>
    <n v="242"/>
    <d v="2011-01-11T00:00:00"/>
    <n v="1"/>
    <n v="0"/>
    <n v="1"/>
    <n v="10"/>
    <b v="0"/>
    <n v="2"/>
    <x v="3"/>
    <n v="2"/>
    <x v="2"/>
    <x v="0"/>
    <n v="0.21210000000000001"/>
    <n v="0.51"/>
    <x v="1"/>
    <n v="0.16420000000000001"/>
    <n v="3"/>
    <n v="51"/>
    <n v="54"/>
  </r>
  <r>
    <n v="243"/>
    <d v="2011-01-11T00:00:00"/>
    <n v="1"/>
    <n v="0"/>
    <n v="1"/>
    <n v="11"/>
    <b v="0"/>
    <n v="2"/>
    <x v="3"/>
    <n v="2"/>
    <x v="2"/>
    <x v="0"/>
    <n v="0.21210000000000001"/>
    <n v="0.47"/>
    <x v="1"/>
    <n v="0.1343"/>
    <n v="4"/>
    <n v="31"/>
    <n v="35"/>
  </r>
  <r>
    <n v="244"/>
    <d v="2011-01-11T00:00:00"/>
    <n v="1"/>
    <n v="0"/>
    <n v="1"/>
    <n v="12"/>
    <b v="0"/>
    <n v="2"/>
    <x v="3"/>
    <n v="2"/>
    <x v="2"/>
    <x v="0"/>
    <n v="0.2273"/>
    <n v="0.51"/>
    <x v="1"/>
    <n v="0.1045"/>
    <n v="2"/>
    <n v="55"/>
    <n v="57"/>
  </r>
  <r>
    <n v="245"/>
    <d v="2011-01-11T00:00:00"/>
    <n v="1"/>
    <n v="0"/>
    <n v="1"/>
    <n v="13"/>
    <b v="0"/>
    <n v="2"/>
    <x v="3"/>
    <n v="2"/>
    <x v="2"/>
    <x v="0"/>
    <n v="0.2273"/>
    <n v="0.59"/>
    <x v="1"/>
    <n v="8.9599999999999999E-2"/>
    <n v="6"/>
    <n v="46"/>
    <n v="52"/>
  </r>
  <r>
    <n v="246"/>
    <d v="2011-01-11T00:00:00"/>
    <n v="1"/>
    <n v="0"/>
    <n v="1"/>
    <n v="14"/>
    <b v="0"/>
    <n v="2"/>
    <x v="3"/>
    <n v="2"/>
    <x v="2"/>
    <x v="0"/>
    <n v="0.2273"/>
    <n v="0.59"/>
    <x v="1"/>
    <n v="8.9599999999999999E-2"/>
    <n v="3"/>
    <n v="60"/>
    <n v="63"/>
  </r>
  <r>
    <n v="247"/>
    <d v="2011-01-11T00:00:00"/>
    <n v="1"/>
    <n v="0"/>
    <n v="1"/>
    <n v="15"/>
    <b v="0"/>
    <n v="2"/>
    <x v="3"/>
    <n v="2"/>
    <x v="13"/>
    <x v="0"/>
    <n v="0.19700000000000001"/>
    <n v="0.8"/>
    <x v="1"/>
    <n v="8.9599999999999999E-2"/>
    <n v="2"/>
    <n v="45"/>
    <n v="47"/>
  </r>
  <r>
    <n v="248"/>
    <d v="2011-01-11T00:00:00"/>
    <n v="1"/>
    <n v="0"/>
    <n v="1"/>
    <n v="16"/>
    <b v="0"/>
    <n v="2"/>
    <x v="3"/>
    <n v="2"/>
    <x v="13"/>
    <x v="0"/>
    <n v="0.1515"/>
    <n v="0.86"/>
    <x v="0"/>
    <n v="0.22389999999999999"/>
    <n v="4"/>
    <n v="72"/>
    <n v="76"/>
  </r>
  <r>
    <n v="249"/>
    <d v="2011-01-11T00:00:00"/>
    <n v="1"/>
    <n v="0"/>
    <n v="1"/>
    <n v="17"/>
    <b v="0"/>
    <n v="2"/>
    <x v="3"/>
    <n v="2"/>
    <x v="13"/>
    <x v="0"/>
    <n v="0.1515"/>
    <n v="0.86"/>
    <x v="0"/>
    <n v="0.22389999999999999"/>
    <n v="6"/>
    <n v="130"/>
    <n v="136"/>
  </r>
  <r>
    <n v="250"/>
    <d v="2011-01-11T00:00:00"/>
    <n v="1"/>
    <n v="0"/>
    <n v="1"/>
    <n v="18"/>
    <b v="0"/>
    <n v="2"/>
    <x v="3"/>
    <n v="3"/>
    <x v="13"/>
    <x v="0"/>
    <n v="0.18179999999999999"/>
    <n v="0.93"/>
    <x v="0"/>
    <n v="0.1045"/>
    <n v="1"/>
    <n v="94"/>
    <n v="95"/>
  </r>
  <r>
    <n v="251"/>
    <d v="2011-01-11T00:00:00"/>
    <n v="1"/>
    <n v="0"/>
    <n v="1"/>
    <n v="19"/>
    <b v="0"/>
    <n v="2"/>
    <x v="3"/>
    <n v="3"/>
    <x v="13"/>
    <x v="0"/>
    <n v="0.2273"/>
    <n v="0.93"/>
    <x v="0"/>
    <n v="0"/>
    <n v="0"/>
    <n v="51"/>
    <n v="51"/>
  </r>
  <r>
    <n v="252"/>
    <d v="2011-01-11T00:00:00"/>
    <n v="1"/>
    <n v="0"/>
    <n v="1"/>
    <n v="20"/>
    <b v="0"/>
    <n v="2"/>
    <x v="3"/>
    <n v="3"/>
    <x v="13"/>
    <x v="0"/>
    <n v="0.1515"/>
    <n v="0.93"/>
    <x v="0"/>
    <n v="0.19400000000000001"/>
    <n v="0"/>
    <n v="32"/>
    <n v="32"/>
  </r>
  <r>
    <n v="253"/>
    <d v="2011-01-11T00:00:00"/>
    <n v="1"/>
    <n v="0"/>
    <n v="1"/>
    <n v="21"/>
    <b v="0"/>
    <n v="2"/>
    <x v="3"/>
    <n v="3"/>
    <x v="13"/>
    <x v="0"/>
    <n v="0.19700000000000001"/>
    <n v="0.86"/>
    <x v="0"/>
    <n v="8.9599999999999999E-2"/>
    <n v="0"/>
    <n v="20"/>
    <n v="20"/>
  </r>
  <r>
    <n v="254"/>
    <d v="2011-01-11T00:00:00"/>
    <n v="1"/>
    <n v="0"/>
    <n v="1"/>
    <n v="22"/>
    <b v="0"/>
    <n v="2"/>
    <x v="3"/>
    <n v="3"/>
    <x v="13"/>
    <x v="0"/>
    <n v="0.18179999999999999"/>
    <n v="0.93"/>
    <x v="0"/>
    <n v="0.1045"/>
    <n v="1"/>
    <n v="28"/>
    <n v="29"/>
  </r>
  <r>
    <n v="255"/>
    <d v="2011-01-11T00:00:00"/>
    <n v="1"/>
    <n v="0"/>
    <n v="1"/>
    <n v="23"/>
    <b v="0"/>
    <n v="2"/>
    <x v="3"/>
    <n v="3"/>
    <x v="13"/>
    <x v="0"/>
    <n v="0.19700000000000001"/>
    <n v="0.93"/>
    <x v="0"/>
    <n v="8.9599999999999999E-2"/>
    <n v="1"/>
    <n v="18"/>
    <n v="19"/>
  </r>
  <r>
    <n v="256"/>
    <d v="2011-01-12T00:00:00"/>
    <n v="1"/>
    <n v="0"/>
    <n v="1"/>
    <n v="0"/>
    <b v="0"/>
    <n v="3"/>
    <x v="4"/>
    <n v="2"/>
    <x v="13"/>
    <x v="0"/>
    <n v="0.19700000000000001"/>
    <n v="0.86"/>
    <x v="0"/>
    <n v="8.9599999999999999E-2"/>
    <n v="0"/>
    <n v="7"/>
    <n v="7"/>
  </r>
  <r>
    <n v="257"/>
    <d v="2011-01-12T00:00:00"/>
    <n v="1"/>
    <n v="0"/>
    <n v="1"/>
    <n v="1"/>
    <b v="0"/>
    <n v="3"/>
    <x v="4"/>
    <n v="2"/>
    <x v="13"/>
    <x v="0"/>
    <n v="0.18179999999999999"/>
    <n v="0.86"/>
    <x v="0"/>
    <n v="0.1045"/>
    <n v="0"/>
    <n v="6"/>
    <n v="6"/>
  </r>
  <r>
    <n v="258"/>
    <d v="2011-01-12T00:00:00"/>
    <n v="1"/>
    <n v="0"/>
    <n v="1"/>
    <n v="2"/>
    <b v="0"/>
    <n v="3"/>
    <x v="4"/>
    <n v="1"/>
    <x v="14"/>
    <x v="0"/>
    <n v="0.1515"/>
    <n v="0.86"/>
    <x v="0"/>
    <n v="0.1343"/>
    <n v="0"/>
    <n v="1"/>
    <n v="1"/>
  </r>
  <r>
    <n v="259"/>
    <d v="2011-01-12T00:00:00"/>
    <n v="1"/>
    <n v="0"/>
    <n v="1"/>
    <n v="5"/>
    <b v="0"/>
    <n v="3"/>
    <x v="4"/>
    <n v="1"/>
    <x v="14"/>
    <x v="0"/>
    <n v="0.1515"/>
    <n v="0.86"/>
    <x v="0"/>
    <n v="0.16420000000000001"/>
    <n v="0"/>
    <n v="5"/>
    <n v="5"/>
  </r>
  <r>
    <n v="260"/>
    <d v="2011-01-12T00:00:00"/>
    <n v="1"/>
    <n v="0"/>
    <n v="1"/>
    <n v="6"/>
    <b v="0"/>
    <n v="3"/>
    <x v="4"/>
    <n v="1"/>
    <x v="16"/>
    <x v="0"/>
    <n v="0.1515"/>
    <n v="0.93"/>
    <x v="0"/>
    <n v="0.1343"/>
    <n v="0"/>
    <n v="16"/>
    <n v="16"/>
  </r>
  <r>
    <n v="261"/>
    <d v="2011-01-12T00:00:00"/>
    <n v="1"/>
    <n v="0"/>
    <n v="1"/>
    <n v="7"/>
    <b v="0"/>
    <n v="3"/>
    <x v="4"/>
    <n v="1"/>
    <x v="14"/>
    <x v="0"/>
    <n v="0.1515"/>
    <n v="0.69"/>
    <x v="1"/>
    <n v="0.1343"/>
    <n v="0"/>
    <n v="54"/>
    <n v="54"/>
  </r>
  <r>
    <n v="262"/>
    <d v="2011-01-12T00:00:00"/>
    <n v="1"/>
    <n v="0"/>
    <n v="1"/>
    <n v="8"/>
    <b v="0"/>
    <n v="3"/>
    <x v="4"/>
    <n v="1"/>
    <x v="13"/>
    <x v="0"/>
    <n v="0.16669999999999999"/>
    <n v="0.59"/>
    <x v="1"/>
    <n v="0.16420000000000001"/>
    <n v="3"/>
    <n v="125"/>
    <n v="128"/>
  </r>
  <r>
    <n v="263"/>
    <d v="2011-01-12T00:00:00"/>
    <n v="1"/>
    <n v="0"/>
    <n v="1"/>
    <n v="9"/>
    <b v="0"/>
    <n v="3"/>
    <x v="4"/>
    <n v="1"/>
    <x v="13"/>
    <x v="0"/>
    <n v="0.13639999999999999"/>
    <n v="0.59"/>
    <x v="1"/>
    <n v="0.32840000000000003"/>
    <n v="3"/>
    <n v="78"/>
    <n v="81"/>
  </r>
  <r>
    <n v="264"/>
    <d v="2011-01-12T00:00:00"/>
    <n v="1"/>
    <n v="0"/>
    <n v="1"/>
    <n v="10"/>
    <b v="0"/>
    <n v="3"/>
    <x v="4"/>
    <n v="1"/>
    <x v="15"/>
    <x v="0"/>
    <n v="0.18179999999999999"/>
    <n v="0.55000000000000004"/>
    <x v="1"/>
    <n v="0.22389999999999999"/>
    <n v="0"/>
    <n v="39"/>
    <n v="39"/>
  </r>
  <r>
    <n v="265"/>
    <d v="2011-01-12T00:00:00"/>
    <n v="1"/>
    <n v="0"/>
    <n v="1"/>
    <n v="11"/>
    <b v="0"/>
    <n v="3"/>
    <x v="4"/>
    <n v="1"/>
    <x v="2"/>
    <x v="0"/>
    <n v="0.18179999999999999"/>
    <n v="0.51"/>
    <x v="1"/>
    <n v="0.3881"/>
    <n v="3"/>
    <n v="32"/>
    <n v="35"/>
  </r>
  <r>
    <n v="266"/>
    <d v="2011-01-12T00:00:00"/>
    <n v="1"/>
    <n v="0"/>
    <n v="1"/>
    <n v="12"/>
    <b v="0"/>
    <n v="3"/>
    <x v="4"/>
    <n v="1"/>
    <x v="2"/>
    <x v="0"/>
    <n v="0.1515"/>
    <n v="0.47"/>
    <x v="1"/>
    <n v="0.58209999999999995"/>
    <n v="3"/>
    <n v="52"/>
    <n v="55"/>
  </r>
  <r>
    <n v="267"/>
    <d v="2011-01-12T00:00:00"/>
    <n v="1"/>
    <n v="0"/>
    <n v="1"/>
    <n v="13"/>
    <b v="0"/>
    <n v="3"/>
    <x v="4"/>
    <n v="1"/>
    <x v="1"/>
    <x v="0"/>
    <n v="0.19700000000000001"/>
    <n v="0.44"/>
    <x v="1"/>
    <n v="0.35820000000000002"/>
    <n v="0"/>
    <n v="49"/>
    <n v="49"/>
  </r>
  <r>
    <n v="268"/>
    <d v="2011-01-12T00:00:00"/>
    <n v="1"/>
    <n v="0"/>
    <n v="1"/>
    <n v="14"/>
    <b v="0"/>
    <n v="3"/>
    <x v="4"/>
    <n v="1"/>
    <x v="2"/>
    <x v="0"/>
    <n v="0.18179999999999999"/>
    <n v="0.47"/>
    <x v="1"/>
    <n v="0.32840000000000003"/>
    <n v="0"/>
    <n v="44"/>
    <n v="44"/>
  </r>
  <r>
    <n v="269"/>
    <d v="2011-01-12T00:00:00"/>
    <n v="1"/>
    <n v="0"/>
    <n v="1"/>
    <n v="15"/>
    <b v="0"/>
    <n v="3"/>
    <x v="4"/>
    <n v="1"/>
    <x v="2"/>
    <x v="0"/>
    <n v="0.16669999999999999"/>
    <n v="0.47"/>
    <x v="1"/>
    <n v="0.41789999999999999"/>
    <n v="1"/>
    <n v="48"/>
    <n v="49"/>
  </r>
  <r>
    <n v="270"/>
    <d v="2011-01-12T00:00:00"/>
    <n v="1"/>
    <n v="0"/>
    <n v="1"/>
    <n v="16"/>
    <b v="0"/>
    <n v="3"/>
    <x v="4"/>
    <n v="1"/>
    <x v="1"/>
    <x v="0"/>
    <n v="0.19700000000000001"/>
    <n v="0.44"/>
    <x v="1"/>
    <n v="0.32840000000000003"/>
    <n v="5"/>
    <n v="63"/>
    <n v="68"/>
  </r>
  <r>
    <n v="271"/>
    <d v="2011-01-12T00:00:00"/>
    <n v="1"/>
    <n v="0"/>
    <n v="1"/>
    <n v="17"/>
    <b v="0"/>
    <n v="3"/>
    <x v="4"/>
    <n v="1"/>
    <x v="2"/>
    <x v="0"/>
    <n v="0.18179999999999999"/>
    <n v="0.47"/>
    <x v="1"/>
    <n v="0.35820000000000002"/>
    <n v="0"/>
    <n v="139"/>
    <n v="139"/>
  </r>
  <r>
    <n v="272"/>
    <d v="2011-01-12T00:00:00"/>
    <n v="1"/>
    <n v="0"/>
    <n v="1"/>
    <n v="18"/>
    <b v="0"/>
    <n v="3"/>
    <x v="4"/>
    <n v="1"/>
    <x v="2"/>
    <x v="0"/>
    <n v="0.1515"/>
    <n v="0.47"/>
    <x v="1"/>
    <n v="0.52239999999999998"/>
    <n v="2"/>
    <n v="135"/>
    <n v="137"/>
  </r>
  <r>
    <n v="273"/>
    <d v="2011-01-12T00:00:00"/>
    <n v="1"/>
    <n v="0"/>
    <n v="1"/>
    <n v="19"/>
    <b v="0"/>
    <n v="3"/>
    <x v="4"/>
    <n v="1"/>
    <x v="15"/>
    <x v="0"/>
    <n v="0.1515"/>
    <n v="0.47"/>
    <x v="1"/>
    <n v="0.41789999999999999"/>
    <n v="1"/>
    <n v="82"/>
    <n v="83"/>
  </r>
  <r>
    <n v="274"/>
    <d v="2011-01-12T00:00:00"/>
    <n v="1"/>
    <n v="0"/>
    <n v="1"/>
    <n v="20"/>
    <b v="0"/>
    <n v="3"/>
    <x v="4"/>
    <n v="1"/>
    <x v="13"/>
    <x v="0"/>
    <n v="0.13639999999999999"/>
    <n v="0.5"/>
    <x v="1"/>
    <n v="0.32840000000000003"/>
    <n v="2"/>
    <n v="54"/>
    <n v="56"/>
  </r>
  <r>
    <n v="275"/>
    <d v="2011-01-12T00:00:00"/>
    <n v="1"/>
    <n v="0"/>
    <n v="1"/>
    <n v="21"/>
    <b v="0"/>
    <n v="3"/>
    <x v="4"/>
    <n v="1"/>
    <x v="13"/>
    <x v="0"/>
    <n v="0.13639999999999999"/>
    <n v="0.55000000000000004"/>
    <x v="1"/>
    <n v="0.32840000000000003"/>
    <n v="0"/>
    <n v="57"/>
    <n v="57"/>
  </r>
  <r>
    <n v="276"/>
    <d v="2011-01-12T00:00:00"/>
    <n v="1"/>
    <n v="0"/>
    <n v="1"/>
    <n v="22"/>
    <b v="0"/>
    <n v="3"/>
    <x v="4"/>
    <n v="1"/>
    <x v="13"/>
    <x v="0"/>
    <n v="0.1212"/>
    <n v="0.55000000000000004"/>
    <x v="1"/>
    <n v="0.44779999999999998"/>
    <n v="1"/>
    <n v="32"/>
    <n v="33"/>
  </r>
  <r>
    <n v="277"/>
    <d v="2011-01-12T00:00:00"/>
    <n v="1"/>
    <n v="0"/>
    <n v="1"/>
    <n v="23"/>
    <b v="0"/>
    <n v="3"/>
    <x v="4"/>
    <n v="1"/>
    <x v="14"/>
    <x v="0"/>
    <n v="0.1061"/>
    <n v="0.59"/>
    <x v="1"/>
    <n v="0.41789999999999999"/>
    <n v="1"/>
    <n v="19"/>
    <n v="20"/>
  </r>
  <r>
    <n v="278"/>
    <d v="2011-01-13T00:00:00"/>
    <n v="1"/>
    <n v="0"/>
    <n v="1"/>
    <n v="0"/>
    <b v="0"/>
    <n v="4"/>
    <x v="5"/>
    <n v="1"/>
    <x v="14"/>
    <x v="0"/>
    <n v="0.1212"/>
    <n v="0.59"/>
    <x v="1"/>
    <n v="0.28360000000000002"/>
    <n v="1"/>
    <n v="6"/>
    <n v="7"/>
  </r>
  <r>
    <n v="279"/>
    <d v="2011-01-13T00:00:00"/>
    <n v="1"/>
    <n v="0"/>
    <n v="1"/>
    <n v="1"/>
    <b v="0"/>
    <n v="4"/>
    <x v="5"/>
    <n v="1"/>
    <x v="14"/>
    <x v="0"/>
    <n v="0.1212"/>
    <n v="0.5"/>
    <x v="1"/>
    <n v="0.28360000000000002"/>
    <n v="0"/>
    <n v="2"/>
    <n v="2"/>
  </r>
  <r>
    <n v="280"/>
    <d v="2011-01-13T00:00:00"/>
    <n v="1"/>
    <n v="0"/>
    <n v="1"/>
    <n v="2"/>
    <b v="0"/>
    <n v="4"/>
    <x v="5"/>
    <n v="1"/>
    <x v="14"/>
    <x v="0"/>
    <n v="0.1212"/>
    <n v="0.5"/>
    <x v="1"/>
    <n v="0.35820000000000002"/>
    <n v="0"/>
    <n v="2"/>
    <n v="2"/>
  </r>
  <r>
    <n v="281"/>
    <d v="2011-01-13T00:00:00"/>
    <n v="1"/>
    <n v="0"/>
    <n v="1"/>
    <n v="3"/>
    <b v="0"/>
    <n v="4"/>
    <x v="5"/>
    <n v="1"/>
    <x v="14"/>
    <x v="0"/>
    <n v="0.1212"/>
    <n v="0.5"/>
    <x v="1"/>
    <n v="0.32840000000000003"/>
    <n v="0"/>
    <n v="3"/>
    <n v="3"/>
  </r>
  <r>
    <n v="282"/>
    <d v="2011-01-13T00:00:00"/>
    <n v="1"/>
    <n v="0"/>
    <n v="1"/>
    <n v="4"/>
    <b v="0"/>
    <n v="4"/>
    <x v="5"/>
    <n v="1"/>
    <x v="14"/>
    <x v="0"/>
    <n v="0.1212"/>
    <n v="0.5"/>
    <x v="1"/>
    <n v="0.25369999999999998"/>
    <n v="0"/>
    <n v="4"/>
    <n v="4"/>
  </r>
  <r>
    <n v="283"/>
    <d v="2011-01-13T00:00:00"/>
    <n v="1"/>
    <n v="0"/>
    <n v="1"/>
    <n v="5"/>
    <b v="0"/>
    <n v="4"/>
    <x v="5"/>
    <n v="1"/>
    <x v="14"/>
    <x v="0"/>
    <n v="0.1212"/>
    <n v="0.5"/>
    <x v="1"/>
    <n v="0.29849999999999999"/>
    <n v="0"/>
    <n v="3"/>
    <n v="3"/>
  </r>
  <r>
    <n v="284"/>
    <d v="2011-01-13T00:00:00"/>
    <n v="1"/>
    <n v="0"/>
    <n v="1"/>
    <n v="6"/>
    <b v="0"/>
    <n v="4"/>
    <x v="5"/>
    <n v="1"/>
    <x v="16"/>
    <x v="0"/>
    <n v="0.1515"/>
    <n v="0.54"/>
    <x v="1"/>
    <n v="0.1343"/>
    <n v="0"/>
    <n v="28"/>
    <n v="28"/>
  </r>
  <r>
    <n v="285"/>
    <d v="2011-01-13T00:00:00"/>
    <n v="1"/>
    <n v="0"/>
    <n v="1"/>
    <n v="7"/>
    <b v="0"/>
    <n v="4"/>
    <x v="5"/>
    <n v="1"/>
    <x v="16"/>
    <x v="0"/>
    <n v="0.1515"/>
    <n v="0.54"/>
    <x v="1"/>
    <n v="0.1343"/>
    <n v="0"/>
    <n v="72"/>
    <n v="72"/>
  </r>
  <r>
    <n v="286"/>
    <d v="2011-01-13T00:00:00"/>
    <n v="1"/>
    <n v="0"/>
    <n v="1"/>
    <n v="8"/>
    <b v="0"/>
    <n v="4"/>
    <x v="5"/>
    <n v="1"/>
    <x v="14"/>
    <x v="0"/>
    <n v="0.13639999999999999"/>
    <n v="0.5"/>
    <x v="1"/>
    <n v="0.19400000000000001"/>
    <n v="5"/>
    <n v="197"/>
    <n v="202"/>
  </r>
  <r>
    <n v="287"/>
    <d v="2011-01-13T00:00:00"/>
    <n v="1"/>
    <n v="0"/>
    <n v="1"/>
    <n v="9"/>
    <b v="0"/>
    <n v="4"/>
    <x v="5"/>
    <n v="1"/>
    <x v="14"/>
    <x v="0"/>
    <n v="0.1212"/>
    <n v="0.5"/>
    <x v="1"/>
    <n v="0.32840000000000003"/>
    <n v="2"/>
    <n v="137"/>
    <n v="139"/>
  </r>
  <r>
    <n v="288"/>
    <d v="2011-01-13T00:00:00"/>
    <n v="1"/>
    <n v="0"/>
    <n v="1"/>
    <n v="10"/>
    <b v="0"/>
    <n v="4"/>
    <x v="5"/>
    <n v="2"/>
    <x v="13"/>
    <x v="0"/>
    <n v="0.13639999999999999"/>
    <n v="0.5"/>
    <x v="1"/>
    <n v="0.35820000000000002"/>
    <n v="2"/>
    <n v="36"/>
    <n v="38"/>
  </r>
  <r>
    <n v="289"/>
    <d v="2011-01-13T00:00:00"/>
    <n v="1"/>
    <n v="0"/>
    <n v="1"/>
    <n v="11"/>
    <b v="0"/>
    <n v="4"/>
    <x v="5"/>
    <n v="2"/>
    <x v="2"/>
    <x v="0"/>
    <n v="0.16669999999999999"/>
    <n v="0.44"/>
    <x v="1"/>
    <n v="0.44779999999999998"/>
    <n v="4"/>
    <n v="33"/>
    <n v="37"/>
  </r>
  <r>
    <n v="290"/>
    <d v="2011-01-13T00:00:00"/>
    <n v="1"/>
    <n v="0"/>
    <n v="1"/>
    <n v="12"/>
    <b v="0"/>
    <n v="4"/>
    <x v="5"/>
    <n v="1"/>
    <x v="2"/>
    <x v="0"/>
    <n v="0.16669999999999999"/>
    <n v="0.44"/>
    <x v="1"/>
    <n v="0.41789999999999999"/>
    <n v="3"/>
    <n v="49"/>
    <n v="52"/>
  </r>
  <r>
    <n v="291"/>
    <d v="2011-01-13T00:00:00"/>
    <n v="1"/>
    <n v="0"/>
    <n v="1"/>
    <n v="13"/>
    <b v="0"/>
    <n v="4"/>
    <x v="5"/>
    <n v="1"/>
    <x v="1"/>
    <x v="0"/>
    <n v="0.19700000000000001"/>
    <n v="0.41"/>
    <x v="1"/>
    <n v="0.44779999999999998"/>
    <n v="2"/>
    <n v="81"/>
    <n v="83"/>
  </r>
  <r>
    <n v="292"/>
    <d v="2011-01-13T00:00:00"/>
    <n v="1"/>
    <n v="0"/>
    <n v="1"/>
    <n v="14"/>
    <b v="0"/>
    <n v="4"/>
    <x v="5"/>
    <n v="1"/>
    <x v="1"/>
    <x v="0"/>
    <n v="0.19700000000000001"/>
    <n v="0.41"/>
    <x v="1"/>
    <n v="0.3881"/>
    <n v="3"/>
    <n v="39"/>
    <n v="42"/>
  </r>
  <r>
    <n v="293"/>
    <d v="2011-01-13T00:00:00"/>
    <n v="1"/>
    <n v="0"/>
    <n v="1"/>
    <n v="15"/>
    <b v="0"/>
    <n v="4"/>
    <x v="5"/>
    <n v="1"/>
    <x v="0"/>
    <x v="0"/>
    <n v="0.21210000000000001"/>
    <n v="0.38"/>
    <x v="1"/>
    <n v="0.29849999999999999"/>
    <n v="5"/>
    <n v="55"/>
    <n v="60"/>
  </r>
  <r>
    <n v="294"/>
    <d v="2011-01-13T00:00:00"/>
    <n v="1"/>
    <n v="0"/>
    <n v="1"/>
    <n v="16"/>
    <b v="0"/>
    <n v="4"/>
    <x v="5"/>
    <n v="1"/>
    <x v="0"/>
    <x v="0"/>
    <n v="0.21210000000000001"/>
    <n v="0.38"/>
    <x v="1"/>
    <n v="0.35820000000000002"/>
    <n v="2"/>
    <n v="76"/>
    <n v="78"/>
  </r>
  <r>
    <n v="295"/>
    <d v="2011-01-13T00:00:00"/>
    <n v="1"/>
    <n v="0"/>
    <n v="1"/>
    <n v="17"/>
    <b v="0"/>
    <n v="4"/>
    <x v="5"/>
    <n v="1"/>
    <x v="2"/>
    <x v="0"/>
    <n v="0.18179999999999999"/>
    <n v="0.4"/>
    <x v="1"/>
    <n v="0.28360000000000002"/>
    <n v="4"/>
    <n v="158"/>
    <n v="162"/>
  </r>
  <r>
    <n v="296"/>
    <d v="2011-01-13T00:00:00"/>
    <n v="1"/>
    <n v="0"/>
    <n v="1"/>
    <n v="18"/>
    <b v="0"/>
    <n v="4"/>
    <x v="5"/>
    <n v="1"/>
    <x v="2"/>
    <x v="0"/>
    <n v="0.18179999999999999"/>
    <n v="0.4"/>
    <x v="1"/>
    <n v="0.32840000000000003"/>
    <n v="3"/>
    <n v="141"/>
    <n v="144"/>
  </r>
  <r>
    <n v="297"/>
    <d v="2011-01-13T00:00:00"/>
    <n v="1"/>
    <n v="0"/>
    <n v="1"/>
    <n v="19"/>
    <b v="0"/>
    <n v="4"/>
    <x v="5"/>
    <n v="1"/>
    <x v="13"/>
    <x v="0"/>
    <n v="0.1515"/>
    <n v="0.47"/>
    <x v="1"/>
    <n v="0.25369999999999998"/>
    <n v="1"/>
    <n v="98"/>
    <n v="99"/>
  </r>
  <r>
    <n v="298"/>
    <d v="2011-01-13T00:00:00"/>
    <n v="1"/>
    <n v="0"/>
    <n v="1"/>
    <n v="20"/>
    <b v="0"/>
    <n v="4"/>
    <x v="5"/>
    <n v="1"/>
    <x v="13"/>
    <x v="0"/>
    <n v="0.1515"/>
    <n v="0.47"/>
    <x v="1"/>
    <n v="0.22389999999999999"/>
    <n v="0"/>
    <n v="64"/>
    <n v="64"/>
  </r>
  <r>
    <n v="299"/>
    <d v="2011-01-13T00:00:00"/>
    <n v="1"/>
    <n v="0"/>
    <n v="1"/>
    <n v="21"/>
    <b v="0"/>
    <n v="4"/>
    <x v="5"/>
    <n v="1"/>
    <x v="14"/>
    <x v="0"/>
    <n v="0.1212"/>
    <n v="0.46"/>
    <x v="1"/>
    <n v="0.29849999999999999"/>
    <n v="0"/>
    <n v="40"/>
    <n v="40"/>
  </r>
  <r>
    <n v="300"/>
    <d v="2011-01-13T00:00:00"/>
    <n v="1"/>
    <n v="0"/>
    <n v="1"/>
    <n v="22"/>
    <b v="0"/>
    <n v="4"/>
    <x v="5"/>
    <n v="1"/>
    <x v="14"/>
    <x v="0"/>
    <n v="0.1212"/>
    <n v="0.46"/>
    <x v="1"/>
    <n v="0.32840000000000003"/>
    <n v="0"/>
    <n v="30"/>
    <n v="30"/>
  </r>
  <r>
    <n v="301"/>
    <d v="2011-01-13T00:00:00"/>
    <n v="1"/>
    <n v="0"/>
    <n v="1"/>
    <n v="23"/>
    <b v="0"/>
    <n v="4"/>
    <x v="5"/>
    <n v="1"/>
    <x v="16"/>
    <x v="0"/>
    <n v="0.13639999999999999"/>
    <n v="0.5"/>
    <x v="1"/>
    <n v="0.19400000000000001"/>
    <n v="1"/>
    <n v="14"/>
    <n v="15"/>
  </r>
  <r>
    <n v="302"/>
    <d v="2011-01-14T00:00:00"/>
    <n v="1"/>
    <n v="0"/>
    <n v="1"/>
    <n v="0"/>
    <b v="0"/>
    <n v="5"/>
    <x v="6"/>
    <n v="1"/>
    <x v="16"/>
    <x v="0"/>
    <n v="0.13639999999999999"/>
    <n v="0.5"/>
    <x v="1"/>
    <n v="0.19400000000000001"/>
    <n v="0"/>
    <n v="14"/>
    <n v="14"/>
  </r>
  <r>
    <n v="303"/>
    <d v="2011-01-14T00:00:00"/>
    <n v="1"/>
    <n v="0"/>
    <n v="1"/>
    <n v="1"/>
    <b v="0"/>
    <n v="5"/>
    <x v="6"/>
    <n v="1"/>
    <x v="18"/>
    <x v="0"/>
    <n v="0.1212"/>
    <n v="0.54"/>
    <x v="1"/>
    <n v="0.16420000000000001"/>
    <n v="0"/>
    <n v="5"/>
    <n v="5"/>
  </r>
  <r>
    <n v="304"/>
    <d v="2011-01-14T00:00:00"/>
    <n v="1"/>
    <n v="0"/>
    <n v="1"/>
    <n v="2"/>
    <b v="0"/>
    <n v="5"/>
    <x v="6"/>
    <n v="1"/>
    <x v="18"/>
    <x v="0"/>
    <n v="0.1212"/>
    <n v="0.54"/>
    <x v="1"/>
    <n v="0.1343"/>
    <n v="0"/>
    <n v="1"/>
    <n v="1"/>
  </r>
  <r>
    <n v="305"/>
    <d v="2011-01-14T00:00:00"/>
    <n v="1"/>
    <n v="0"/>
    <n v="1"/>
    <n v="3"/>
    <b v="0"/>
    <n v="5"/>
    <x v="6"/>
    <n v="1"/>
    <x v="18"/>
    <x v="0"/>
    <n v="0.13639999999999999"/>
    <n v="0.54"/>
    <x v="1"/>
    <n v="0.1045"/>
    <n v="0"/>
    <n v="1"/>
    <n v="1"/>
  </r>
  <r>
    <n v="306"/>
    <d v="2011-01-14T00:00:00"/>
    <n v="1"/>
    <n v="0"/>
    <n v="1"/>
    <n v="5"/>
    <b v="0"/>
    <n v="5"/>
    <x v="6"/>
    <n v="1"/>
    <x v="18"/>
    <x v="0"/>
    <n v="0.13639999999999999"/>
    <n v="0.54"/>
    <x v="1"/>
    <n v="8.9599999999999999E-2"/>
    <n v="0"/>
    <n v="8"/>
    <n v="8"/>
  </r>
  <r>
    <n v="307"/>
    <d v="2011-01-14T00:00:00"/>
    <n v="1"/>
    <n v="0"/>
    <n v="1"/>
    <n v="6"/>
    <b v="0"/>
    <n v="5"/>
    <x v="6"/>
    <n v="1"/>
    <x v="18"/>
    <x v="0"/>
    <n v="0.18179999999999999"/>
    <n v="0.54"/>
    <x v="1"/>
    <n v="0"/>
    <n v="0"/>
    <n v="17"/>
    <n v="17"/>
  </r>
  <r>
    <n v="308"/>
    <d v="2011-01-14T00:00:00"/>
    <n v="1"/>
    <n v="0"/>
    <n v="1"/>
    <n v="7"/>
    <b v="0"/>
    <n v="5"/>
    <x v="6"/>
    <n v="1"/>
    <x v="18"/>
    <x v="0"/>
    <n v="0.1212"/>
    <n v="0.74"/>
    <x v="1"/>
    <n v="0.16420000000000001"/>
    <n v="0"/>
    <n v="70"/>
    <n v="70"/>
  </r>
  <r>
    <n v="309"/>
    <d v="2011-01-14T00:00:00"/>
    <n v="1"/>
    <n v="0"/>
    <n v="1"/>
    <n v="8"/>
    <b v="0"/>
    <n v="5"/>
    <x v="6"/>
    <n v="1"/>
    <x v="16"/>
    <x v="0"/>
    <n v="0.16669999999999999"/>
    <n v="0.68"/>
    <x v="1"/>
    <n v="0"/>
    <n v="2"/>
    <n v="156"/>
    <n v="158"/>
  </r>
  <r>
    <n v="310"/>
    <d v="2011-01-14T00:00:00"/>
    <n v="1"/>
    <n v="0"/>
    <n v="1"/>
    <n v="9"/>
    <b v="0"/>
    <n v="5"/>
    <x v="6"/>
    <n v="1"/>
    <x v="14"/>
    <x v="0"/>
    <n v="0.1515"/>
    <n v="0.69"/>
    <x v="1"/>
    <n v="0.1343"/>
    <n v="0"/>
    <n v="117"/>
    <n v="117"/>
  </r>
  <r>
    <n v="311"/>
    <d v="2011-01-14T00:00:00"/>
    <n v="1"/>
    <n v="0"/>
    <n v="1"/>
    <n v="10"/>
    <b v="0"/>
    <n v="5"/>
    <x v="6"/>
    <n v="1"/>
    <x v="15"/>
    <x v="0"/>
    <n v="0.18179999999999999"/>
    <n v="0.55000000000000004"/>
    <x v="1"/>
    <n v="0.19400000000000001"/>
    <n v="4"/>
    <n v="40"/>
    <n v="44"/>
  </r>
  <r>
    <n v="312"/>
    <d v="2011-01-14T00:00:00"/>
    <n v="1"/>
    <n v="0"/>
    <n v="1"/>
    <n v="11"/>
    <b v="0"/>
    <n v="5"/>
    <x v="6"/>
    <n v="1"/>
    <x v="15"/>
    <x v="0"/>
    <n v="0.16669999999999999"/>
    <n v="0.51"/>
    <x v="1"/>
    <n v="0.28360000000000002"/>
    <n v="6"/>
    <n v="47"/>
    <n v="53"/>
  </r>
  <r>
    <n v="313"/>
    <d v="2011-01-14T00:00:00"/>
    <n v="1"/>
    <n v="0"/>
    <n v="1"/>
    <n v="12"/>
    <b v="0"/>
    <n v="5"/>
    <x v="6"/>
    <n v="1"/>
    <x v="2"/>
    <x v="0"/>
    <n v="0.19700000000000001"/>
    <n v="0.44"/>
    <x v="1"/>
    <n v="0.25369999999999998"/>
    <n v="2"/>
    <n v="59"/>
    <n v="61"/>
  </r>
  <r>
    <n v="314"/>
    <d v="2011-01-14T00:00:00"/>
    <n v="1"/>
    <n v="0"/>
    <n v="1"/>
    <n v="13"/>
    <b v="0"/>
    <n v="5"/>
    <x v="6"/>
    <n v="1"/>
    <x v="1"/>
    <x v="0"/>
    <n v="0.19700000000000001"/>
    <n v="0.37"/>
    <x v="1"/>
    <n v="0.3881"/>
    <n v="4"/>
    <n v="73"/>
    <n v="77"/>
  </r>
  <r>
    <n v="315"/>
    <d v="2011-01-14T00:00:00"/>
    <n v="1"/>
    <n v="0"/>
    <n v="1"/>
    <n v="14"/>
    <b v="0"/>
    <n v="5"/>
    <x v="6"/>
    <n v="1"/>
    <x v="1"/>
    <x v="0"/>
    <n v="0.21210000000000001"/>
    <n v="0.41"/>
    <x v="1"/>
    <n v="0.28360000000000002"/>
    <n v="5"/>
    <n v="59"/>
    <n v="64"/>
  </r>
  <r>
    <n v="316"/>
    <d v="2011-01-14T00:00:00"/>
    <n v="1"/>
    <n v="0"/>
    <n v="1"/>
    <n v="15"/>
    <b v="0"/>
    <n v="5"/>
    <x v="6"/>
    <n v="1"/>
    <x v="0"/>
    <x v="0"/>
    <n v="0.2424"/>
    <n v="0.38"/>
    <x v="1"/>
    <n v="0.16420000000000001"/>
    <n v="9"/>
    <n v="59"/>
    <n v="68"/>
  </r>
  <r>
    <n v="317"/>
    <d v="2011-01-14T00:00:00"/>
    <n v="1"/>
    <n v="0"/>
    <n v="1"/>
    <n v="16"/>
    <b v="0"/>
    <n v="5"/>
    <x v="6"/>
    <n v="1"/>
    <x v="1"/>
    <x v="0"/>
    <n v="0.2424"/>
    <n v="0.41"/>
    <x v="1"/>
    <n v="0.1045"/>
    <n v="3"/>
    <n v="87"/>
    <n v="90"/>
  </r>
  <r>
    <n v="318"/>
    <d v="2011-01-14T00:00:00"/>
    <n v="1"/>
    <n v="0"/>
    <n v="1"/>
    <n v="17"/>
    <b v="0"/>
    <n v="5"/>
    <x v="6"/>
    <n v="1"/>
    <x v="1"/>
    <x v="0"/>
    <n v="0.2273"/>
    <n v="0.41"/>
    <x v="1"/>
    <n v="0.16420000000000001"/>
    <n v="4"/>
    <n v="155"/>
    <n v="159"/>
  </r>
  <r>
    <n v="319"/>
    <d v="2011-01-14T00:00:00"/>
    <n v="1"/>
    <n v="0"/>
    <n v="1"/>
    <n v="18"/>
    <b v="0"/>
    <n v="5"/>
    <x v="6"/>
    <n v="1"/>
    <x v="2"/>
    <x v="0"/>
    <n v="0.2576"/>
    <n v="0.47"/>
    <x v="1"/>
    <n v="0"/>
    <n v="5"/>
    <n v="134"/>
    <n v="139"/>
  </r>
  <r>
    <n v="320"/>
    <d v="2011-01-14T00:00:00"/>
    <n v="1"/>
    <n v="0"/>
    <n v="1"/>
    <n v="19"/>
    <b v="0"/>
    <n v="5"/>
    <x v="6"/>
    <n v="1"/>
    <x v="13"/>
    <x v="0"/>
    <n v="0.19700000000000001"/>
    <n v="0.59"/>
    <x v="1"/>
    <n v="8.9599999999999999E-2"/>
    <n v="3"/>
    <n v="89"/>
    <n v="92"/>
  </r>
  <r>
    <n v="321"/>
    <d v="2011-01-14T00:00:00"/>
    <n v="1"/>
    <n v="0"/>
    <n v="1"/>
    <n v="20"/>
    <b v="0"/>
    <n v="5"/>
    <x v="6"/>
    <n v="1"/>
    <x v="15"/>
    <x v="0"/>
    <n v="0.2424"/>
    <n v="0.59"/>
    <x v="1"/>
    <n v="0"/>
    <n v="0"/>
    <n v="68"/>
    <n v="68"/>
  </r>
  <r>
    <n v="322"/>
    <d v="2011-01-14T00:00:00"/>
    <n v="1"/>
    <n v="0"/>
    <n v="1"/>
    <n v="21"/>
    <b v="0"/>
    <n v="5"/>
    <x v="6"/>
    <n v="1"/>
    <x v="13"/>
    <x v="0"/>
    <n v="0.2273"/>
    <n v="0.69"/>
    <x v="1"/>
    <n v="0"/>
    <n v="4"/>
    <n v="48"/>
    <n v="52"/>
  </r>
  <r>
    <n v="323"/>
    <d v="2011-01-14T00:00:00"/>
    <n v="1"/>
    <n v="0"/>
    <n v="1"/>
    <n v="22"/>
    <b v="0"/>
    <n v="5"/>
    <x v="6"/>
    <n v="2"/>
    <x v="13"/>
    <x v="0"/>
    <n v="0.2273"/>
    <n v="0.69"/>
    <x v="1"/>
    <n v="0"/>
    <n v="2"/>
    <n v="34"/>
    <n v="36"/>
  </r>
  <r>
    <n v="324"/>
    <d v="2011-01-14T00:00:00"/>
    <n v="1"/>
    <n v="0"/>
    <n v="1"/>
    <n v="23"/>
    <b v="0"/>
    <n v="5"/>
    <x v="6"/>
    <n v="2"/>
    <x v="15"/>
    <x v="0"/>
    <n v="0.2424"/>
    <n v="0.55000000000000004"/>
    <x v="1"/>
    <n v="0"/>
    <n v="1"/>
    <n v="26"/>
    <n v="27"/>
  </r>
  <r>
    <n v="325"/>
    <d v="2011-01-15T00:00:00"/>
    <n v="1"/>
    <n v="0"/>
    <n v="1"/>
    <n v="0"/>
    <b v="0"/>
    <n v="6"/>
    <x v="0"/>
    <n v="1"/>
    <x v="15"/>
    <x v="0"/>
    <n v="0.2424"/>
    <n v="0.55000000000000004"/>
    <x v="1"/>
    <n v="0"/>
    <n v="3"/>
    <n v="25"/>
    <n v="28"/>
  </r>
  <r>
    <n v="326"/>
    <d v="2011-01-15T00:00:00"/>
    <n v="1"/>
    <n v="0"/>
    <n v="1"/>
    <n v="1"/>
    <b v="0"/>
    <n v="6"/>
    <x v="0"/>
    <n v="2"/>
    <x v="13"/>
    <x v="0"/>
    <n v="0.19700000000000001"/>
    <n v="0.59"/>
    <x v="1"/>
    <n v="8.9599999999999999E-2"/>
    <n v="2"/>
    <n v="18"/>
    <n v="20"/>
  </r>
  <r>
    <n v="327"/>
    <d v="2011-01-15T00:00:00"/>
    <n v="1"/>
    <n v="0"/>
    <n v="1"/>
    <n v="2"/>
    <b v="0"/>
    <n v="6"/>
    <x v="0"/>
    <n v="2"/>
    <x v="13"/>
    <x v="0"/>
    <n v="0.19700000000000001"/>
    <n v="0.59"/>
    <x v="1"/>
    <n v="8.9599999999999999E-2"/>
    <n v="0"/>
    <n v="12"/>
    <n v="12"/>
  </r>
  <r>
    <n v="328"/>
    <d v="2011-01-15T00:00:00"/>
    <n v="1"/>
    <n v="0"/>
    <n v="1"/>
    <n v="3"/>
    <b v="0"/>
    <n v="6"/>
    <x v="0"/>
    <n v="2"/>
    <x v="13"/>
    <x v="0"/>
    <n v="0.2273"/>
    <n v="0.59"/>
    <x v="1"/>
    <n v="0"/>
    <n v="1"/>
    <n v="7"/>
    <n v="8"/>
  </r>
  <r>
    <n v="329"/>
    <d v="2011-01-15T00:00:00"/>
    <n v="1"/>
    <n v="0"/>
    <n v="1"/>
    <n v="4"/>
    <b v="0"/>
    <n v="6"/>
    <x v="0"/>
    <n v="2"/>
    <x v="13"/>
    <x v="0"/>
    <n v="0.2273"/>
    <n v="0.59"/>
    <x v="1"/>
    <n v="0"/>
    <n v="0"/>
    <n v="5"/>
    <n v="5"/>
  </r>
  <r>
    <n v="330"/>
    <d v="2011-01-15T00:00:00"/>
    <n v="1"/>
    <n v="0"/>
    <n v="1"/>
    <n v="5"/>
    <b v="0"/>
    <n v="6"/>
    <x v="0"/>
    <n v="1"/>
    <x v="13"/>
    <x v="0"/>
    <n v="0.2273"/>
    <n v="0.59"/>
    <x v="1"/>
    <n v="0"/>
    <n v="0"/>
    <n v="1"/>
    <n v="1"/>
  </r>
  <r>
    <n v="331"/>
    <d v="2011-01-15T00:00:00"/>
    <n v="1"/>
    <n v="0"/>
    <n v="1"/>
    <n v="6"/>
    <b v="0"/>
    <n v="6"/>
    <x v="0"/>
    <n v="1"/>
    <x v="14"/>
    <x v="0"/>
    <n v="0.16669999999999999"/>
    <n v="0.63"/>
    <x v="1"/>
    <n v="0.1045"/>
    <n v="1"/>
    <n v="2"/>
    <n v="3"/>
  </r>
  <r>
    <n v="332"/>
    <d v="2011-01-15T00:00:00"/>
    <n v="1"/>
    <n v="0"/>
    <n v="1"/>
    <n v="7"/>
    <b v="0"/>
    <n v="6"/>
    <x v="0"/>
    <n v="1"/>
    <x v="14"/>
    <x v="0"/>
    <n v="0.21210000000000001"/>
    <n v="0.63"/>
    <x v="1"/>
    <n v="0"/>
    <n v="1"/>
    <n v="9"/>
    <n v="10"/>
  </r>
  <r>
    <n v="333"/>
    <d v="2011-01-15T00:00:00"/>
    <n v="1"/>
    <n v="0"/>
    <n v="1"/>
    <n v="8"/>
    <b v="0"/>
    <n v="6"/>
    <x v="0"/>
    <n v="1"/>
    <x v="14"/>
    <x v="0"/>
    <n v="0.1515"/>
    <n v="0.63"/>
    <x v="1"/>
    <n v="0.1343"/>
    <n v="1"/>
    <n v="22"/>
    <n v="23"/>
  </r>
  <r>
    <n v="334"/>
    <d v="2011-01-15T00:00:00"/>
    <n v="1"/>
    <n v="0"/>
    <n v="1"/>
    <n v="9"/>
    <b v="0"/>
    <n v="6"/>
    <x v="0"/>
    <n v="1"/>
    <x v="13"/>
    <x v="0"/>
    <n v="0.18179999999999999"/>
    <n v="0.64"/>
    <x v="1"/>
    <n v="0.1343"/>
    <n v="2"/>
    <n v="31"/>
    <n v="33"/>
  </r>
  <r>
    <n v="335"/>
    <d v="2011-01-15T00:00:00"/>
    <n v="1"/>
    <n v="0"/>
    <n v="1"/>
    <n v="10"/>
    <b v="0"/>
    <n v="6"/>
    <x v="0"/>
    <n v="1"/>
    <x v="15"/>
    <x v="0"/>
    <n v="0.19700000000000001"/>
    <n v="0.59"/>
    <x v="1"/>
    <n v="0.16420000000000001"/>
    <n v="2"/>
    <n v="57"/>
    <n v="59"/>
  </r>
  <r>
    <n v="336"/>
    <d v="2011-01-15T00:00:00"/>
    <n v="1"/>
    <n v="0"/>
    <n v="1"/>
    <n v="11"/>
    <b v="0"/>
    <n v="6"/>
    <x v="0"/>
    <n v="1"/>
    <x v="2"/>
    <x v="0"/>
    <n v="0.19700000000000001"/>
    <n v="0.55000000000000004"/>
    <x v="1"/>
    <n v="0.22389999999999999"/>
    <n v="18"/>
    <n v="54"/>
    <n v="72"/>
  </r>
  <r>
    <n v="337"/>
    <d v="2011-01-15T00:00:00"/>
    <n v="1"/>
    <n v="0"/>
    <n v="1"/>
    <n v="12"/>
    <b v="0"/>
    <n v="6"/>
    <x v="0"/>
    <n v="1"/>
    <x v="0"/>
    <x v="0"/>
    <n v="0.2273"/>
    <n v="0.48"/>
    <x v="1"/>
    <n v="0.22389999999999999"/>
    <n v="15"/>
    <n v="74"/>
    <n v="89"/>
  </r>
  <r>
    <n v="338"/>
    <d v="2011-01-15T00:00:00"/>
    <n v="1"/>
    <n v="0"/>
    <n v="1"/>
    <n v="13"/>
    <b v="0"/>
    <n v="6"/>
    <x v="0"/>
    <n v="1"/>
    <x v="17"/>
    <x v="0"/>
    <n v="0.2576"/>
    <n v="0.38"/>
    <x v="1"/>
    <n v="0.29849999999999999"/>
    <n v="21"/>
    <n v="80"/>
    <n v="101"/>
  </r>
  <r>
    <n v="339"/>
    <d v="2011-01-15T00:00:00"/>
    <n v="1"/>
    <n v="0"/>
    <n v="1"/>
    <n v="14"/>
    <b v="0"/>
    <n v="6"/>
    <x v="0"/>
    <n v="1"/>
    <x v="11"/>
    <x v="0"/>
    <n v="0.28789999999999999"/>
    <n v="0.39"/>
    <x v="1"/>
    <n v="0.28360000000000002"/>
    <n v="26"/>
    <n v="92"/>
    <n v="118"/>
  </r>
  <r>
    <n v="340"/>
    <d v="2011-01-15T00:00:00"/>
    <n v="1"/>
    <n v="0"/>
    <n v="1"/>
    <n v="15"/>
    <b v="0"/>
    <n v="6"/>
    <x v="0"/>
    <n v="2"/>
    <x v="3"/>
    <x v="0"/>
    <n v="0.31819999999999998"/>
    <n v="0.36"/>
    <x v="1"/>
    <n v="0.19400000000000001"/>
    <n v="21"/>
    <n v="108"/>
    <n v="129"/>
  </r>
  <r>
    <n v="341"/>
    <d v="2011-01-15T00:00:00"/>
    <n v="1"/>
    <n v="0"/>
    <n v="1"/>
    <n v="16"/>
    <b v="0"/>
    <n v="6"/>
    <x v="0"/>
    <n v="2"/>
    <x v="10"/>
    <x v="0"/>
    <n v="0.33329999999999999"/>
    <n v="0.34"/>
    <x v="1"/>
    <n v="0.19400000000000001"/>
    <n v="33"/>
    <n v="95"/>
    <n v="128"/>
  </r>
  <r>
    <n v="342"/>
    <d v="2011-01-15T00:00:00"/>
    <n v="1"/>
    <n v="0"/>
    <n v="1"/>
    <n v="17"/>
    <b v="0"/>
    <n v="6"/>
    <x v="0"/>
    <n v="2"/>
    <x v="3"/>
    <x v="0"/>
    <n v="0.30299999999999999"/>
    <n v="0.36"/>
    <x v="1"/>
    <n v="0.28360000000000002"/>
    <n v="29"/>
    <n v="54"/>
    <n v="83"/>
  </r>
  <r>
    <n v="343"/>
    <d v="2011-01-15T00:00:00"/>
    <n v="1"/>
    <n v="0"/>
    <n v="1"/>
    <n v="18"/>
    <b v="0"/>
    <n v="6"/>
    <x v="0"/>
    <n v="2"/>
    <x v="11"/>
    <x v="0"/>
    <n v="0.28789999999999999"/>
    <n v="0.45"/>
    <x v="1"/>
    <n v="0.25369999999999998"/>
    <n v="15"/>
    <n v="69"/>
    <n v="84"/>
  </r>
  <r>
    <n v="344"/>
    <d v="2011-01-15T00:00:00"/>
    <n v="1"/>
    <n v="0"/>
    <n v="1"/>
    <n v="19"/>
    <b v="0"/>
    <n v="6"/>
    <x v="0"/>
    <n v="2"/>
    <x v="3"/>
    <x v="0"/>
    <n v="0.30299999999999999"/>
    <n v="0.39"/>
    <x v="1"/>
    <n v="0.25369999999999998"/>
    <n v="14"/>
    <n v="60"/>
    <n v="74"/>
  </r>
  <r>
    <n v="345"/>
    <d v="2011-01-15T00:00:00"/>
    <n v="1"/>
    <n v="0"/>
    <n v="1"/>
    <n v="20"/>
    <b v="0"/>
    <n v="6"/>
    <x v="0"/>
    <n v="2"/>
    <x v="3"/>
    <x v="0"/>
    <n v="0.30299999999999999"/>
    <n v="0.39"/>
    <x v="1"/>
    <n v="0.25369999999999998"/>
    <n v="6"/>
    <n v="35"/>
    <n v="41"/>
  </r>
  <r>
    <n v="346"/>
    <d v="2011-01-15T00:00:00"/>
    <n v="1"/>
    <n v="0"/>
    <n v="1"/>
    <n v="21"/>
    <b v="0"/>
    <n v="6"/>
    <x v="0"/>
    <n v="2"/>
    <x v="3"/>
    <x v="0"/>
    <n v="0.30299999999999999"/>
    <n v="0.39"/>
    <x v="1"/>
    <n v="0.22389999999999999"/>
    <n v="6"/>
    <n v="51"/>
    <n v="57"/>
  </r>
  <r>
    <n v="347"/>
    <d v="2011-01-15T00:00:00"/>
    <n v="1"/>
    <n v="0"/>
    <n v="1"/>
    <n v="22"/>
    <b v="0"/>
    <n v="6"/>
    <x v="0"/>
    <n v="2"/>
    <x v="11"/>
    <x v="0"/>
    <n v="0.31819999999999998"/>
    <n v="0.42"/>
    <x v="1"/>
    <n v="0.1045"/>
    <n v="0"/>
    <n v="26"/>
    <n v="26"/>
  </r>
  <r>
    <n v="348"/>
    <d v="2011-01-15T00:00:00"/>
    <n v="1"/>
    <n v="0"/>
    <n v="1"/>
    <n v="23"/>
    <b v="0"/>
    <n v="6"/>
    <x v="0"/>
    <n v="1"/>
    <x v="11"/>
    <x v="0"/>
    <n v="0.28789999999999999"/>
    <n v="0.45"/>
    <x v="1"/>
    <n v="0.28360000000000002"/>
    <n v="5"/>
    <n v="39"/>
    <n v="44"/>
  </r>
  <r>
    <n v="349"/>
    <d v="2011-01-16T00:00:00"/>
    <n v="1"/>
    <n v="0"/>
    <n v="1"/>
    <n v="0"/>
    <b v="0"/>
    <n v="0"/>
    <x v="1"/>
    <n v="1"/>
    <x v="12"/>
    <x v="0"/>
    <n v="0.30299999999999999"/>
    <n v="0.56000000000000005"/>
    <x v="1"/>
    <n v="0"/>
    <n v="6"/>
    <n v="33"/>
    <n v="39"/>
  </r>
  <r>
    <n v="350"/>
    <d v="2011-01-16T00:00:00"/>
    <n v="1"/>
    <n v="0"/>
    <n v="1"/>
    <n v="1"/>
    <b v="0"/>
    <n v="0"/>
    <x v="1"/>
    <n v="1"/>
    <x v="12"/>
    <x v="0"/>
    <n v="0.2727"/>
    <n v="0.56000000000000005"/>
    <x v="1"/>
    <n v="0.1343"/>
    <n v="4"/>
    <n v="19"/>
    <n v="23"/>
  </r>
  <r>
    <n v="351"/>
    <d v="2011-01-16T00:00:00"/>
    <n v="1"/>
    <n v="0"/>
    <n v="1"/>
    <n v="2"/>
    <b v="0"/>
    <n v="0"/>
    <x v="1"/>
    <n v="1"/>
    <x v="12"/>
    <x v="0"/>
    <n v="0.28789999999999999"/>
    <n v="0.56000000000000005"/>
    <x v="1"/>
    <n v="8.9599999999999999E-2"/>
    <n v="3"/>
    <n v="13"/>
    <n v="16"/>
  </r>
  <r>
    <n v="352"/>
    <d v="2011-01-16T00:00:00"/>
    <n v="1"/>
    <n v="0"/>
    <n v="1"/>
    <n v="3"/>
    <b v="0"/>
    <n v="0"/>
    <x v="1"/>
    <n v="1"/>
    <x v="1"/>
    <x v="0"/>
    <n v="0.2727"/>
    <n v="0.69"/>
    <x v="1"/>
    <n v="0"/>
    <n v="9"/>
    <n v="6"/>
    <n v="15"/>
  </r>
  <r>
    <n v="353"/>
    <d v="2011-01-16T00:00:00"/>
    <n v="1"/>
    <n v="0"/>
    <n v="1"/>
    <n v="4"/>
    <b v="0"/>
    <n v="0"/>
    <x v="1"/>
    <n v="1"/>
    <x v="12"/>
    <x v="0"/>
    <n v="0.2576"/>
    <n v="0.56000000000000005"/>
    <x v="1"/>
    <n v="0.16420000000000001"/>
    <n v="0"/>
    <n v="1"/>
    <n v="1"/>
  </r>
  <r>
    <n v="354"/>
    <d v="2011-01-16T00:00:00"/>
    <n v="1"/>
    <n v="0"/>
    <n v="1"/>
    <n v="5"/>
    <b v="0"/>
    <n v="0"/>
    <x v="1"/>
    <n v="2"/>
    <x v="12"/>
    <x v="0"/>
    <n v="0.2576"/>
    <n v="0.56000000000000005"/>
    <x v="1"/>
    <n v="0.16420000000000001"/>
    <n v="1"/>
    <n v="1"/>
    <n v="2"/>
  </r>
  <r>
    <n v="355"/>
    <d v="2011-01-16T00:00:00"/>
    <n v="1"/>
    <n v="0"/>
    <n v="1"/>
    <n v="6"/>
    <b v="0"/>
    <n v="0"/>
    <x v="1"/>
    <n v="2"/>
    <x v="12"/>
    <x v="0"/>
    <n v="0.2576"/>
    <n v="0.56000000000000005"/>
    <x v="1"/>
    <n v="0.16420000000000001"/>
    <n v="0"/>
    <n v="1"/>
    <n v="1"/>
  </r>
  <r>
    <n v="356"/>
    <d v="2011-01-16T00:00:00"/>
    <n v="1"/>
    <n v="0"/>
    <n v="1"/>
    <n v="7"/>
    <b v="0"/>
    <n v="0"/>
    <x v="1"/>
    <n v="2"/>
    <x v="0"/>
    <x v="0"/>
    <n v="0.21210000000000001"/>
    <n v="0.56000000000000005"/>
    <x v="1"/>
    <n v="0.29849999999999999"/>
    <n v="0"/>
    <n v="3"/>
    <n v="3"/>
  </r>
  <r>
    <n v="357"/>
    <d v="2011-01-16T00:00:00"/>
    <n v="1"/>
    <n v="0"/>
    <n v="1"/>
    <n v="8"/>
    <b v="0"/>
    <n v="0"/>
    <x v="1"/>
    <n v="1"/>
    <x v="1"/>
    <x v="0"/>
    <n v="0.21210000000000001"/>
    <n v="0.55000000000000004"/>
    <x v="1"/>
    <n v="0.28360000000000002"/>
    <n v="0"/>
    <n v="18"/>
    <n v="18"/>
  </r>
  <r>
    <n v="358"/>
    <d v="2011-01-16T00:00:00"/>
    <n v="1"/>
    <n v="0"/>
    <n v="1"/>
    <n v="9"/>
    <b v="0"/>
    <n v="0"/>
    <x v="1"/>
    <n v="1"/>
    <x v="1"/>
    <x v="0"/>
    <n v="0.21210000000000001"/>
    <n v="0.51"/>
    <x v="1"/>
    <n v="0.25369999999999998"/>
    <n v="3"/>
    <n v="29"/>
    <n v="32"/>
  </r>
  <r>
    <n v="359"/>
    <d v="2011-01-16T00:00:00"/>
    <n v="1"/>
    <n v="0"/>
    <n v="1"/>
    <n v="10"/>
    <b v="0"/>
    <n v="0"/>
    <x v="1"/>
    <n v="1"/>
    <x v="1"/>
    <x v="0"/>
    <n v="0.21210000000000001"/>
    <n v="0.51"/>
    <x v="1"/>
    <n v="0.28360000000000002"/>
    <n v="8"/>
    <n v="71"/>
    <n v="79"/>
  </r>
  <r>
    <n v="360"/>
    <d v="2011-01-16T00:00:00"/>
    <n v="1"/>
    <n v="0"/>
    <n v="1"/>
    <n v="11"/>
    <b v="0"/>
    <n v="0"/>
    <x v="1"/>
    <n v="1"/>
    <x v="0"/>
    <x v="0"/>
    <n v="0.2273"/>
    <n v="0.44"/>
    <x v="1"/>
    <n v="0.25369999999999998"/>
    <n v="23"/>
    <n v="70"/>
    <n v="93"/>
  </r>
  <r>
    <n v="361"/>
    <d v="2011-01-16T00:00:00"/>
    <n v="1"/>
    <n v="0"/>
    <n v="1"/>
    <n v="12"/>
    <b v="0"/>
    <n v="0"/>
    <x v="1"/>
    <n v="1"/>
    <x v="0"/>
    <x v="0"/>
    <n v="0.21210000000000001"/>
    <n v="0.41"/>
    <x v="1"/>
    <n v="0.28360000000000002"/>
    <n v="29"/>
    <n v="75"/>
    <n v="104"/>
  </r>
  <r>
    <n v="362"/>
    <d v="2011-01-16T00:00:00"/>
    <n v="1"/>
    <n v="0"/>
    <n v="1"/>
    <n v="13"/>
    <b v="0"/>
    <n v="0"/>
    <x v="1"/>
    <n v="1"/>
    <x v="12"/>
    <x v="0"/>
    <n v="0.2273"/>
    <n v="0.35"/>
    <x v="1"/>
    <n v="0.29849999999999999"/>
    <n v="23"/>
    <n v="95"/>
    <n v="118"/>
  </r>
  <r>
    <n v="363"/>
    <d v="2011-01-16T00:00:00"/>
    <n v="1"/>
    <n v="0"/>
    <n v="1"/>
    <n v="14"/>
    <b v="0"/>
    <n v="0"/>
    <x v="1"/>
    <n v="1"/>
    <x v="17"/>
    <x v="0"/>
    <n v="0.2727"/>
    <n v="0.36"/>
    <x v="1"/>
    <n v="0.25369999999999998"/>
    <n v="22"/>
    <n v="69"/>
    <n v="91"/>
  </r>
  <r>
    <n v="364"/>
    <d v="2011-01-16T00:00:00"/>
    <n v="1"/>
    <n v="0"/>
    <n v="1"/>
    <n v="15"/>
    <b v="0"/>
    <n v="0"/>
    <x v="1"/>
    <n v="1"/>
    <x v="12"/>
    <x v="0"/>
    <n v="0.2424"/>
    <n v="0.38"/>
    <x v="1"/>
    <n v="0.25369999999999998"/>
    <n v="35"/>
    <n v="78"/>
    <n v="113"/>
  </r>
  <r>
    <n v="365"/>
    <d v="2011-01-16T00:00:00"/>
    <n v="1"/>
    <n v="0"/>
    <n v="1"/>
    <n v="16"/>
    <b v="0"/>
    <n v="0"/>
    <x v="1"/>
    <n v="1"/>
    <x v="0"/>
    <x v="0"/>
    <n v="0.2273"/>
    <n v="0.38"/>
    <x v="1"/>
    <n v="0.22389999999999999"/>
    <n v="22"/>
    <n v="77"/>
    <n v="99"/>
  </r>
  <r>
    <n v="366"/>
    <d v="2011-01-16T00:00:00"/>
    <n v="1"/>
    <n v="0"/>
    <n v="1"/>
    <n v="17"/>
    <b v="0"/>
    <n v="0"/>
    <x v="1"/>
    <n v="1"/>
    <x v="1"/>
    <x v="0"/>
    <n v="0.21210000000000001"/>
    <n v="0.37"/>
    <x v="1"/>
    <n v="0.25369999999999998"/>
    <n v="23"/>
    <n v="82"/>
    <n v="105"/>
  </r>
  <r>
    <n v="367"/>
    <d v="2011-01-16T00:00:00"/>
    <n v="1"/>
    <n v="0"/>
    <n v="1"/>
    <n v="18"/>
    <b v="0"/>
    <n v="0"/>
    <x v="1"/>
    <n v="1"/>
    <x v="2"/>
    <x v="0"/>
    <n v="0.21210000000000001"/>
    <n v="0.4"/>
    <x v="1"/>
    <n v="0.16420000000000001"/>
    <n v="11"/>
    <n v="56"/>
    <n v="67"/>
  </r>
  <r>
    <n v="368"/>
    <d v="2011-01-16T00:00:00"/>
    <n v="1"/>
    <n v="0"/>
    <n v="1"/>
    <n v="19"/>
    <b v="0"/>
    <n v="0"/>
    <x v="1"/>
    <n v="1"/>
    <x v="15"/>
    <x v="0"/>
    <n v="0.19700000000000001"/>
    <n v="0.47"/>
    <x v="1"/>
    <n v="0.1343"/>
    <n v="14"/>
    <n v="47"/>
    <n v="61"/>
  </r>
  <r>
    <n v="369"/>
    <d v="2011-01-16T00:00:00"/>
    <n v="1"/>
    <n v="0"/>
    <n v="1"/>
    <n v="20"/>
    <b v="0"/>
    <n v="0"/>
    <x v="1"/>
    <n v="1"/>
    <x v="15"/>
    <x v="0"/>
    <n v="0.19700000000000001"/>
    <n v="0.47"/>
    <x v="1"/>
    <n v="0.16420000000000001"/>
    <n v="7"/>
    <n v="50"/>
    <n v="57"/>
  </r>
  <r>
    <n v="370"/>
    <d v="2011-01-16T00:00:00"/>
    <n v="1"/>
    <n v="0"/>
    <n v="1"/>
    <n v="21"/>
    <b v="0"/>
    <n v="0"/>
    <x v="1"/>
    <n v="1"/>
    <x v="15"/>
    <x v="0"/>
    <n v="0.19700000000000001"/>
    <n v="0.51"/>
    <x v="1"/>
    <n v="0.16420000000000001"/>
    <n v="6"/>
    <n v="22"/>
    <n v="28"/>
  </r>
  <r>
    <n v="371"/>
    <d v="2011-01-16T00:00:00"/>
    <n v="1"/>
    <n v="0"/>
    <n v="1"/>
    <n v="22"/>
    <b v="0"/>
    <n v="0"/>
    <x v="1"/>
    <n v="2"/>
    <x v="2"/>
    <x v="0"/>
    <n v="0.21210000000000001"/>
    <n v="0.49"/>
    <x v="1"/>
    <n v="0.1343"/>
    <n v="2"/>
    <n v="19"/>
    <n v="21"/>
  </r>
  <r>
    <n v="372"/>
    <d v="2011-01-16T00:00:00"/>
    <n v="1"/>
    <n v="0"/>
    <n v="1"/>
    <n v="23"/>
    <b v="0"/>
    <n v="0"/>
    <x v="1"/>
    <n v="2"/>
    <x v="2"/>
    <x v="0"/>
    <n v="0.2273"/>
    <n v="0.4"/>
    <x v="1"/>
    <n v="0.1045"/>
    <n v="0"/>
    <n v="18"/>
    <n v="18"/>
  </r>
  <r>
    <n v="373"/>
    <d v="2011-01-17T00:00:00"/>
    <n v="1"/>
    <n v="0"/>
    <n v="1"/>
    <n v="0"/>
    <b v="1"/>
    <n v="1"/>
    <x v="2"/>
    <n v="2"/>
    <x v="2"/>
    <x v="0"/>
    <n v="0.19700000000000001"/>
    <n v="0.47"/>
    <x v="1"/>
    <n v="0.22389999999999999"/>
    <n v="1"/>
    <n v="16"/>
    <n v="17"/>
  </r>
  <r>
    <n v="374"/>
    <d v="2011-01-17T00:00:00"/>
    <n v="1"/>
    <n v="0"/>
    <n v="1"/>
    <n v="1"/>
    <b v="1"/>
    <n v="1"/>
    <x v="2"/>
    <n v="2"/>
    <x v="2"/>
    <x v="0"/>
    <n v="0.19700000000000001"/>
    <n v="0.44"/>
    <x v="1"/>
    <n v="0.19400000000000001"/>
    <n v="1"/>
    <n v="15"/>
    <n v="16"/>
  </r>
  <r>
    <n v="375"/>
    <d v="2011-01-17T00:00:00"/>
    <n v="1"/>
    <n v="0"/>
    <n v="1"/>
    <n v="2"/>
    <b v="1"/>
    <n v="1"/>
    <x v="2"/>
    <n v="2"/>
    <x v="15"/>
    <x v="0"/>
    <n v="0.16669999999999999"/>
    <n v="0.43"/>
    <x v="1"/>
    <n v="0.25369999999999998"/>
    <n v="0"/>
    <n v="8"/>
    <n v="8"/>
  </r>
  <r>
    <n v="376"/>
    <d v="2011-01-17T00:00:00"/>
    <n v="1"/>
    <n v="0"/>
    <n v="1"/>
    <n v="3"/>
    <b v="1"/>
    <n v="1"/>
    <x v="2"/>
    <n v="2"/>
    <x v="15"/>
    <x v="0"/>
    <n v="0.18179999999999999"/>
    <n v="0.43"/>
    <x v="1"/>
    <n v="0.19400000000000001"/>
    <n v="0"/>
    <n v="2"/>
    <n v="2"/>
  </r>
  <r>
    <n v="377"/>
    <d v="2011-01-17T00:00:00"/>
    <n v="1"/>
    <n v="0"/>
    <n v="1"/>
    <n v="4"/>
    <b v="1"/>
    <n v="1"/>
    <x v="2"/>
    <n v="2"/>
    <x v="15"/>
    <x v="0"/>
    <n v="0.19700000000000001"/>
    <n v="0.43"/>
    <x v="1"/>
    <n v="0.1343"/>
    <n v="1"/>
    <n v="2"/>
    <n v="3"/>
  </r>
  <r>
    <n v="378"/>
    <d v="2011-01-17T00:00:00"/>
    <n v="1"/>
    <n v="0"/>
    <n v="1"/>
    <n v="5"/>
    <b v="1"/>
    <n v="1"/>
    <x v="2"/>
    <n v="2"/>
    <x v="15"/>
    <x v="0"/>
    <n v="0.19700000000000001"/>
    <n v="0.43"/>
    <x v="1"/>
    <n v="0.16420000000000001"/>
    <n v="0"/>
    <n v="1"/>
    <n v="1"/>
  </r>
  <r>
    <n v="379"/>
    <d v="2011-01-17T00:00:00"/>
    <n v="1"/>
    <n v="0"/>
    <n v="1"/>
    <n v="6"/>
    <b v="1"/>
    <n v="1"/>
    <x v="2"/>
    <n v="2"/>
    <x v="15"/>
    <x v="0"/>
    <n v="0.18179999999999999"/>
    <n v="0.43"/>
    <x v="1"/>
    <n v="0.19400000000000001"/>
    <n v="0"/>
    <n v="5"/>
    <n v="5"/>
  </r>
  <r>
    <n v="380"/>
    <d v="2011-01-17T00:00:00"/>
    <n v="1"/>
    <n v="0"/>
    <n v="1"/>
    <n v="7"/>
    <b v="1"/>
    <n v="1"/>
    <x v="2"/>
    <n v="2"/>
    <x v="13"/>
    <x v="0"/>
    <n v="0.18179999999999999"/>
    <n v="0.5"/>
    <x v="1"/>
    <n v="0.1343"/>
    <n v="4"/>
    <n v="9"/>
    <n v="13"/>
  </r>
  <r>
    <n v="381"/>
    <d v="2011-01-17T00:00:00"/>
    <n v="1"/>
    <n v="0"/>
    <n v="1"/>
    <n v="8"/>
    <b v="1"/>
    <n v="1"/>
    <x v="2"/>
    <n v="2"/>
    <x v="13"/>
    <x v="0"/>
    <n v="0.1515"/>
    <n v="0.47"/>
    <x v="1"/>
    <n v="0.22389999999999999"/>
    <n v="3"/>
    <n v="30"/>
    <n v="33"/>
  </r>
  <r>
    <n v="382"/>
    <d v="2011-01-17T00:00:00"/>
    <n v="1"/>
    <n v="0"/>
    <n v="1"/>
    <n v="9"/>
    <b v="1"/>
    <n v="1"/>
    <x v="2"/>
    <n v="2"/>
    <x v="13"/>
    <x v="0"/>
    <n v="0.1515"/>
    <n v="0.47"/>
    <x v="1"/>
    <n v="0.22389999999999999"/>
    <n v="8"/>
    <n v="39"/>
    <n v="47"/>
  </r>
  <r>
    <n v="383"/>
    <d v="2011-01-17T00:00:00"/>
    <n v="1"/>
    <n v="0"/>
    <n v="1"/>
    <n v="10"/>
    <b v="1"/>
    <n v="1"/>
    <x v="2"/>
    <n v="2"/>
    <x v="13"/>
    <x v="0"/>
    <n v="0.1515"/>
    <n v="0.5"/>
    <x v="1"/>
    <n v="0.25369999999999998"/>
    <n v="7"/>
    <n v="50"/>
    <n v="57"/>
  </r>
  <r>
    <n v="384"/>
    <d v="2011-01-17T00:00:00"/>
    <n v="1"/>
    <n v="0"/>
    <n v="1"/>
    <n v="11"/>
    <b v="1"/>
    <n v="1"/>
    <x v="2"/>
    <n v="2"/>
    <x v="13"/>
    <x v="0"/>
    <n v="0.1515"/>
    <n v="0.55000000000000004"/>
    <x v="1"/>
    <n v="0.19400000000000001"/>
    <n v="9"/>
    <n v="55"/>
    <n v="64"/>
  </r>
  <r>
    <n v="385"/>
    <d v="2011-01-17T00:00:00"/>
    <n v="1"/>
    <n v="0"/>
    <n v="1"/>
    <n v="12"/>
    <b v="1"/>
    <n v="1"/>
    <x v="2"/>
    <n v="2"/>
    <x v="15"/>
    <x v="0"/>
    <n v="0.19700000000000001"/>
    <n v="0.47"/>
    <x v="1"/>
    <n v="0.1343"/>
    <n v="10"/>
    <n v="70"/>
    <n v="80"/>
  </r>
  <r>
    <n v="386"/>
    <d v="2011-01-17T00:00:00"/>
    <n v="1"/>
    <n v="0"/>
    <n v="1"/>
    <n v="13"/>
    <b v="1"/>
    <n v="1"/>
    <x v="2"/>
    <n v="2"/>
    <x v="15"/>
    <x v="0"/>
    <n v="0.19700000000000001"/>
    <n v="0.47"/>
    <x v="1"/>
    <n v="0.1343"/>
    <n v="13"/>
    <n v="80"/>
    <n v="93"/>
  </r>
  <r>
    <n v="387"/>
    <d v="2011-01-17T00:00:00"/>
    <n v="1"/>
    <n v="0"/>
    <n v="1"/>
    <n v="14"/>
    <b v="1"/>
    <n v="1"/>
    <x v="2"/>
    <n v="2"/>
    <x v="15"/>
    <x v="0"/>
    <n v="0.21210000000000001"/>
    <n v="0.43"/>
    <x v="1"/>
    <n v="0.1045"/>
    <n v="12"/>
    <n v="74"/>
    <n v="86"/>
  </r>
  <r>
    <n v="388"/>
    <d v="2011-01-17T00:00:00"/>
    <n v="1"/>
    <n v="0"/>
    <n v="1"/>
    <n v="15"/>
    <b v="1"/>
    <n v="1"/>
    <x v="2"/>
    <n v="2"/>
    <x v="2"/>
    <x v="0"/>
    <n v="0.21210000000000001"/>
    <n v="0.47"/>
    <x v="1"/>
    <n v="0.16420000000000001"/>
    <n v="21"/>
    <n v="72"/>
    <n v="93"/>
  </r>
  <r>
    <n v="389"/>
    <d v="2011-01-17T00:00:00"/>
    <n v="1"/>
    <n v="0"/>
    <n v="1"/>
    <n v="16"/>
    <b v="1"/>
    <n v="1"/>
    <x v="2"/>
    <n v="2"/>
    <x v="2"/>
    <x v="0"/>
    <n v="0.21210000000000001"/>
    <n v="0.47"/>
    <x v="1"/>
    <n v="0.16420000000000001"/>
    <n v="6"/>
    <n v="76"/>
    <n v="82"/>
  </r>
  <r>
    <n v="390"/>
    <d v="2011-01-17T00:00:00"/>
    <n v="1"/>
    <n v="0"/>
    <n v="1"/>
    <n v="17"/>
    <b v="1"/>
    <n v="1"/>
    <x v="2"/>
    <n v="1"/>
    <x v="2"/>
    <x v="0"/>
    <n v="0.19700000000000001"/>
    <n v="0.51"/>
    <x v="1"/>
    <n v="0.19400000000000001"/>
    <n v="4"/>
    <n v="67"/>
    <n v="71"/>
  </r>
  <r>
    <n v="391"/>
    <d v="2011-01-17T00:00:00"/>
    <n v="1"/>
    <n v="0"/>
    <n v="1"/>
    <n v="18"/>
    <b v="1"/>
    <n v="1"/>
    <x v="2"/>
    <n v="2"/>
    <x v="15"/>
    <x v="0"/>
    <n v="0.16669999999999999"/>
    <n v="0.55000000000000004"/>
    <x v="1"/>
    <n v="0.25369999999999998"/>
    <n v="7"/>
    <n v="85"/>
    <n v="92"/>
  </r>
  <r>
    <n v="392"/>
    <d v="2011-01-17T00:00:00"/>
    <n v="1"/>
    <n v="0"/>
    <n v="1"/>
    <n v="19"/>
    <b v="1"/>
    <n v="1"/>
    <x v="2"/>
    <n v="3"/>
    <x v="15"/>
    <x v="0"/>
    <n v="0.18179999999999999"/>
    <n v="0.59"/>
    <x v="1"/>
    <n v="0.19400000000000001"/>
    <n v="2"/>
    <n v="58"/>
    <n v="60"/>
  </r>
  <r>
    <n v="393"/>
    <d v="2011-01-17T00:00:00"/>
    <n v="1"/>
    <n v="0"/>
    <n v="1"/>
    <n v="20"/>
    <b v="1"/>
    <n v="1"/>
    <x v="2"/>
    <n v="3"/>
    <x v="13"/>
    <x v="0"/>
    <n v="0.1515"/>
    <n v="0.8"/>
    <x v="1"/>
    <n v="0.19400000000000001"/>
    <n v="4"/>
    <n v="29"/>
    <n v="33"/>
  </r>
  <r>
    <n v="394"/>
    <d v="2011-01-17T00:00:00"/>
    <n v="1"/>
    <n v="0"/>
    <n v="1"/>
    <n v="21"/>
    <b v="1"/>
    <n v="1"/>
    <x v="2"/>
    <n v="3"/>
    <x v="13"/>
    <x v="0"/>
    <n v="0.1515"/>
    <n v="0.8"/>
    <x v="1"/>
    <n v="0.19400000000000001"/>
    <n v="3"/>
    <n v="24"/>
    <n v="27"/>
  </r>
  <r>
    <n v="395"/>
    <d v="2011-01-17T00:00:00"/>
    <n v="1"/>
    <n v="0"/>
    <n v="1"/>
    <n v="22"/>
    <b v="1"/>
    <n v="1"/>
    <x v="2"/>
    <n v="3"/>
    <x v="14"/>
    <x v="0"/>
    <n v="0.1212"/>
    <n v="0.93"/>
    <x v="0"/>
    <n v="0.25369999999999998"/>
    <n v="0"/>
    <n v="13"/>
    <n v="13"/>
  </r>
  <r>
    <n v="396"/>
    <d v="2011-01-17T00:00:00"/>
    <n v="1"/>
    <n v="0"/>
    <n v="1"/>
    <n v="23"/>
    <b v="1"/>
    <n v="1"/>
    <x v="2"/>
    <n v="3"/>
    <x v="13"/>
    <x v="0"/>
    <n v="0.13639999999999999"/>
    <n v="0.86"/>
    <x v="0"/>
    <n v="0.28360000000000002"/>
    <n v="1"/>
    <n v="3"/>
    <n v="4"/>
  </r>
  <r>
    <n v="397"/>
    <d v="2011-01-18T00:00:00"/>
    <n v="1"/>
    <n v="0"/>
    <n v="1"/>
    <n v="12"/>
    <b v="0"/>
    <n v="2"/>
    <x v="3"/>
    <n v="2"/>
    <x v="2"/>
    <x v="0"/>
    <n v="0.18179999999999999"/>
    <n v="0.86"/>
    <x v="0"/>
    <n v="0.32840000000000003"/>
    <n v="0"/>
    <n v="3"/>
    <n v="3"/>
  </r>
  <r>
    <n v="398"/>
    <d v="2011-01-18T00:00:00"/>
    <n v="1"/>
    <n v="0"/>
    <n v="1"/>
    <n v="13"/>
    <b v="0"/>
    <n v="2"/>
    <x v="3"/>
    <n v="2"/>
    <x v="2"/>
    <x v="0"/>
    <n v="0.19700000000000001"/>
    <n v="0.86"/>
    <x v="0"/>
    <n v="0.22389999999999999"/>
    <n v="0"/>
    <n v="22"/>
    <n v="22"/>
  </r>
  <r>
    <n v="399"/>
    <d v="2011-01-18T00:00:00"/>
    <n v="1"/>
    <n v="0"/>
    <n v="1"/>
    <n v="14"/>
    <b v="0"/>
    <n v="2"/>
    <x v="3"/>
    <n v="2"/>
    <x v="1"/>
    <x v="0"/>
    <n v="0.2273"/>
    <n v="0.8"/>
    <x v="1"/>
    <n v="0.16420000000000001"/>
    <n v="2"/>
    <n v="26"/>
    <n v="28"/>
  </r>
  <r>
    <n v="400"/>
    <d v="2011-01-18T00:00:00"/>
    <n v="1"/>
    <n v="0"/>
    <n v="1"/>
    <n v="15"/>
    <b v="0"/>
    <n v="2"/>
    <x v="3"/>
    <n v="2"/>
    <x v="1"/>
    <x v="0"/>
    <n v="0.2273"/>
    <n v="0.87"/>
    <x v="0"/>
    <n v="0.16420000000000001"/>
    <n v="3"/>
    <n v="32"/>
    <n v="35"/>
  </r>
  <r>
    <n v="401"/>
    <d v="2011-01-18T00:00:00"/>
    <n v="1"/>
    <n v="0"/>
    <n v="1"/>
    <n v="16"/>
    <b v="0"/>
    <n v="2"/>
    <x v="3"/>
    <n v="2"/>
    <x v="1"/>
    <x v="0"/>
    <n v="0.2273"/>
    <n v="0.87"/>
    <x v="0"/>
    <n v="0.19400000000000001"/>
    <n v="0"/>
    <n v="61"/>
    <n v="61"/>
  </r>
  <r>
    <n v="402"/>
    <d v="2011-01-18T00:00:00"/>
    <n v="1"/>
    <n v="0"/>
    <n v="1"/>
    <n v="17"/>
    <b v="0"/>
    <n v="2"/>
    <x v="3"/>
    <n v="2"/>
    <x v="1"/>
    <x v="0"/>
    <n v="0.2273"/>
    <n v="0.82"/>
    <x v="0"/>
    <n v="0.19400000000000001"/>
    <n v="1"/>
    <n v="124"/>
    <n v="125"/>
  </r>
  <r>
    <n v="403"/>
    <d v="2011-01-18T00:00:00"/>
    <n v="1"/>
    <n v="0"/>
    <n v="1"/>
    <n v="18"/>
    <b v="0"/>
    <n v="2"/>
    <x v="3"/>
    <n v="2"/>
    <x v="1"/>
    <x v="0"/>
    <n v="0.2273"/>
    <n v="0.8"/>
    <x v="1"/>
    <n v="0.16420000000000001"/>
    <n v="1"/>
    <n v="132"/>
    <n v="133"/>
  </r>
  <r>
    <n v="404"/>
    <d v="2011-01-18T00:00:00"/>
    <n v="1"/>
    <n v="0"/>
    <n v="1"/>
    <n v="19"/>
    <b v="0"/>
    <n v="2"/>
    <x v="3"/>
    <n v="2"/>
    <x v="1"/>
    <x v="0"/>
    <n v="0.2273"/>
    <n v="0.8"/>
    <x v="1"/>
    <n v="0.1343"/>
    <n v="1"/>
    <n v="98"/>
    <n v="99"/>
  </r>
  <r>
    <n v="405"/>
    <d v="2011-01-18T00:00:00"/>
    <n v="1"/>
    <n v="0"/>
    <n v="1"/>
    <n v="20"/>
    <b v="0"/>
    <n v="2"/>
    <x v="3"/>
    <n v="2"/>
    <x v="1"/>
    <x v="0"/>
    <n v="0.2727"/>
    <n v="0.87"/>
    <x v="0"/>
    <n v="0"/>
    <n v="0"/>
    <n v="83"/>
    <n v="83"/>
  </r>
  <r>
    <n v="406"/>
    <d v="2011-01-18T00:00:00"/>
    <n v="1"/>
    <n v="0"/>
    <n v="1"/>
    <n v="21"/>
    <b v="0"/>
    <n v="2"/>
    <x v="3"/>
    <n v="2"/>
    <x v="1"/>
    <x v="0"/>
    <n v="0.2424"/>
    <n v="0.93"/>
    <x v="0"/>
    <n v="0.1045"/>
    <n v="0"/>
    <n v="41"/>
    <n v="41"/>
  </r>
  <r>
    <n v="407"/>
    <d v="2011-01-18T00:00:00"/>
    <n v="1"/>
    <n v="0"/>
    <n v="1"/>
    <n v="22"/>
    <b v="0"/>
    <n v="2"/>
    <x v="3"/>
    <n v="2"/>
    <x v="1"/>
    <x v="0"/>
    <n v="0.2576"/>
    <n v="0.93"/>
    <x v="0"/>
    <n v="8.9599999999999999E-2"/>
    <n v="0"/>
    <n v="33"/>
    <n v="33"/>
  </r>
  <r>
    <n v="408"/>
    <d v="2011-01-18T00:00:00"/>
    <n v="1"/>
    <n v="0"/>
    <n v="1"/>
    <n v="23"/>
    <b v="0"/>
    <n v="2"/>
    <x v="3"/>
    <n v="2"/>
    <x v="1"/>
    <x v="0"/>
    <n v="0.2727"/>
    <n v="0.93"/>
    <x v="0"/>
    <n v="0"/>
    <n v="1"/>
    <n v="19"/>
    <n v="20"/>
  </r>
  <r>
    <n v="409"/>
    <d v="2011-01-19T00:00:00"/>
    <n v="1"/>
    <n v="0"/>
    <n v="1"/>
    <n v="0"/>
    <b v="0"/>
    <n v="3"/>
    <x v="4"/>
    <n v="2"/>
    <x v="1"/>
    <x v="0"/>
    <n v="0.2727"/>
    <n v="0.93"/>
    <x v="0"/>
    <n v="0"/>
    <n v="0"/>
    <n v="3"/>
    <n v="3"/>
  </r>
  <r>
    <n v="410"/>
    <d v="2011-01-19T00:00:00"/>
    <n v="1"/>
    <n v="0"/>
    <n v="1"/>
    <n v="1"/>
    <b v="0"/>
    <n v="3"/>
    <x v="4"/>
    <n v="3"/>
    <x v="1"/>
    <x v="0"/>
    <n v="0.2273"/>
    <n v="0.93"/>
    <x v="0"/>
    <n v="0.1343"/>
    <n v="1"/>
    <n v="6"/>
    <n v="7"/>
  </r>
  <r>
    <n v="411"/>
    <d v="2011-01-19T00:00:00"/>
    <n v="1"/>
    <n v="0"/>
    <n v="1"/>
    <n v="2"/>
    <b v="0"/>
    <n v="3"/>
    <x v="4"/>
    <n v="3"/>
    <x v="1"/>
    <x v="0"/>
    <n v="0.2273"/>
    <n v="0.93"/>
    <x v="0"/>
    <n v="0.1343"/>
    <n v="0"/>
    <n v="3"/>
    <n v="3"/>
  </r>
  <r>
    <n v="412"/>
    <d v="2011-01-19T00:00:00"/>
    <n v="1"/>
    <n v="0"/>
    <n v="1"/>
    <n v="4"/>
    <b v="0"/>
    <n v="3"/>
    <x v="4"/>
    <n v="3"/>
    <x v="1"/>
    <x v="0"/>
    <n v="0.2273"/>
    <n v="0.93"/>
    <x v="0"/>
    <n v="0.1343"/>
    <n v="1"/>
    <n v="1"/>
    <n v="2"/>
  </r>
  <r>
    <n v="413"/>
    <d v="2011-01-19T00:00:00"/>
    <n v="1"/>
    <n v="0"/>
    <n v="1"/>
    <n v="5"/>
    <b v="0"/>
    <n v="3"/>
    <x v="4"/>
    <n v="2"/>
    <x v="1"/>
    <x v="0"/>
    <n v="0.2576"/>
    <n v="0.93"/>
    <x v="0"/>
    <n v="8.9599999999999999E-2"/>
    <n v="0"/>
    <n v="7"/>
    <n v="7"/>
  </r>
  <r>
    <n v="414"/>
    <d v="2011-01-19T00:00:00"/>
    <n v="1"/>
    <n v="0"/>
    <n v="1"/>
    <n v="6"/>
    <b v="0"/>
    <n v="3"/>
    <x v="4"/>
    <n v="2"/>
    <x v="1"/>
    <x v="0"/>
    <n v="0.2576"/>
    <n v="0.93"/>
    <x v="0"/>
    <n v="8.9599999999999999E-2"/>
    <n v="0"/>
    <n v="32"/>
    <n v="32"/>
  </r>
  <r>
    <n v="415"/>
    <d v="2011-01-19T00:00:00"/>
    <n v="1"/>
    <n v="0"/>
    <n v="1"/>
    <n v="7"/>
    <b v="0"/>
    <n v="3"/>
    <x v="4"/>
    <n v="2"/>
    <x v="0"/>
    <x v="0"/>
    <n v="0.2576"/>
    <n v="0.92"/>
    <x v="0"/>
    <n v="0.1045"/>
    <n v="1"/>
    <n v="89"/>
    <n v="90"/>
  </r>
  <r>
    <n v="416"/>
    <d v="2011-01-19T00:00:00"/>
    <n v="1"/>
    <n v="0"/>
    <n v="1"/>
    <n v="8"/>
    <b v="0"/>
    <n v="3"/>
    <x v="4"/>
    <n v="2"/>
    <x v="0"/>
    <x v="0"/>
    <n v="0.2576"/>
    <n v="0.93"/>
    <x v="0"/>
    <n v="0.1045"/>
    <n v="1"/>
    <n v="196"/>
    <n v="197"/>
  </r>
  <r>
    <n v="417"/>
    <d v="2011-01-19T00:00:00"/>
    <n v="1"/>
    <n v="0"/>
    <n v="1"/>
    <n v="9"/>
    <b v="0"/>
    <n v="3"/>
    <x v="4"/>
    <n v="2"/>
    <x v="0"/>
    <x v="0"/>
    <n v="0.2576"/>
    <n v="0.93"/>
    <x v="0"/>
    <n v="0.1045"/>
    <n v="2"/>
    <n v="107"/>
    <n v="109"/>
  </r>
  <r>
    <n v="418"/>
    <d v="2011-01-19T00:00:00"/>
    <n v="1"/>
    <n v="0"/>
    <n v="1"/>
    <n v="10"/>
    <b v="0"/>
    <n v="3"/>
    <x v="4"/>
    <n v="2"/>
    <x v="12"/>
    <x v="0"/>
    <n v="0.2727"/>
    <n v="0.93"/>
    <x v="0"/>
    <n v="0.1343"/>
    <n v="1"/>
    <n v="46"/>
    <n v="47"/>
  </r>
  <r>
    <n v="419"/>
    <d v="2011-01-19T00:00:00"/>
    <n v="1"/>
    <n v="0"/>
    <n v="1"/>
    <n v="11"/>
    <b v="0"/>
    <n v="3"/>
    <x v="4"/>
    <n v="2"/>
    <x v="17"/>
    <x v="0"/>
    <n v="0.30299999999999999"/>
    <n v="0.87"/>
    <x v="0"/>
    <n v="8.9599999999999999E-2"/>
    <n v="5"/>
    <n v="47"/>
    <n v="52"/>
  </r>
  <r>
    <n v="420"/>
    <d v="2011-01-19T00:00:00"/>
    <n v="1"/>
    <n v="0"/>
    <n v="1"/>
    <n v="12"/>
    <b v="0"/>
    <n v="3"/>
    <x v="4"/>
    <n v="2"/>
    <x v="11"/>
    <x v="0"/>
    <n v="0.31819999999999998"/>
    <n v="0.81"/>
    <x v="0"/>
    <n v="8.9599999999999999E-2"/>
    <n v="5"/>
    <n v="65"/>
    <n v="70"/>
  </r>
  <r>
    <n v="421"/>
    <d v="2011-01-19T00:00:00"/>
    <n v="1"/>
    <n v="0"/>
    <n v="1"/>
    <n v="13"/>
    <b v="0"/>
    <n v="3"/>
    <x v="4"/>
    <n v="1"/>
    <x v="9"/>
    <x v="0"/>
    <n v="0.40910000000000002"/>
    <n v="0.62"/>
    <x v="1"/>
    <n v="0.28360000000000002"/>
    <n v="11"/>
    <n v="67"/>
    <n v="78"/>
  </r>
  <r>
    <n v="422"/>
    <d v="2011-01-19T00:00:00"/>
    <n v="1"/>
    <n v="0"/>
    <n v="1"/>
    <n v="14"/>
    <b v="0"/>
    <n v="3"/>
    <x v="4"/>
    <n v="1"/>
    <x v="9"/>
    <x v="0"/>
    <n v="0.40910000000000002"/>
    <n v="0.57999999999999996"/>
    <x v="1"/>
    <n v="0.25369999999999998"/>
    <n v="7"/>
    <n v="68"/>
    <n v="75"/>
  </r>
  <r>
    <n v="423"/>
    <d v="2011-01-19T00:00:00"/>
    <n v="1"/>
    <n v="0"/>
    <n v="1"/>
    <n v="15"/>
    <b v="0"/>
    <n v="3"/>
    <x v="4"/>
    <n v="1"/>
    <x v="9"/>
    <x v="0"/>
    <n v="0.40910000000000002"/>
    <n v="0.54"/>
    <x v="1"/>
    <n v="0.28360000000000002"/>
    <n v="4"/>
    <n v="78"/>
    <n v="82"/>
  </r>
  <r>
    <n v="424"/>
    <d v="2011-01-19T00:00:00"/>
    <n v="1"/>
    <n v="0"/>
    <n v="1"/>
    <n v="16"/>
    <b v="0"/>
    <n v="3"/>
    <x v="4"/>
    <n v="1"/>
    <x v="4"/>
    <x v="0"/>
    <n v="0.39389999999999997"/>
    <n v="0.57999999999999996"/>
    <x v="1"/>
    <n v="0.3881"/>
    <n v="10"/>
    <n v="94"/>
    <n v="104"/>
  </r>
  <r>
    <n v="425"/>
    <d v="2011-01-19T00:00:00"/>
    <n v="1"/>
    <n v="0"/>
    <n v="1"/>
    <n v="17"/>
    <b v="0"/>
    <n v="3"/>
    <x v="4"/>
    <n v="1"/>
    <x v="5"/>
    <x v="0"/>
    <n v="0.33329999999999999"/>
    <n v="0.56999999999999995"/>
    <x v="1"/>
    <n v="0.32840000000000003"/>
    <n v="7"/>
    <n v="190"/>
    <n v="197"/>
  </r>
  <r>
    <n v="426"/>
    <d v="2011-01-19T00:00:00"/>
    <n v="1"/>
    <n v="0"/>
    <n v="1"/>
    <n v="18"/>
    <b v="0"/>
    <n v="3"/>
    <x v="4"/>
    <n v="1"/>
    <x v="10"/>
    <x v="0"/>
    <n v="0.31819999999999998"/>
    <n v="0.61"/>
    <x v="1"/>
    <n v="0.28360000000000002"/>
    <n v="5"/>
    <n v="156"/>
    <n v="161"/>
  </r>
  <r>
    <n v="427"/>
    <d v="2011-01-19T00:00:00"/>
    <n v="1"/>
    <n v="0"/>
    <n v="1"/>
    <n v="19"/>
    <b v="0"/>
    <n v="3"/>
    <x v="4"/>
    <n v="1"/>
    <x v="3"/>
    <x v="0"/>
    <n v="0.28789999999999999"/>
    <n v="0.56999999999999995"/>
    <x v="1"/>
    <n v="0.41789999999999999"/>
    <n v="4"/>
    <n v="108"/>
    <n v="112"/>
  </r>
  <r>
    <n v="428"/>
    <d v="2011-01-19T00:00:00"/>
    <n v="1"/>
    <n v="0"/>
    <n v="1"/>
    <n v="20"/>
    <b v="0"/>
    <n v="3"/>
    <x v="4"/>
    <n v="1"/>
    <x v="3"/>
    <x v="0"/>
    <n v="0.30299999999999999"/>
    <n v="0.49"/>
    <x v="1"/>
    <n v="0.29849999999999999"/>
    <n v="2"/>
    <n v="74"/>
    <n v="76"/>
  </r>
  <r>
    <n v="429"/>
    <d v="2011-01-19T00:00:00"/>
    <n v="1"/>
    <n v="0"/>
    <n v="1"/>
    <n v="21"/>
    <b v="0"/>
    <n v="3"/>
    <x v="4"/>
    <n v="1"/>
    <x v="3"/>
    <x v="0"/>
    <n v="0.28789999999999999"/>
    <n v="0.49"/>
    <x v="1"/>
    <n v="0.41789999999999999"/>
    <n v="4"/>
    <n v="55"/>
    <n v="59"/>
  </r>
  <r>
    <n v="430"/>
    <d v="2011-01-19T00:00:00"/>
    <n v="1"/>
    <n v="0"/>
    <n v="1"/>
    <n v="22"/>
    <b v="0"/>
    <n v="3"/>
    <x v="4"/>
    <n v="1"/>
    <x v="11"/>
    <x v="0"/>
    <n v="0.30299999999999999"/>
    <n v="0.52"/>
    <x v="1"/>
    <n v="0.16420000000000001"/>
    <n v="6"/>
    <n v="53"/>
    <n v="59"/>
  </r>
  <r>
    <n v="431"/>
    <d v="2011-01-19T00:00:00"/>
    <n v="1"/>
    <n v="0"/>
    <n v="1"/>
    <n v="23"/>
    <b v="0"/>
    <n v="3"/>
    <x v="4"/>
    <n v="1"/>
    <x v="11"/>
    <x v="0"/>
    <n v="0.2727"/>
    <n v="0.52"/>
    <x v="1"/>
    <n v="0.4627"/>
    <n v="1"/>
    <n v="27"/>
    <n v="28"/>
  </r>
  <r>
    <n v="432"/>
    <d v="2011-01-20T00:00:00"/>
    <n v="1"/>
    <n v="0"/>
    <n v="1"/>
    <n v="0"/>
    <b v="0"/>
    <n v="4"/>
    <x v="5"/>
    <n v="1"/>
    <x v="12"/>
    <x v="0"/>
    <n v="0.2273"/>
    <n v="0.56000000000000005"/>
    <x v="1"/>
    <n v="0.3881"/>
    <n v="5"/>
    <n v="8"/>
    <n v="13"/>
  </r>
  <r>
    <n v="433"/>
    <d v="2011-01-20T00:00:00"/>
    <n v="1"/>
    <n v="0"/>
    <n v="1"/>
    <n v="1"/>
    <b v="0"/>
    <n v="4"/>
    <x v="5"/>
    <n v="1"/>
    <x v="12"/>
    <x v="0"/>
    <n v="0.2727"/>
    <n v="0.56000000000000005"/>
    <x v="1"/>
    <n v="0"/>
    <n v="2"/>
    <n v="3"/>
    <n v="5"/>
  </r>
  <r>
    <n v="434"/>
    <d v="2011-01-20T00:00:00"/>
    <n v="1"/>
    <n v="0"/>
    <n v="1"/>
    <n v="2"/>
    <b v="0"/>
    <n v="4"/>
    <x v="5"/>
    <n v="1"/>
    <x v="12"/>
    <x v="0"/>
    <n v="0.2727"/>
    <n v="0.56000000000000005"/>
    <x v="1"/>
    <n v="0"/>
    <n v="0"/>
    <n v="2"/>
    <n v="2"/>
  </r>
  <r>
    <n v="435"/>
    <d v="2011-01-20T00:00:00"/>
    <n v="1"/>
    <n v="0"/>
    <n v="1"/>
    <n v="3"/>
    <b v="0"/>
    <n v="4"/>
    <x v="5"/>
    <n v="1"/>
    <x v="12"/>
    <x v="0"/>
    <n v="0.2576"/>
    <n v="0.56000000000000005"/>
    <x v="1"/>
    <n v="0.16420000000000001"/>
    <n v="0"/>
    <n v="1"/>
    <n v="1"/>
  </r>
  <r>
    <n v="436"/>
    <d v="2011-01-20T00:00:00"/>
    <n v="1"/>
    <n v="0"/>
    <n v="1"/>
    <n v="4"/>
    <b v="0"/>
    <n v="4"/>
    <x v="5"/>
    <n v="1"/>
    <x v="12"/>
    <x v="0"/>
    <n v="0.2576"/>
    <n v="0.56000000000000005"/>
    <x v="1"/>
    <n v="0.16420000000000001"/>
    <n v="0"/>
    <n v="1"/>
    <n v="1"/>
  </r>
  <r>
    <n v="437"/>
    <d v="2011-01-20T00:00:00"/>
    <n v="1"/>
    <n v="0"/>
    <n v="1"/>
    <n v="5"/>
    <b v="0"/>
    <n v="4"/>
    <x v="5"/>
    <n v="1"/>
    <x v="0"/>
    <x v="0"/>
    <n v="0.2273"/>
    <n v="0.6"/>
    <x v="1"/>
    <n v="0.22389999999999999"/>
    <n v="0"/>
    <n v="6"/>
    <n v="6"/>
  </r>
  <r>
    <n v="438"/>
    <d v="2011-01-20T00:00:00"/>
    <n v="1"/>
    <n v="0"/>
    <n v="1"/>
    <n v="6"/>
    <b v="0"/>
    <n v="4"/>
    <x v="5"/>
    <n v="1"/>
    <x v="1"/>
    <x v="0"/>
    <n v="0.21210000000000001"/>
    <n v="0.6"/>
    <x v="1"/>
    <n v="0.22389999999999999"/>
    <n v="0"/>
    <n v="35"/>
    <n v="35"/>
  </r>
  <r>
    <n v="439"/>
    <d v="2011-01-20T00:00:00"/>
    <n v="1"/>
    <n v="0"/>
    <n v="1"/>
    <n v="7"/>
    <b v="0"/>
    <n v="4"/>
    <x v="5"/>
    <n v="1"/>
    <x v="1"/>
    <x v="0"/>
    <n v="0.21210000000000001"/>
    <n v="0.55000000000000004"/>
    <x v="1"/>
    <n v="0.22389999999999999"/>
    <n v="1"/>
    <n v="100"/>
    <n v="101"/>
  </r>
  <r>
    <n v="440"/>
    <d v="2011-01-20T00:00:00"/>
    <n v="1"/>
    <n v="0"/>
    <n v="1"/>
    <n v="8"/>
    <b v="0"/>
    <n v="4"/>
    <x v="5"/>
    <n v="1"/>
    <x v="1"/>
    <x v="0"/>
    <n v="0.21210000000000001"/>
    <n v="0.55000000000000004"/>
    <x v="1"/>
    <n v="0.28360000000000002"/>
    <n v="2"/>
    <n v="247"/>
    <n v="249"/>
  </r>
  <r>
    <n v="441"/>
    <d v="2011-01-20T00:00:00"/>
    <n v="1"/>
    <n v="0"/>
    <n v="1"/>
    <n v="9"/>
    <b v="0"/>
    <n v="4"/>
    <x v="5"/>
    <n v="2"/>
    <x v="0"/>
    <x v="0"/>
    <n v="0.2273"/>
    <n v="0.52"/>
    <x v="1"/>
    <n v="0.22389999999999999"/>
    <n v="3"/>
    <n v="140"/>
    <n v="143"/>
  </r>
  <r>
    <n v="442"/>
    <d v="2011-01-20T00:00:00"/>
    <n v="1"/>
    <n v="0"/>
    <n v="1"/>
    <n v="10"/>
    <b v="0"/>
    <n v="4"/>
    <x v="5"/>
    <n v="1"/>
    <x v="12"/>
    <x v="0"/>
    <n v="0.2273"/>
    <n v="0.48"/>
    <x v="1"/>
    <n v="0.29849999999999999"/>
    <n v="1"/>
    <n v="56"/>
    <n v="57"/>
  </r>
  <r>
    <n v="443"/>
    <d v="2011-01-20T00:00:00"/>
    <n v="1"/>
    <n v="0"/>
    <n v="1"/>
    <n v="11"/>
    <b v="0"/>
    <n v="4"/>
    <x v="5"/>
    <n v="2"/>
    <x v="17"/>
    <x v="0"/>
    <n v="0.2727"/>
    <n v="0.45"/>
    <x v="1"/>
    <n v="0.16420000000000001"/>
    <n v="5"/>
    <n v="63"/>
    <n v="68"/>
  </r>
  <r>
    <n v="444"/>
    <d v="2011-01-20T00:00:00"/>
    <n v="1"/>
    <n v="0"/>
    <n v="1"/>
    <n v="12"/>
    <b v="0"/>
    <n v="4"/>
    <x v="5"/>
    <n v="2"/>
    <x v="11"/>
    <x v="0"/>
    <n v="0.33329999999999999"/>
    <n v="0.42"/>
    <x v="1"/>
    <n v="0"/>
    <n v="7"/>
    <n v="77"/>
    <n v="84"/>
  </r>
  <r>
    <n v="445"/>
    <d v="2011-01-20T00:00:00"/>
    <n v="1"/>
    <n v="0"/>
    <n v="1"/>
    <n v="13"/>
    <b v="0"/>
    <n v="4"/>
    <x v="5"/>
    <n v="2"/>
    <x v="17"/>
    <x v="0"/>
    <n v="0.28789999999999999"/>
    <n v="0.45"/>
    <x v="1"/>
    <n v="0.1045"/>
    <n v="12"/>
    <n v="86"/>
    <n v="98"/>
  </r>
  <r>
    <n v="446"/>
    <d v="2011-01-20T00:00:00"/>
    <n v="1"/>
    <n v="0"/>
    <n v="1"/>
    <n v="14"/>
    <b v="0"/>
    <n v="4"/>
    <x v="5"/>
    <n v="2"/>
    <x v="11"/>
    <x v="0"/>
    <n v="0.30299999999999999"/>
    <n v="0.45"/>
    <x v="1"/>
    <n v="0.1343"/>
    <n v="6"/>
    <n v="75"/>
    <n v="81"/>
  </r>
  <r>
    <n v="447"/>
    <d v="2011-01-20T00:00:00"/>
    <n v="1"/>
    <n v="0"/>
    <n v="1"/>
    <n v="15"/>
    <b v="0"/>
    <n v="4"/>
    <x v="5"/>
    <n v="2"/>
    <x v="3"/>
    <x v="0"/>
    <n v="0.31819999999999998"/>
    <n v="0.45"/>
    <x v="1"/>
    <n v="0.19400000000000001"/>
    <n v="8"/>
    <n v="62"/>
    <n v="70"/>
  </r>
  <r>
    <n v="448"/>
    <d v="2011-01-20T00:00:00"/>
    <n v="1"/>
    <n v="0"/>
    <n v="1"/>
    <n v="16"/>
    <b v="0"/>
    <n v="4"/>
    <x v="5"/>
    <n v="2"/>
    <x v="11"/>
    <x v="0"/>
    <n v="0.30299999999999999"/>
    <n v="0.49"/>
    <x v="1"/>
    <n v="0.1343"/>
    <n v="8"/>
    <n v="83"/>
    <n v="91"/>
  </r>
  <r>
    <n v="449"/>
    <d v="2011-01-20T00:00:00"/>
    <n v="1"/>
    <n v="0"/>
    <n v="1"/>
    <n v="17"/>
    <b v="0"/>
    <n v="4"/>
    <x v="5"/>
    <n v="2"/>
    <x v="11"/>
    <x v="0"/>
    <n v="0.31819999999999998"/>
    <n v="0.49"/>
    <x v="1"/>
    <n v="0.1045"/>
    <n v="8"/>
    <n v="207"/>
    <n v="215"/>
  </r>
  <r>
    <n v="450"/>
    <d v="2011-01-20T00:00:00"/>
    <n v="1"/>
    <n v="0"/>
    <n v="1"/>
    <n v="18"/>
    <b v="0"/>
    <n v="4"/>
    <x v="5"/>
    <n v="2"/>
    <x v="12"/>
    <x v="0"/>
    <n v="0.2576"/>
    <n v="0.56000000000000005"/>
    <x v="1"/>
    <n v="0.19400000000000001"/>
    <n v="1"/>
    <n v="184"/>
    <n v="185"/>
  </r>
  <r>
    <n v="451"/>
    <d v="2011-01-20T00:00:00"/>
    <n v="1"/>
    <n v="0"/>
    <n v="1"/>
    <n v="19"/>
    <b v="0"/>
    <n v="4"/>
    <x v="5"/>
    <n v="1"/>
    <x v="12"/>
    <x v="0"/>
    <n v="0.2273"/>
    <n v="0.56000000000000005"/>
    <x v="1"/>
    <n v="0.32840000000000003"/>
    <n v="6"/>
    <n v="146"/>
    <n v="152"/>
  </r>
  <r>
    <n v="452"/>
    <d v="2011-01-20T00:00:00"/>
    <n v="1"/>
    <n v="0"/>
    <n v="1"/>
    <n v="20"/>
    <b v="0"/>
    <n v="4"/>
    <x v="5"/>
    <n v="2"/>
    <x v="12"/>
    <x v="0"/>
    <n v="0.2424"/>
    <n v="0.6"/>
    <x v="1"/>
    <n v="0.28360000000000002"/>
    <n v="2"/>
    <n v="124"/>
    <n v="126"/>
  </r>
  <r>
    <n v="453"/>
    <d v="2011-01-20T00:00:00"/>
    <n v="1"/>
    <n v="0"/>
    <n v="1"/>
    <n v="21"/>
    <b v="0"/>
    <n v="4"/>
    <x v="5"/>
    <n v="2"/>
    <x v="0"/>
    <x v="0"/>
    <n v="0.2273"/>
    <n v="0.6"/>
    <x v="1"/>
    <n v="0.25369999999999998"/>
    <n v="3"/>
    <n v="54"/>
    <n v="57"/>
  </r>
  <r>
    <n v="454"/>
    <d v="2011-01-20T00:00:00"/>
    <n v="1"/>
    <n v="0"/>
    <n v="1"/>
    <n v="22"/>
    <b v="0"/>
    <n v="4"/>
    <x v="5"/>
    <n v="2"/>
    <x v="0"/>
    <x v="0"/>
    <n v="0.21210000000000001"/>
    <n v="0.65"/>
    <x v="1"/>
    <n v="0.28360000000000002"/>
    <n v="0"/>
    <n v="56"/>
    <n v="56"/>
  </r>
  <r>
    <n v="455"/>
    <d v="2011-01-20T00:00:00"/>
    <n v="1"/>
    <n v="0"/>
    <n v="1"/>
    <n v="23"/>
    <b v="0"/>
    <n v="4"/>
    <x v="5"/>
    <n v="2"/>
    <x v="0"/>
    <x v="0"/>
    <n v="0.21210000000000001"/>
    <n v="0.65"/>
    <x v="1"/>
    <n v="0.32840000000000003"/>
    <n v="3"/>
    <n v="28"/>
    <n v="31"/>
  </r>
  <r>
    <n v="456"/>
    <d v="2011-01-21T00:00:00"/>
    <n v="1"/>
    <n v="0"/>
    <n v="1"/>
    <n v="0"/>
    <b v="0"/>
    <n v="5"/>
    <x v="6"/>
    <n v="2"/>
    <x v="0"/>
    <x v="0"/>
    <n v="0.2273"/>
    <n v="0.7"/>
    <x v="1"/>
    <n v="0.25369999999999998"/>
    <n v="1"/>
    <n v="20"/>
    <n v="21"/>
  </r>
  <r>
    <n v="457"/>
    <d v="2011-01-21T00:00:00"/>
    <n v="1"/>
    <n v="0"/>
    <n v="1"/>
    <n v="1"/>
    <b v="0"/>
    <n v="5"/>
    <x v="6"/>
    <n v="2"/>
    <x v="0"/>
    <x v="0"/>
    <n v="0.2273"/>
    <n v="0.7"/>
    <x v="1"/>
    <n v="0.25369999999999998"/>
    <n v="0"/>
    <n v="6"/>
    <n v="6"/>
  </r>
  <r>
    <n v="458"/>
    <d v="2011-01-21T00:00:00"/>
    <n v="1"/>
    <n v="0"/>
    <n v="1"/>
    <n v="2"/>
    <b v="0"/>
    <n v="5"/>
    <x v="6"/>
    <n v="3"/>
    <x v="0"/>
    <x v="0"/>
    <n v="0.2424"/>
    <n v="0.75"/>
    <x v="1"/>
    <n v="0.16420000000000001"/>
    <n v="0"/>
    <n v="2"/>
    <n v="2"/>
  </r>
  <r>
    <n v="459"/>
    <d v="2011-01-21T00:00:00"/>
    <n v="1"/>
    <n v="0"/>
    <n v="1"/>
    <n v="3"/>
    <b v="0"/>
    <n v="5"/>
    <x v="6"/>
    <n v="3"/>
    <x v="1"/>
    <x v="0"/>
    <n v="0.21210000000000001"/>
    <n v="0.8"/>
    <x v="1"/>
    <n v="0.29849999999999999"/>
    <n v="0"/>
    <n v="1"/>
    <n v="1"/>
  </r>
  <r>
    <n v="460"/>
    <d v="2011-01-21T00:00:00"/>
    <n v="1"/>
    <n v="0"/>
    <n v="1"/>
    <n v="4"/>
    <b v="0"/>
    <n v="5"/>
    <x v="6"/>
    <n v="2"/>
    <x v="1"/>
    <x v="0"/>
    <n v="0.2576"/>
    <n v="0.87"/>
    <x v="0"/>
    <n v="8.9599999999999999E-2"/>
    <n v="0"/>
    <n v="1"/>
    <n v="1"/>
  </r>
  <r>
    <n v="461"/>
    <d v="2011-01-21T00:00:00"/>
    <n v="1"/>
    <n v="0"/>
    <n v="1"/>
    <n v="5"/>
    <b v="0"/>
    <n v="5"/>
    <x v="6"/>
    <n v="1"/>
    <x v="0"/>
    <x v="0"/>
    <n v="0.19700000000000001"/>
    <n v="0.6"/>
    <x v="1"/>
    <n v="0.41789999999999999"/>
    <n v="1"/>
    <n v="4"/>
    <n v="5"/>
  </r>
  <r>
    <n v="462"/>
    <d v="2011-01-21T00:00:00"/>
    <n v="1"/>
    <n v="0"/>
    <n v="1"/>
    <n v="6"/>
    <b v="0"/>
    <n v="5"/>
    <x v="6"/>
    <n v="1"/>
    <x v="1"/>
    <x v="0"/>
    <n v="0.21210000000000001"/>
    <n v="0.55000000000000004"/>
    <x v="1"/>
    <n v="0.25369999999999998"/>
    <n v="0"/>
    <n v="27"/>
    <n v="27"/>
  </r>
  <r>
    <n v="463"/>
    <d v="2011-01-21T00:00:00"/>
    <n v="1"/>
    <n v="0"/>
    <n v="1"/>
    <n v="7"/>
    <b v="0"/>
    <n v="5"/>
    <x v="6"/>
    <n v="1"/>
    <x v="2"/>
    <x v="0"/>
    <n v="0.18179999999999999"/>
    <n v="0.51"/>
    <x v="1"/>
    <n v="0.28360000000000002"/>
    <n v="2"/>
    <n v="66"/>
    <n v="68"/>
  </r>
  <r>
    <n v="464"/>
    <d v="2011-01-21T00:00:00"/>
    <n v="1"/>
    <n v="0"/>
    <n v="1"/>
    <n v="8"/>
    <b v="0"/>
    <n v="5"/>
    <x v="6"/>
    <n v="1"/>
    <x v="2"/>
    <x v="0"/>
    <n v="0.18179999999999999"/>
    <n v="0.47"/>
    <x v="1"/>
    <n v="0.32840000000000003"/>
    <n v="7"/>
    <n v="210"/>
    <n v="217"/>
  </r>
  <r>
    <n v="465"/>
    <d v="2011-01-21T00:00:00"/>
    <n v="1"/>
    <n v="0"/>
    <n v="1"/>
    <n v="9"/>
    <b v="0"/>
    <n v="5"/>
    <x v="6"/>
    <n v="1"/>
    <x v="2"/>
    <x v="0"/>
    <n v="0.18179999999999999"/>
    <n v="0.51"/>
    <x v="1"/>
    <n v="0.35820000000000002"/>
    <n v="7"/>
    <n v="159"/>
    <n v="166"/>
  </r>
  <r>
    <n v="466"/>
    <d v="2011-01-21T00:00:00"/>
    <n v="1"/>
    <n v="0"/>
    <n v="1"/>
    <n v="10"/>
    <b v="0"/>
    <n v="5"/>
    <x v="6"/>
    <n v="1"/>
    <x v="2"/>
    <x v="0"/>
    <n v="0.16669999999999999"/>
    <n v="0.47"/>
    <x v="1"/>
    <n v="0.4627"/>
    <n v="6"/>
    <n v="57"/>
    <n v="63"/>
  </r>
  <r>
    <n v="467"/>
    <d v="2011-01-21T00:00:00"/>
    <n v="1"/>
    <n v="0"/>
    <n v="1"/>
    <n v="11"/>
    <b v="0"/>
    <n v="5"/>
    <x v="6"/>
    <n v="1"/>
    <x v="1"/>
    <x v="0"/>
    <n v="0.18179999999999999"/>
    <n v="0.41"/>
    <x v="1"/>
    <n v="0.4627"/>
    <n v="6"/>
    <n v="53"/>
    <n v="59"/>
  </r>
  <r>
    <n v="468"/>
    <d v="2011-01-21T00:00:00"/>
    <n v="1"/>
    <n v="0"/>
    <n v="1"/>
    <n v="12"/>
    <b v="0"/>
    <n v="5"/>
    <x v="6"/>
    <n v="1"/>
    <x v="1"/>
    <x v="0"/>
    <n v="0.18179999999999999"/>
    <n v="0.27"/>
    <x v="1"/>
    <n v="0.58209999999999995"/>
    <n v="11"/>
    <n v="67"/>
    <n v="78"/>
  </r>
  <r>
    <n v="469"/>
    <d v="2011-01-21T00:00:00"/>
    <n v="1"/>
    <n v="0"/>
    <n v="1"/>
    <n v="13"/>
    <b v="0"/>
    <n v="5"/>
    <x v="6"/>
    <n v="1"/>
    <x v="2"/>
    <x v="0"/>
    <n v="0.1515"/>
    <n v="0.21"/>
    <x v="1"/>
    <n v="0.58209999999999995"/>
    <n v="8"/>
    <n v="65"/>
    <n v="73"/>
  </r>
  <r>
    <n v="470"/>
    <d v="2011-01-21T00:00:00"/>
    <n v="1"/>
    <n v="0"/>
    <n v="1"/>
    <n v="14"/>
    <b v="0"/>
    <n v="5"/>
    <x v="6"/>
    <n v="1"/>
    <x v="2"/>
    <x v="0"/>
    <n v="0.1515"/>
    <n v="0.25"/>
    <x v="1"/>
    <n v="0.52239999999999998"/>
    <n v="6"/>
    <n v="56"/>
    <n v="62"/>
  </r>
  <r>
    <n v="471"/>
    <d v="2011-01-21T00:00:00"/>
    <n v="1"/>
    <n v="0"/>
    <n v="1"/>
    <n v="15"/>
    <b v="0"/>
    <n v="5"/>
    <x v="6"/>
    <n v="1"/>
    <x v="13"/>
    <x v="0"/>
    <n v="0.1212"/>
    <n v="0.26"/>
    <x v="1"/>
    <n v="0.44779999999999998"/>
    <n v="4"/>
    <n v="61"/>
    <n v="65"/>
  </r>
  <r>
    <n v="472"/>
    <d v="2011-01-21T00:00:00"/>
    <n v="1"/>
    <n v="0"/>
    <n v="1"/>
    <n v="16"/>
    <b v="0"/>
    <n v="5"/>
    <x v="6"/>
    <n v="1"/>
    <x v="13"/>
    <x v="0"/>
    <n v="0.13639999999999999"/>
    <n v="0.26"/>
    <x v="1"/>
    <n v="0.35820000000000002"/>
    <n v="0"/>
    <n v="97"/>
    <n v="97"/>
  </r>
  <r>
    <n v="473"/>
    <d v="2011-01-21T00:00:00"/>
    <n v="1"/>
    <n v="0"/>
    <n v="1"/>
    <n v="17"/>
    <b v="0"/>
    <n v="5"/>
    <x v="6"/>
    <n v="1"/>
    <x v="14"/>
    <x v="0"/>
    <n v="0.1212"/>
    <n v="0.28000000000000003"/>
    <x v="1"/>
    <n v="0.35820000000000002"/>
    <n v="10"/>
    <n v="151"/>
    <n v="161"/>
  </r>
  <r>
    <n v="474"/>
    <d v="2011-01-21T00:00:00"/>
    <n v="1"/>
    <n v="0"/>
    <n v="1"/>
    <n v="18"/>
    <b v="0"/>
    <n v="5"/>
    <x v="6"/>
    <n v="1"/>
    <x v="16"/>
    <x v="0"/>
    <n v="0.1212"/>
    <n v="0.3"/>
    <x v="1"/>
    <n v="0.25369999999999998"/>
    <n v="1"/>
    <n v="119"/>
    <n v="120"/>
  </r>
  <r>
    <n v="475"/>
    <d v="2011-01-21T00:00:00"/>
    <n v="1"/>
    <n v="0"/>
    <n v="1"/>
    <n v="19"/>
    <b v="0"/>
    <n v="5"/>
    <x v="6"/>
    <n v="1"/>
    <x v="16"/>
    <x v="0"/>
    <n v="0.1061"/>
    <n v="0.3"/>
    <x v="1"/>
    <n v="0.32840000000000003"/>
    <n v="3"/>
    <n v="93"/>
    <n v="96"/>
  </r>
  <r>
    <n v="476"/>
    <d v="2011-01-21T00:00:00"/>
    <n v="1"/>
    <n v="0"/>
    <n v="1"/>
    <n v="20"/>
    <b v="0"/>
    <n v="5"/>
    <x v="6"/>
    <n v="1"/>
    <x v="18"/>
    <x v="0"/>
    <n v="7.5800000000000006E-2"/>
    <n v="0.33"/>
    <x v="1"/>
    <n v="0.41789999999999999"/>
    <n v="1"/>
    <n v="52"/>
    <n v="53"/>
  </r>
  <r>
    <n v="477"/>
    <d v="2011-01-21T00:00:00"/>
    <n v="1"/>
    <n v="0"/>
    <n v="1"/>
    <n v="21"/>
    <b v="0"/>
    <n v="5"/>
    <x v="6"/>
    <n v="1"/>
    <x v="19"/>
    <x v="0"/>
    <n v="7.5800000000000006E-2"/>
    <n v="0.38"/>
    <x v="1"/>
    <n v="0.28360000000000002"/>
    <n v="0"/>
    <n v="41"/>
    <n v="41"/>
  </r>
  <r>
    <n v="478"/>
    <d v="2011-01-21T00:00:00"/>
    <n v="1"/>
    <n v="0"/>
    <n v="1"/>
    <n v="22"/>
    <b v="0"/>
    <n v="5"/>
    <x v="6"/>
    <n v="1"/>
    <x v="20"/>
    <x v="0"/>
    <n v="3.0300000000000001E-2"/>
    <n v="0.41"/>
    <x v="1"/>
    <n v="0.3881"/>
    <n v="1"/>
    <n v="33"/>
    <n v="34"/>
  </r>
  <r>
    <n v="479"/>
    <d v="2011-01-21T00:00:00"/>
    <n v="1"/>
    <n v="0"/>
    <n v="1"/>
    <n v="23"/>
    <b v="0"/>
    <n v="5"/>
    <x v="6"/>
    <n v="1"/>
    <x v="20"/>
    <x v="0"/>
    <n v="4.5499999999999999E-2"/>
    <n v="0.38"/>
    <x v="1"/>
    <n v="0.32840000000000003"/>
    <n v="0"/>
    <n v="27"/>
    <n v="27"/>
  </r>
  <r>
    <n v="480"/>
    <d v="2011-01-22T00:00:00"/>
    <n v="1"/>
    <n v="0"/>
    <n v="1"/>
    <n v="0"/>
    <b v="0"/>
    <n v="6"/>
    <x v="0"/>
    <n v="1"/>
    <x v="21"/>
    <x v="0"/>
    <n v="3.0300000000000001E-2"/>
    <n v="0.45"/>
    <x v="1"/>
    <n v="0.25369999999999998"/>
    <n v="0"/>
    <n v="13"/>
    <n v="13"/>
  </r>
  <r>
    <n v="481"/>
    <d v="2011-01-22T00:00:00"/>
    <n v="1"/>
    <n v="0"/>
    <n v="1"/>
    <n v="1"/>
    <b v="0"/>
    <n v="6"/>
    <x v="0"/>
    <n v="2"/>
    <x v="21"/>
    <x v="0"/>
    <n v="0"/>
    <n v="0.41"/>
    <x v="1"/>
    <n v="0.3881"/>
    <n v="3"/>
    <n v="9"/>
    <n v="12"/>
  </r>
  <r>
    <n v="482"/>
    <d v="2011-01-22T00:00:00"/>
    <n v="1"/>
    <n v="0"/>
    <n v="1"/>
    <n v="2"/>
    <b v="0"/>
    <n v="6"/>
    <x v="0"/>
    <n v="2"/>
    <x v="21"/>
    <x v="0"/>
    <n v="3.0300000000000001E-2"/>
    <n v="0.41"/>
    <x v="1"/>
    <n v="0.25369999999999998"/>
    <n v="0"/>
    <n v="11"/>
    <n v="11"/>
  </r>
  <r>
    <n v="483"/>
    <d v="2011-01-22T00:00:00"/>
    <n v="1"/>
    <n v="0"/>
    <n v="1"/>
    <n v="3"/>
    <b v="0"/>
    <n v="6"/>
    <x v="0"/>
    <n v="2"/>
    <x v="21"/>
    <x v="0"/>
    <n v="3.0300000000000001E-2"/>
    <n v="0.41"/>
    <x v="1"/>
    <n v="0.28360000000000002"/>
    <n v="1"/>
    <n v="6"/>
    <n v="7"/>
  </r>
  <r>
    <n v="484"/>
    <d v="2011-01-22T00:00:00"/>
    <n v="1"/>
    <n v="0"/>
    <n v="1"/>
    <n v="4"/>
    <b v="0"/>
    <n v="6"/>
    <x v="0"/>
    <n v="2"/>
    <x v="22"/>
    <x v="0"/>
    <n v="1.52E-2"/>
    <n v="0.48"/>
    <x v="1"/>
    <n v="0.29849999999999999"/>
    <n v="0"/>
    <n v="3"/>
    <n v="3"/>
  </r>
  <r>
    <n v="485"/>
    <d v="2011-01-22T00:00:00"/>
    <n v="1"/>
    <n v="0"/>
    <n v="1"/>
    <n v="6"/>
    <b v="0"/>
    <n v="6"/>
    <x v="0"/>
    <n v="2"/>
    <x v="22"/>
    <x v="0"/>
    <n v="3.0300000000000001E-2"/>
    <n v="0.44"/>
    <x v="1"/>
    <n v="0.22389999999999999"/>
    <n v="0"/>
    <n v="2"/>
    <n v="2"/>
  </r>
  <r>
    <n v="486"/>
    <d v="2011-01-22T00:00:00"/>
    <n v="1"/>
    <n v="0"/>
    <n v="1"/>
    <n v="7"/>
    <b v="0"/>
    <n v="6"/>
    <x v="0"/>
    <n v="1"/>
    <x v="22"/>
    <x v="0"/>
    <n v="1.52E-2"/>
    <n v="0.44"/>
    <x v="1"/>
    <n v="0.28360000000000002"/>
    <n v="0"/>
    <n v="8"/>
    <n v="8"/>
  </r>
  <r>
    <n v="487"/>
    <d v="2011-01-22T00:00:00"/>
    <n v="1"/>
    <n v="0"/>
    <n v="1"/>
    <n v="8"/>
    <b v="0"/>
    <n v="6"/>
    <x v="0"/>
    <n v="1"/>
    <x v="22"/>
    <x v="0"/>
    <n v="0"/>
    <n v="0.44"/>
    <x v="1"/>
    <n v="0.32840000000000003"/>
    <n v="1"/>
    <n v="26"/>
    <n v="27"/>
  </r>
  <r>
    <n v="488"/>
    <d v="2011-01-22T00:00:00"/>
    <n v="1"/>
    <n v="0"/>
    <n v="1"/>
    <n v="9"/>
    <b v="0"/>
    <n v="6"/>
    <x v="0"/>
    <n v="1"/>
    <x v="21"/>
    <x v="0"/>
    <n v="3.0300000000000001E-2"/>
    <n v="0.41"/>
    <x v="1"/>
    <n v="0.25369999999999998"/>
    <n v="3"/>
    <n v="37"/>
    <n v="40"/>
  </r>
  <r>
    <n v="489"/>
    <d v="2011-01-22T00:00:00"/>
    <n v="1"/>
    <n v="0"/>
    <n v="1"/>
    <n v="10"/>
    <b v="0"/>
    <n v="6"/>
    <x v="0"/>
    <n v="2"/>
    <x v="21"/>
    <x v="0"/>
    <n v="6.0600000000000001E-2"/>
    <n v="0.41"/>
    <x v="1"/>
    <n v="0.16420000000000001"/>
    <n v="3"/>
    <n v="50"/>
    <n v="53"/>
  </r>
  <r>
    <n v="490"/>
    <d v="2011-01-22T00:00:00"/>
    <n v="1"/>
    <n v="0"/>
    <n v="1"/>
    <n v="11"/>
    <b v="0"/>
    <n v="6"/>
    <x v="0"/>
    <n v="2"/>
    <x v="20"/>
    <x v="0"/>
    <n v="7.5800000000000006E-2"/>
    <n v="0.38"/>
    <x v="1"/>
    <n v="0.1343"/>
    <n v="4"/>
    <n v="59"/>
    <n v="63"/>
  </r>
  <r>
    <n v="491"/>
    <d v="2011-01-22T00:00:00"/>
    <n v="1"/>
    <n v="0"/>
    <n v="1"/>
    <n v="12"/>
    <b v="0"/>
    <n v="6"/>
    <x v="0"/>
    <n v="2"/>
    <x v="20"/>
    <x v="0"/>
    <n v="0.1061"/>
    <n v="0.38"/>
    <x v="1"/>
    <n v="0.1045"/>
    <n v="10"/>
    <n v="60"/>
    <n v="70"/>
  </r>
  <r>
    <n v="492"/>
    <d v="2011-01-22T00:00:00"/>
    <n v="1"/>
    <n v="0"/>
    <n v="1"/>
    <n v="13"/>
    <b v="0"/>
    <n v="6"/>
    <x v="0"/>
    <n v="1"/>
    <x v="19"/>
    <x v="0"/>
    <n v="0.16669999999999999"/>
    <n v="0.35"/>
    <x v="1"/>
    <n v="0"/>
    <n v="12"/>
    <n v="72"/>
    <n v="84"/>
  </r>
  <r>
    <n v="493"/>
    <d v="2011-01-22T00:00:00"/>
    <n v="1"/>
    <n v="0"/>
    <n v="1"/>
    <n v="14"/>
    <b v="0"/>
    <n v="6"/>
    <x v="0"/>
    <n v="1"/>
    <x v="18"/>
    <x v="0"/>
    <n v="0.13639999999999999"/>
    <n v="0.33"/>
    <x v="1"/>
    <n v="0.1045"/>
    <n v="11"/>
    <n v="64"/>
    <n v="75"/>
  </r>
  <r>
    <n v="494"/>
    <d v="2011-01-22T00:00:00"/>
    <n v="1"/>
    <n v="0"/>
    <n v="1"/>
    <n v="15"/>
    <b v="0"/>
    <n v="6"/>
    <x v="0"/>
    <n v="1"/>
    <x v="16"/>
    <x v="0"/>
    <n v="0.1515"/>
    <n v="0.28000000000000003"/>
    <x v="1"/>
    <n v="0"/>
    <n v="10"/>
    <n v="93"/>
    <n v="103"/>
  </r>
  <r>
    <n v="495"/>
    <d v="2011-01-22T00:00:00"/>
    <n v="1"/>
    <n v="0"/>
    <n v="1"/>
    <n v="16"/>
    <b v="0"/>
    <n v="6"/>
    <x v="0"/>
    <n v="1"/>
    <x v="16"/>
    <x v="0"/>
    <n v="0.13639999999999999"/>
    <n v="0.28000000000000003"/>
    <x v="1"/>
    <n v="0.19400000000000001"/>
    <n v="11"/>
    <n v="72"/>
    <n v="83"/>
  </r>
  <r>
    <n v="496"/>
    <d v="2011-01-22T00:00:00"/>
    <n v="1"/>
    <n v="0"/>
    <n v="1"/>
    <n v="17"/>
    <b v="0"/>
    <n v="6"/>
    <x v="0"/>
    <n v="1"/>
    <x v="16"/>
    <x v="0"/>
    <n v="0.19700000000000001"/>
    <n v="0.28000000000000003"/>
    <x v="1"/>
    <n v="0"/>
    <n v="8"/>
    <n v="59"/>
    <n v="67"/>
  </r>
  <r>
    <n v="497"/>
    <d v="2011-01-22T00:00:00"/>
    <n v="1"/>
    <n v="0"/>
    <n v="1"/>
    <n v="18"/>
    <b v="0"/>
    <n v="6"/>
    <x v="0"/>
    <n v="1"/>
    <x v="19"/>
    <x v="0"/>
    <n v="9.0899999999999995E-2"/>
    <n v="0.35"/>
    <x v="1"/>
    <n v="0.19400000000000001"/>
    <n v="0"/>
    <n v="54"/>
    <n v="54"/>
  </r>
  <r>
    <n v="498"/>
    <d v="2011-01-22T00:00:00"/>
    <n v="1"/>
    <n v="0"/>
    <n v="1"/>
    <n v="19"/>
    <b v="0"/>
    <n v="6"/>
    <x v="0"/>
    <n v="1"/>
    <x v="19"/>
    <x v="0"/>
    <n v="0.1061"/>
    <n v="0.35"/>
    <x v="1"/>
    <n v="0.1343"/>
    <n v="6"/>
    <n v="53"/>
    <n v="59"/>
  </r>
  <r>
    <n v="499"/>
    <d v="2011-01-22T00:00:00"/>
    <n v="1"/>
    <n v="0"/>
    <n v="1"/>
    <n v="20"/>
    <b v="0"/>
    <n v="6"/>
    <x v="0"/>
    <n v="1"/>
    <x v="20"/>
    <x v="0"/>
    <n v="7.5800000000000006E-2"/>
    <n v="0.45"/>
    <x v="1"/>
    <n v="0.16420000000000001"/>
    <n v="1"/>
    <n v="44"/>
    <n v="45"/>
  </r>
  <r>
    <n v="500"/>
    <d v="2011-01-22T00:00:00"/>
    <n v="1"/>
    <n v="0"/>
    <n v="1"/>
    <n v="21"/>
    <b v="0"/>
    <n v="6"/>
    <x v="0"/>
    <n v="1"/>
    <x v="20"/>
    <x v="0"/>
    <n v="0.1061"/>
    <n v="0.41"/>
    <x v="1"/>
    <n v="8.9599999999999999E-2"/>
    <n v="0"/>
    <n v="39"/>
    <n v="39"/>
  </r>
  <r>
    <n v="501"/>
    <d v="2011-01-22T00:00:00"/>
    <n v="1"/>
    <n v="0"/>
    <n v="1"/>
    <n v="22"/>
    <b v="0"/>
    <n v="6"/>
    <x v="0"/>
    <n v="1"/>
    <x v="20"/>
    <x v="0"/>
    <n v="0.1515"/>
    <n v="0.49"/>
    <x v="1"/>
    <n v="0"/>
    <n v="7"/>
    <n v="23"/>
    <n v="30"/>
  </r>
  <r>
    <n v="502"/>
    <d v="2011-01-22T00:00:00"/>
    <n v="1"/>
    <n v="0"/>
    <n v="1"/>
    <n v="23"/>
    <b v="0"/>
    <n v="6"/>
    <x v="0"/>
    <n v="1"/>
    <x v="21"/>
    <x v="0"/>
    <n v="7.5800000000000006E-2"/>
    <n v="0.56999999999999995"/>
    <x v="1"/>
    <n v="0.1045"/>
    <n v="2"/>
    <n v="31"/>
    <n v="33"/>
  </r>
  <r>
    <n v="503"/>
    <d v="2011-01-23T00:00:00"/>
    <n v="1"/>
    <n v="0"/>
    <n v="1"/>
    <n v="0"/>
    <b v="0"/>
    <n v="0"/>
    <x v="1"/>
    <n v="1"/>
    <x v="21"/>
    <x v="0"/>
    <n v="7.5800000000000006E-2"/>
    <n v="0.56999999999999995"/>
    <x v="1"/>
    <n v="0.1045"/>
    <n v="2"/>
    <n v="20"/>
    <n v="22"/>
  </r>
  <r>
    <n v="504"/>
    <d v="2011-01-23T00:00:00"/>
    <n v="1"/>
    <n v="0"/>
    <n v="1"/>
    <n v="1"/>
    <b v="0"/>
    <n v="0"/>
    <x v="1"/>
    <n v="1"/>
    <x v="21"/>
    <x v="0"/>
    <n v="7.5800000000000006E-2"/>
    <n v="0.56999999999999995"/>
    <x v="1"/>
    <n v="0.1045"/>
    <n v="1"/>
    <n v="12"/>
    <n v="13"/>
  </r>
  <r>
    <n v="505"/>
    <d v="2011-01-23T00:00:00"/>
    <n v="1"/>
    <n v="0"/>
    <n v="1"/>
    <n v="2"/>
    <b v="0"/>
    <n v="0"/>
    <x v="1"/>
    <n v="1"/>
    <x v="22"/>
    <x v="0"/>
    <n v="6.0600000000000001E-2"/>
    <n v="0.62"/>
    <x v="1"/>
    <n v="0.1343"/>
    <n v="3"/>
    <n v="15"/>
    <n v="18"/>
  </r>
  <r>
    <n v="506"/>
    <d v="2011-01-23T00:00:00"/>
    <n v="1"/>
    <n v="0"/>
    <n v="1"/>
    <n v="3"/>
    <b v="0"/>
    <n v="0"/>
    <x v="1"/>
    <n v="1"/>
    <x v="22"/>
    <x v="0"/>
    <n v="6.0600000000000001E-2"/>
    <n v="0.62"/>
    <x v="1"/>
    <n v="0.1343"/>
    <n v="1"/>
    <n v="4"/>
    <n v="5"/>
  </r>
  <r>
    <n v="507"/>
    <d v="2011-01-23T00:00:00"/>
    <n v="1"/>
    <n v="0"/>
    <n v="1"/>
    <n v="5"/>
    <b v="0"/>
    <n v="0"/>
    <x v="1"/>
    <n v="2"/>
    <x v="21"/>
    <x v="0"/>
    <n v="7.5800000000000006E-2"/>
    <n v="0.56999999999999995"/>
    <x v="1"/>
    <n v="0.1045"/>
    <n v="0"/>
    <n v="3"/>
    <n v="3"/>
  </r>
  <r>
    <n v="508"/>
    <d v="2011-01-23T00:00:00"/>
    <n v="1"/>
    <n v="0"/>
    <n v="1"/>
    <n v="6"/>
    <b v="0"/>
    <n v="0"/>
    <x v="1"/>
    <n v="2"/>
    <x v="21"/>
    <x v="0"/>
    <n v="7.5800000000000006E-2"/>
    <n v="0.56999999999999995"/>
    <x v="1"/>
    <n v="0.1045"/>
    <n v="0"/>
    <n v="1"/>
    <n v="1"/>
  </r>
  <r>
    <n v="509"/>
    <d v="2011-01-23T00:00:00"/>
    <n v="1"/>
    <n v="0"/>
    <n v="1"/>
    <n v="7"/>
    <b v="0"/>
    <n v="0"/>
    <x v="1"/>
    <n v="1"/>
    <x v="19"/>
    <x v="0"/>
    <n v="0.1061"/>
    <n v="0.57999999999999996"/>
    <x v="1"/>
    <n v="0.16420000000000001"/>
    <n v="1"/>
    <n v="1"/>
    <n v="2"/>
  </r>
  <r>
    <n v="510"/>
    <d v="2011-01-23T00:00:00"/>
    <n v="1"/>
    <n v="0"/>
    <n v="1"/>
    <n v="8"/>
    <b v="0"/>
    <n v="0"/>
    <x v="1"/>
    <n v="1"/>
    <x v="20"/>
    <x v="0"/>
    <n v="7.5800000000000006E-2"/>
    <n v="0.62"/>
    <x v="1"/>
    <n v="0.16420000000000001"/>
    <n v="2"/>
    <n v="17"/>
    <n v="19"/>
  </r>
  <r>
    <n v="511"/>
    <d v="2011-01-23T00:00:00"/>
    <n v="1"/>
    <n v="0"/>
    <n v="1"/>
    <n v="9"/>
    <b v="0"/>
    <n v="0"/>
    <x v="1"/>
    <n v="1"/>
    <x v="18"/>
    <x v="0"/>
    <n v="7.5800000000000006E-2"/>
    <n v="0.54"/>
    <x v="1"/>
    <n v="0.35820000000000002"/>
    <n v="3"/>
    <n v="25"/>
    <n v="28"/>
  </r>
  <r>
    <n v="512"/>
    <d v="2011-01-23T00:00:00"/>
    <n v="1"/>
    <n v="0"/>
    <n v="1"/>
    <n v="10"/>
    <b v="0"/>
    <n v="0"/>
    <x v="1"/>
    <n v="1"/>
    <x v="14"/>
    <x v="0"/>
    <n v="0.1061"/>
    <n v="0.46"/>
    <x v="1"/>
    <n v="0.3881"/>
    <n v="7"/>
    <n v="51"/>
    <n v="58"/>
  </r>
  <r>
    <n v="513"/>
    <d v="2011-01-23T00:00:00"/>
    <n v="1"/>
    <n v="0"/>
    <n v="1"/>
    <n v="11"/>
    <b v="0"/>
    <n v="0"/>
    <x v="1"/>
    <n v="1"/>
    <x v="14"/>
    <x v="0"/>
    <n v="0.13639999999999999"/>
    <n v="0.43"/>
    <x v="1"/>
    <n v="0.22389999999999999"/>
    <n v="22"/>
    <n v="77"/>
    <n v="99"/>
  </r>
  <r>
    <n v="514"/>
    <d v="2011-01-23T00:00:00"/>
    <n v="1"/>
    <n v="0"/>
    <n v="1"/>
    <n v="12"/>
    <b v="0"/>
    <n v="0"/>
    <x v="1"/>
    <n v="1"/>
    <x v="13"/>
    <x v="0"/>
    <n v="0.1212"/>
    <n v="0.37"/>
    <x v="1"/>
    <n v="0.4627"/>
    <n v="24"/>
    <n v="92"/>
    <n v="116"/>
  </r>
  <r>
    <n v="515"/>
    <d v="2011-01-23T00:00:00"/>
    <n v="1"/>
    <n v="0"/>
    <n v="1"/>
    <n v="13"/>
    <b v="0"/>
    <n v="0"/>
    <x v="1"/>
    <n v="1"/>
    <x v="14"/>
    <x v="0"/>
    <n v="0.1061"/>
    <n v="0.33"/>
    <x v="1"/>
    <n v="0.3881"/>
    <n v="12"/>
    <n v="75"/>
    <n v="87"/>
  </r>
  <r>
    <n v="516"/>
    <d v="2011-01-23T00:00:00"/>
    <n v="1"/>
    <n v="0"/>
    <n v="1"/>
    <n v="14"/>
    <b v="0"/>
    <n v="0"/>
    <x v="1"/>
    <n v="1"/>
    <x v="13"/>
    <x v="0"/>
    <n v="0.13639999999999999"/>
    <n v="0.28000000000000003"/>
    <x v="1"/>
    <n v="0.35820000000000002"/>
    <n v="17"/>
    <n v="93"/>
    <n v="110"/>
  </r>
  <r>
    <n v="517"/>
    <d v="2011-01-23T00:00:00"/>
    <n v="1"/>
    <n v="0"/>
    <n v="1"/>
    <n v="15"/>
    <b v="0"/>
    <n v="0"/>
    <x v="1"/>
    <n v="1"/>
    <x v="13"/>
    <x v="0"/>
    <n v="0.13639999999999999"/>
    <n v="0.28000000000000003"/>
    <x v="1"/>
    <n v="0.35820000000000002"/>
    <n v="13"/>
    <n v="64"/>
    <n v="77"/>
  </r>
  <r>
    <n v="518"/>
    <d v="2011-01-23T00:00:00"/>
    <n v="1"/>
    <n v="0"/>
    <n v="1"/>
    <n v="16"/>
    <b v="0"/>
    <n v="0"/>
    <x v="1"/>
    <n v="1"/>
    <x v="13"/>
    <x v="0"/>
    <n v="0.13639999999999999"/>
    <n v="0.26"/>
    <x v="1"/>
    <n v="0.32840000000000003"/>
    <n v="9"/>
    <n v="56"/>
    <n v="65"/>
  </r>
  <r>
    <n v="519"/>
    <d v="2011-01-23T00:00:00"/>
    <n v="1"/>
    <n v="0"/>
    <n v="1"/>
    <n v="17"/>
    <b v="0"/>
    <n v="0"/>
    <x v="1"/>
    <n v="1"/>
    <x v="14"/>
    <x v="0"/>
    <n v="0.1061"/>
    <n v="0.26"/>
    <x v="1"/>
    <n v="0.3881"/>
    <n v="5"/>
    <n v="50"/>
    <n v="55"/>
  </r>
  <r>
    <n v="520"/>
    <d v="2011-01-23T00:00:00"/>
    <n v="1"/>
    <n v="0"/>
    <n v="1"/>
    <n v="18"/>
    <b v="0"/>
    <n v="0"/>
    <x v="1"/>
    <n v="1"/>
    <x v="16"/>
    <x v="0"/>
    <n v="0.1212"/>
    <n v="0.3"/>
    <x v="1"/>
    <n v="0.25369999999999998"/>
    <n v="5"/>
    <n v="44"/>
    <n v="49"/>
  </r>
  <r>
    <n v="521"/>
    <d v="2011-01-23T00:00:00"/>
    <n v="1"/>
    <n v="0"/>
    <n v="1"/>
    <n v="19"/>
    <b v="0"/>
    <n v="0"/>
    <x v="1"/>
    <n v="1"/>
    <x v="16"/>
    <x v="0"/>
    <n v="0.1212"/>
    <n v="0.3"/>
    <x v="1"/>
    <n v="0.28360000000000002"/>
    <n v="5"/>
    <n v="45"/>
    <n v="50"/>
  </r>
  <r>
    <n v="522"/>
    <d v="2011-01-23T00:00:00"/>
    <n v="1"/>
    <n v="0"/>
    <n v="1"/>
    <n v="20"/>
    <b v="0"/>
    <n v="0"/>
    <x v="1"/>
    <n v="1"/>
    <x v="18"/>
    <x v="0"/>
    <n v="0.1061"/>
    <n v="0.36"/>
    <x v="1"/>
    <n v="0.25369999999999998"/>
    <n v="4"/>
    <n v="31"/>
    <n v="35"/>
  </r>
  <r>
    <n v="523"/>
    <d v="2011-01-23T00:00:00"/>
    <n v="1"/>
    <n v="0"/>
    <n v="1"/>
    <n v="21"/>
    <b v="0"/>
    <n v="0"/>
    <x v="1"/>
    <n v="1"/>
    <x v="18"/>
    <x v="0"/>
    <n v="0.1061"/>
    <n v="0.36"/>
    <x v="1"/>
    <n v="0.19400000000000001"/>
    <n v="5"/>
    <n v="20"/>
    <n v="25"/>
  </r>
  <r>
    <n v="524"/>
    <d v="2011-01-23T00:00:00"/>
    <n v="1"/>
    <n v="0"/>
    <n v="1"/>
    <n v="22"/>
    <b v="0"/>
    <n v="0"/>
    <x v="1"/>
    <n v="1"/>
    <x v="19"/>
    <x v="0"/>
    <n v="9.0899999999999995E-2"/>
    <n v="0.38"/>
    <x v="1"/>
    <n v="0.19400000000000001"/>
    <n v="5"/>
    <n v="23"/>
    <n v="28"/>
  </r>
  <r>
    <n v="525"/>
    <d v="2011-01-23T00:00:00"/>
    <n v="1"/>
    <n v="0"/>
    <n v="1"/>
    <n v="23"/>
    <b v="0"/>
    <n v="0"/>
    <x v="1"/>
    <n v="1"/>
    <x v="20"/>
    <x v="0"/>
    <n v="6.0600000000000001E-2"/>
    <n v="0.41"/>
    <x v="1"/>
    <n v="0.22389999999999999"/>
    <n v="4"/>
    <n v="17"/>
    <n v="21"/>
  </r>
  <r>
    <n v="526"/>
    <d v="2011-01-24T00:00:00"/>
    <n v="1"/>
    <n v="0"/>
    <n v="1"/>
    <n v="0"/>
    <b v="0"/>
    <n v="1"/>
    <x v="2"/>
    <n v="1"/>
    <x v="20"/>
    <x v="0"/>
    <n v="6.0600000000000001E-2"/>
    <n v="0.41"/>
    <x v="1"/>
    <n v="0.19400000000000001"/>
    <n v="0"/>
    <n v="7"/>
    <n v="7"/>
  </r>
  <r>
    <n v="527"/>
    <d v="2011-01-24T00:00:00"/>
    <n v="1"/>
    <n v="0"/>
    <n v="1"/>
    <n v="1"/>
    <b v="0"/>
    <n v="1"/>
    <x v="2"/>
    <n v="1"/>
    <x v="21"/>
    <x v="0"/>
    <n v="4.5499999999999999E-2"/>
    <n v="0.45"/>
    <x v="1"/>
    <n v="0.19400000000000001"/>
    <n v="0"/>
    <n v="1"/>
    <n v="1"/>
  </r>
  <r>
    <n v="528"/>
    <d v="2011-01-24T00:00:00"/>
    <n v="1"/>
    <n v="0"/>
    <n v="1"/>
    <n v="3"/>
    <b v="0"/>
    <n v="1"/>
    <x v="2"/>
    <n v="1"/>
    <x v="21"/>
    <x v="0"/>
    <n v="3.0300000000000001E-2"/>
    <n v="0.45"/>
    <x v="1"/>
    <n v="0.25369999999999998"/>
    <n v="0"/>
    <n v="1"/>
    <n v="1"/>
  </r>
  <r>
    <n v="529"/>
    <d v="2011-01-24T00:00:00"/>
    <n v="1"/>
    <n v="0"/>
    <n v="1"/>
    <n v="4"/>
    <b v="0"/>
    <n v="1"/>
    <x v="2"/>
    <n v="1"/>
    <x v="22"/>
    <x v="0"/>
    <n v="6.0600000000000001E-2"/>
    <n v="0.48"/>
    <x v="1"/>
    <n v="0.1343"/>
    <n v="0"/>
    <n v="1"/>
    <n v="1"/>
  </r>
  <r>
    <n v="530"/>
    <d v="2011-01-24T00:00:00"/>
    <n v="1"/>
    <n v="0"/>
    <n v="1"/>
    <n v="5"/>
    <b v="0"/>
    <n v="1"/>
    <x v="2"/>
    <n v="1"/>
    <x v="22"/>
    <x v="0"/>
    <n v="6.0600000000000001E-2"/>
    <n v="0.48"/>
    <x v="1"/>
    <n v="0.1343"/>
    <n v="0"/>
    <n v="5"/>
    <n v="5"/>
  </r>
  <r>
    <n v="531"/>
    <d v="2011-01-24T00:00:00"/>
    <n v="1"/>
    <n v="0"/>
    <n v="1"/>
    <n v="6"/>
    <b v="0"/>
    <n v="1"/>
    <x v="2"/>
    <n v="1"/>
    <x v="22"/>
    <x v="0"/>
    <n v="7.5800000000000006E-2"/>
    <n v="0.48"/>
    <x v="1"/>
    <n v="8.9599999999999999E-2"/>
    <n v="0"/>
    <n v="15"/>
    <n v="15"/>
  </r>
  <r>
    <n v="532"/>
    <d v="2011-01-24T00:00:00"/>
    <n v="1"/>
    <n v="0"/>
    <n v="1"/>
    <n v="7"/>
    <b v="0"/>
    <n v="1"/>
    <x v="2"/>
    <n v="1"/>
    <x v="22"/>
    <x v="0"/>
    <n v="0.1212"/>
    <n v="0.48"/>
    <x v="1"/>
    <n v="0"/>
    <n v="5"/>
    <n v="79"/>
    <n v="84"/>
  </r>
  <r>
    <n v="533"/>
    <d v="2011-01-24T00:00:00"/>
    <n v="1"/>
    <n v="0"/>
    <n v="1"/>
    <n v="8"/>
    <b v="0"/>
    <n v="1"/>
    <x v="2"/>
    <n v="1"/>
    <x v="21"/>
    <x v="0"/>
    <n v="0.13639999999999999"/>
    <n v="0.49"/>
    <x v="1"/>
    <n v="0"/>
    <n v="6"/>
    <n v="171"/>
    <n v="177"/>
  </r>
  <r>
    <n v="534"/>
    <d v="2011-01-24T00:00:00"/>
    <n v="1"/>
    <n v="0"/>
    <n v="1"/>
    <n v="9"/>
    <b v="0"/>
    <n v="1"/>
    <x v="2"/>
    <n v="1"/>
    <x v="20"/>
    <x v="0"/>
    <n v="0.1515"/>
    <n v="0.41"/>
    <x v="1"/>
    <n v="0"/>
    <n v="4"/>
    <n v="98"/>
    <n v="102"/>
  </r>
  <r>
    <n v="535"/>
    <d v="2011-01-24T00:00:00"/>
    <n v="1"/>
    <n v="0"/>
    <n v="1"/>
    <n v="10"/>
    <b v="0"/>
    <n v="1"/>
    <x v="2"/>
    <n v="1"/>
    <x v="18"/>
    <x v="0"/>
    <n v="0.13639999999999999"/>
    <n v="0.42"/>
    <x v="1"/>
    <n v="0"/>
    <n v="6"/>
    <n v="34"/>
    <n v="40"/>
  </r>
  <r>
    <n v="536"/>
    <d v="2011-01-24T00:00:00"/>
    <n v="1"/>
    <n v="0"/>
    <n v="1"/>
    <n v="11"/>
    <b v="0"/>
    <n v="1"/>
    <x v="2"/>
    <n v="1"/>
    <x v="18"/>
    <x v="0"/>
    <n v="0.1212"/>
    <n v="0.46"/>
    <x v="1"/>
    <n v="0.1343"/>
    <n v="3"/>
    <n v="43"/>
    <n v="46"/>
  </r>
  <r>
    <n v="537"/>
    <d v="2011-01-24T00:00:00"/>
    <n v="1"/>
    <n v="0"/>
    <n v="1"/>
    <n v="12"/>
    <b v="0"/>
    <n v="1"/>
    <x v="2"/>
    <n v="2"/>
    <x v="16"/>
    <x v="0"/>
    <n v="0.13639999999999999"/>
    <n v="0.42"/>
    <x v="1"/>
    <n v="0.19400000000000001"/>
    <n v="11"/>
    <n v="52"/>
    <n v="63"/>
  </r>
  <r>
    <n v="538"/>
    <d v="2011-01-24T00:00:00"/>
    <n v="1"/>
    <n v="0"/>
    <n v="1"/>
    <n v="13"/>
    <b v="0"/>
    <n v="1"/>
    <x v="2"/>
    <n v="2"/>
    <x v="14"/>
    <x v="0"/>
    <n v="0.13639999999999999"/>
    <n v="0.43"/>
    <x v="1"/>
    <n v="0.22389999999999999"/>
    <n v="6"/>
    <n v="54"/>
    <n v="60"/>
  </r>
  <r>
    <n v="539"/>
    <d v="2011-01-24T00:00:00"/>
    <n v="1"/>
    <n v="0"/>
    <n v="1"/>
    <n v="14"/>
    <b v="0"/>
    <n v="1"/>
    <x v="2"/>
    <n v="2"/>
    <x v="14"/>
    <x v="0"/>
    <n v="0.13639999999999999"/>
    <n v="0.46"/>
    <x v="1"/>
    <n v="0.22389999999999999"/>
    <n v="2"/>
    <n v="43"/>
    <n v="45"/>
  </r>
  <r>
    <n v="540"/>
    <d v="2011-01-24T00:00:00"/>
    <n v="1"/>
    <n v="0"/>
    <n v="1"/>
    <n v="15"/>
    <b v="0"/>
    <n v="1"/>
    <x v="2"/>
    <n v="1"/>
    <x v="13"/>
    <x v="0"/>
    <n v="0.16669999999999999"/>
    <n v="0.4"/>
    <x v="1"/>
    <n v="0.16420000000000001"/>
    <n v="7"/>
    <n v="50"/>
    <n v="57"/>
  </r>
  <r>
    <n v="541"/>
    <d v="2011-01-24T00:00:00"/>
    <n v="1"/>
    <n v="0"/>
    <n v="1"/>
    <n v="16"/>
    <b v="0"/>
    <n v="1"/>
    <x v="2"/>
    <n v="1"/>
    <x v="13"/>
    <x v="0"/>
    <n v="0.1515"/>
    <n v="0.47"/>
    <x v="1"/>
    <n v="0.25369999999999998"/>
    <n v="4"/>
    <n v="66"/>
    <n v="70"/>
  </r>
  <r>
    <n v="542"/>
    <d v="2011-01-24T00:00:00"/>
    <n v="1"/>
    <n v="0"/>
    <n v="1"/>
    <n v="17"/>
    <b v="0"/>
    <n v="1"/>
    <x v="2"/>
    <n v="1"/>
    <x v="14"/>
    <x v="0"/>
    <n v="0.1212"/>
    <n v="0.5"/>
    <x v="1"/>
    <n v="0.25369999999999998"/>
    <n v="6"/>
    <n v="178"/>
    <n v="184"/>
  </r>
  <r>
    <n v="543"/>
    <d v="2011-01-24T00:00:00"/>
    <n v="1"/>
    <n v="0"/>
    <n v="1"/>
    <n v="18"/>
    <b v="0"/>
    <n v="1"/>
    <x v="2"/>
    <n v="1"/>
    <x v="14"/>
    <x v="0"/>
    <n v="0.13639999999999999"/>
    <n v="0.59"/>
    <x v="1"/>
    <n v="0.19400000000000001"/>
    <n v="8"/>
    <n v="145"/>
    <n v="153"/>
  </r>
  <r>
    <n v="544"/>
    <d v="2011-01-24T00:00:00"/>
    <n v="1"/>
    <n v="0"/>
    <n v="1"/>
    <n v="19"/>
    <b v="0"/>
    <n v="1"/>
    <x v="2"/>
    <n v="1"/>
    <x v="14"/>
    <x v="0"/>
    <n v="0.1515"/>
    <n v="0.54"/>
    <x v="1"/>
    <n v="0.16420000000000001"/>
    <n v="5"/>
    <n v="101"/>
    <n v="106"/>
  </r>
  <r>
    <n v="545"/>
    <d v="2011-01-24T00:00:00"/>
    <n v="1"/>
    <n v="0"/>
    <n v="1"/>
    <n v="20"/>
    <b v="0"/>
    <n v="1"/>
    <x v="2"/>
    <n v="1"/>
    <x v="14"/>
    <x v="0"/>
    <n v="0.13639999999999999"/>
    <n v="0.59"/>
    <x v="1"/>
    <n v="0.19400000000000001"/>
    <n v="1"/>
    <n v="80"/>
    <n v="81"/>
  </r>
  <r>
    <n v="546"/>
    <d v="2011-01-24T00:00:00"/>
    <n v="1"/>
    <n v="0"/>
    <n v="1"/>
    <n v="21"/>
    <b v="0"/>
    <n v="1"/>
    <x v="2"/>
    <n v="1"/>
    <x v="14"/>
    <x v="0"/>
    <n v="0.1515"/>
    <n v="0.63"/>
    <x v="1"/>
    <n v="0.16420000000000001"/>
    <n v="6"/>
    <n v="53"/>
    <n v="59"/>
  </r>
  <r>
    <n v="547"/>
    <d v="2011-01-24T00:00:00"/>
    <n v="1"/>
    <n v="0"/>
    <n v="1"/>
    <n v="22"/>
    <b v="0"/>
    <n v="1"/>
    <x v="2"/>
    <n v="2"/>
    <x v="14"/>
    <x v="0"/>
    <n v="0.13639999999999999"/>
    <n v="0.63"/>
    <x v="1"/>
    <n v="0.22389999999999999"/>
    <n v="3"/>
    <n v="32"/>
    <n v="35"/>
  </r>
  <r>
    <n v="548"/>
    <d v="2011-01-24T00:00:00"/>
    <n v="1"/>
    <n v="0"/>
    <n v="1"/>
    <n v="23"/>
    <b v="0"/>
    <n v="1"/>
    <x v="2"/>
    <n v="2"/>
    <x v="13"/>
    <x v="0"/>
    <n v="0.1515"/>
    <n v="0.64"/>
    <x v="1"/>
    <n v="0.25369999999999998"/>
    <n v="3"/>
    <n v="21"/>
    <n v="24"/>
  </r>
  <r>
    <n v="549"/>
    <d v="2011-01-25T00:00:00"/>
    <n v="1"/>
    <n v="0"/>
    <n v="1"/>
    <n v="0"/>
    <b v="0"/>
    <n v="2"/>
    <x v="3"/>
    <n v="2"/>
    <x v="13"/>
    <x v="0"/>
    <n v="0.13639999999999999"/>
    <n v="0.69"/>
    <x v="1"/>
    <n v="0.28360000000000002"/>
    <n v="3"/>
    <n v="6"/>
    <n v="9"/>
  </r>
  <r>
    <n v="550"/>
    <d v="2011-01-25T00:00:00"/>
    <n v="1"/>
    <n v="0"/>
    <n v="1"/>
    <n v="1"/>
    <b v="0"/>
    <n v="2"/>
    <x v="3"/>
    <n v="2"/>
    <x v="13"/>
    <x v="0"/>
    <n v="0.16669999999999999"/>
    <n v="0.69"/>
    <x v="1"/>
    <n v="0.16420000000000001"/>
    <n v="0"/>
    <n v="5"/>
    <n v="5"/>
  </r>
  <r>
    <n v="551"/>
    <d v="2011-01-25T00:00:00"/>
    <n v="1"/>
    <n v="0"/>
    <n v="1"/>
    <n v="2"/>
    <b v="0"/>
    <n v="2"/>
    <x v="3"/>
    <n v="1"/>
    <x v="13"/>
    <x v="0"/>
    <n v="0.1515"/>
    <n v="0.69"/>
    <x v="1"/>
    <n v="0.22389999999999999"/>
    <n v="0"/>
    <n v="2"/>
    <n v="2"/>
  </r>
  <r>
    <n v="552"/>
    <d v="2011-01-25T00:00:00"/>
    <n v="1"/>
    <n v="0"/>
    <n v="1"/>
    <n v="4"/>
    <b v="0"/>
    <n v="2"/>
    <x v="3"/>
    <n v="1"/>
    <x v="14"/>
    <x v="0"/>
    <n v="0.16669999999999999"/>
    <n v="0.74"/>
    <x v="1"/>
    <n v="0.1045"/>
    <n v="0"/>
    <n v="1"/>
    <n v="1"/>
  </r>
  <r>
    <n v="553"/>
    <d v="2011-01-25T00:00:00"/>
    <n v="1"/>
    <n v="0"/>
    <n v="1"/>
    <n v="5"/>
    <b v="0"/>
    <n v="2"/>
    <x v="3"/>
    <n v="1"/>
    <x v="14"/>
    <x v="0"/>
    <n v="0.13639999999999999"/>
    <n v="0.74"/>
    <x v="1"/>
    <n v="0.22389999999999999"/>
    <n v="0"/>
    <n v="9"/>
    <n v="9"/>
  </r>
  <r>
    <n v="554"/>
    <d v="2011-01-25T00:00:00"/>
    <n v="1"/>
    <n v="0"/>
    <n v="1"/>
    <n v="6"/>
    <b v="0"/>
    <n v="2"/>
    <x v="3"/>
    <n v="1"/>
    <x v="13"/>
    <x v="0"/>
    <n v="0.18179999999999999"/>
    <n v="0.74"/>
    <x v="1"/>
    <n v="0.1045"/>
    <n v="1"/>
    <n v="35"/>
    <n v="36"/>
  </r>
  <r>
    <n v="555"/>
    <d v="2011-01-25T00:00:00"/>
    <n v="1"/>
    <n v="0"/>
    <n v="1"/>
    <n v="7"/>
    <b v="0"/>
    <n v="2"/>
    <x v="3"/>
    <n v="1"/>
    <x v="13"/>
    <x v="0"/>
    <n v="0.1515"/>
    <n v="0.74"/>
    <x v="1"/>
    <n v="0.22389999999999999"/>
    <n v="5"/>
    <n v="103"/>
    <n v="108"/>
  </r>
  <r>
    <n v="556"/>
    <d v="2011-01-25T00:00:00"/>
    <n v="1"/>
    <n v="0"/>
    <n v="1"/>
    <n v="8"/>
    <b v="0"/>
    <n v="2"/>
    <x v="3"/>
    <n v="2"/>
    <x v="13"/>
    <x v="0"/>
    <n v="0.18179999999999999"/>
    <n v="0.74"/>
    <x v="1"/>
    <n v="0.1343"/>
    <n v="5"/>
    <n v="233"/>
    <n v="238"/>
  </r>
  <r>
    <n v="557"/>
    <d v="2011-01-25T00:00:00"/>
    <n v="1"/>
    <n v="0"/>
    <n v="1"/>
    <n v="9"/>
    <b v="0"/>
    <n v="2"/>
    <x v="3"/>
    <n v="2"/>
    <x v="2"/>
    <x v="0"/>
    <n v="0.2273"/>
    <n v="0.64"/>
    <x v="1"/>
    <n v="8.9599999999999999E-2"/>
    <n v="10"/>
    <n v="134"/>
    <n v="144"/>
  </r>
  <r>
    <n v="558"/>
    <d v="2011-01-25T00:00:00"/>
    <n v="1"/>
    <n v="0"/>
    <n v="1"/>
    <n v="10"/>
    <b v="0"/>
    <n v="2"/>
    <x v="3"/>
    <n v="2"/>
    <x v="1"/>
    <x v="0"/>
    <n v="0.2424"/>
    <n v="0.6"/>
    <x v="1"/>
    <n v="0.1045"/>
    <n v="6"/>
    <n v="49"/>
    <n v="55"/>
  </r>
  <r>
    <n v="559"/>
    <d v="2011-01-25T00:00:00"/>
    <n v="1"/>
    <n v="0"/>
    <n v="1"/>
    <n v="11"/>
    <b v="0"/>
    <n v="2"/>
    <x v="3"/>
    <n v="2"/>
    <x v="0"/>
    <x v="0"/>
    <n v="0.2424"/>
    <n v="0.6"/>
    <x v="1"/>
    <n v="0.1343"/>
    <n v="6"/>
    <n v="55"/>
    <n v="61"/>
  </r>
  <r>
    <n v="560"/>
    <d v="2011-01-25T00:00:00"/>
    <n v="1"/>
    <n v="0"/>
    <n v="1"/>
    <n v="12"/>
    <b v="0"/>
    <n v="2"/>
    <x v="3"/>
    <n v="2"/>
    <x v="12"/>
    <x v="0"/>
    <n v="0.28789999999999999"/>
    <n v="0.56000000000000005"/>
    <x v="1"/>
    <n v="8.9599999999999999E-2"/>
    <n v="21"/>
    <n v="85"/>
    <n v="106"/>
  </r>
  <r>
    <n v="561"/>
    <d v="2011-01-25T00:00:00"/>
    <n v="1"/>
    <n v="0"/>
    <n v="1"/>
    <n v="13"/>
    <b v="0"/>
    <n v="2"/>
    <x v="3"/>
    <n v="2"/>
    <x v="12"/>
    <x v="0"/>
    <n v="0.2727"/>
    <n v="0.56000000000000005"/>
    <x v="1"/>
    <n v="0.1343"/>
    <n v="21"/>
    <n v="72"/>
    <n v="93"/>
  </r>
  <r>
    <n v="562"/>
    <d v="2011-01-25T00:00:00"/>
    <n v="1"/>
    <n v="0"/>
    <n v="1"/>
    <n v="14"/>
    <b v="0"/>
    <n v="2"/>
    <x v="3"/>
    <n v="2"/>
    <x v="11"/>
    <x v="0"/>
    <n v="0.33329999999999999"/>
    <n v="0.45"/>
    <x v="1"/>
    <n v="0"/>
    <n v="11"/>
    <n v="57"/>
    <n v="68"/>
  </r>
  <r>
    <n v="563"/>
    <d v="2011-01-25T00:00:00"/>
    <n v="1"/>
    <n v="0"/>
    <n v="1"/>
    <n v="15"/>
    <b v="0"/>
    <n v="2"/>
    <x v="3"/>
    <n v="2"/>
    <x v="3"/>
    <x v="0"/>
    <n v="0.34849999999999998"/>
    <n v="0.42"/>
    <x v="1"/>
    <n v="0"/>
    <n v="21"/>
    <n v="63"/>
    <n v="84"/>
  </r>
  <r>
    <n v="564"/>
    <d v="2011-01-25T00:00:00"/>
    <n v="1"/>
    <n v="0"/>
    <n v="1"/>
    <n v="16"/>
    <b v="0"/>
    <n v="2"/>
    <x v="3"/>
    <n v="2"/>
    <x v="3"/>
    <x v="0"/>
    <n v="0.34849999999999998"/>
    <n v="0.42"/>
    <x v="1"/>
    <n v="0"/>
    <n v="14"/>
    <n v="102"/>
    <n v="116"/>
  </r>
  <r>
    <n v="565"/>
    <d v="2011-01-25T00:00:00"/>
    <n v="1"/>
    <n v="0"/>
    <n v="1"/>
    <n v="17"/>
    <b v="0"/>
    <n v="2"/>
    <x v="3"/>
    <n v="1"/>
    <x v="11"/>
    <x v="0"/>
    <n v="0.33329999999999999"/>
    <n v="0.45"/>
    <x v="1"/>
    <n v="0"/>
    <n v="14"/>
    <n v="208"/>
    <n v="222"/>
  </r>
  <r>
    <n v="566"/>
    <d v="2011-01-25T00:00:00"/>
    <n v="1"/>
    <n v="0"/>
    <n v="1"/>
    <n v="18"/>
    <b v="0"/>
    <n v="2"/>
    <x v="3"/>
    <n v="2"/>
    <x v="11"/>
    <x v="0"/>
    <n v="0.31819999999999998"/>
    <n v="0.49"/>
    <x v="1"/>
    <n v="8.9599999999999999E-2"/>
    <n v="7"/>
    <n v="218"/>
    <n v="225"/>
  </r>
  <r>
    <n v="567"/>
    <d v="2011-01-25T00:00:00"/>
    <n v="1"/>
    <n v="0"/>
    <n v="1"/>
    <n v="19"/>
    <b v="0"/>
    <n v="2"/>
    <x v="3"/>
    <n v="2"/>
    <x v="12"/>
    <x v="0"/>
    <n v="0.2576"/>
    <n v="0.65"/>
    <x v="1"/>
    <n v="0.16420000000000001"/>
    <n v="13"/>
    <n v="133"/>
    <n v="146"/>
  </r>
  <r>
    <n v="568"/>
    <d v="2011-01-25T00:00:00"/>
    <n v="1"/>
    <n v="0"/>
    <n v="1"/>
    <n v="20"/>
    <b v="0"/>
    <n v="2"/>
    <x v="3"/>
    <n v="1"/>
    <x v="0"/>
    <x v="0"/>
    <n v="0.2273"/>
    <n v="0.65"/>
    <x v="1"/>
    <n v="0.19400000000000001"/>
    <n v="16"/>
    <n v="103"/>
    <n v="119"/>
  </r>
  <r>
    <n v="569"/>
    <d v="2011-01-25T00:00:00"/>
    <n v="1"/>
    <n v="0"/>
    <n v="1"/>
    <n v="21"/>
    <b v="0"/>
    <n v="2"/>
    <x v="3"/>
    <n v="1"/>
    <x v="0"/>
    <x v="0"/>
    <n v="0.2273"/>
    <n v="0.65"/>
    <x v="1"/>
    <n v="0.19400000000000001"/>
    <n v="5"/>
    <n v="40"/>
    <n v="45"/>
  </r>
  <r>
    <n v="570"/>
    <d v="2011-01-25T00:00:00"/>
    <n v="1"/>
    <n v="0"/>
    <n v="1"/>
    <n v="22"/>
    <b v="0"/>
    <n v="2"/>
    <x v="3"/>
    <n v="1"/>
    <x v="1"/>
    <x v="0"/>
    <n v="0.2273"/>
    <n v="0.64"/>
    <x v="1"/>
    <n v="0.16420000000000001"/>
    <n v="4"/>
    <n v="49"/>
    <n v="53"/>
  </r>
  <r>
    <n v="571"/>
    <d v="2011-01-25T00:00:00"/>
    <n v="1"/>
    <n v="0"/>
    <n v="1"/>
    <n v="23"/>
    <b v="0"/>
    <n v="2"/>
    <x v="3"/>
    <n v="2"/>
    <x v="1"/>
    <x v="0"/>
    <n v="0.2273"/>
    <n v="0.64"/>
    <x v="1"/>
    <n v="0.16420000000000001"/>
    <n v="3"/>
    <n v="37"/>
    <n v="40"/>
  </r>
  <r>
    <n v="572"/>
    <d v="2011-01-26T00:00:00"/>
    <n v="1"/>
    <n v="0"/>
    <n v="1"/>
    <n v="0"/>
    <b v="0"/>
    <n v="3"/>
    <x v="4"/>
    <n v="2"/>
    <x v="1"/>
    <x v="0"/>
    <n v="0.2273"/>
    <n v="0.69"/>
    <x v="1"/>
    <n v="0.1343"/>
    <n v="3"/>
    <n v="14"/>
    <n v="17"/>
  </r>
  <r>
    <n v="573"/>
    <d v="2011-01-26T00:00:00"/>
    <n v="1"/>
    <n v="0"/>
    <n v="1"/>
    <n v="1"/>
    <b v="0"/>
    <n v="3"/>
    <x v="4"/>
    <n v="2"/>
    <x v="0"/>
    <x v="0"/>
    <n v="0.2424"/>
    <n v="0.65"/>
    <x v="1"/>
    <n v="0.1343"/>
    <n v="0"/>
    <n v="5"/>
    <n v="5"/>
  </r>
  <r>
    <n v="574"/>
    <d v="2011-01-26T00:00:00"/>
    <n v="1"/>
    <n v="0"/>
    <n v="1"/>
    <n v="2"/>
    <b v="0"/>
    <n v="3"/>
    <x v="4"/>
    <n v="3"/>
    <x v="1"/>
    <x v="0"/>
    <n v="0.2273"/>
    <n v="0.69"/>
    <x v="1"/>
    <n v="0.19400000000000001"/>
    <n v="3"/>
    <n v="7"/>
    <n v="10"/>
  </r>
  <r>
    <n v="575"/>
    <d v="2011-01-26T00:00:00"/>
    <n v="1"/>
    <n v="0"/>
    <n v="1"/>
    <n v="5"/>
    <b v="0"/>
    <n v="3"/>
    <x v="4"/>
    <n v="3"/>
    <x v="2"/>
    <x v="0"/>
    <n v="0.18179999999999999"/>
    <n v="0.86"/>
    <x v="0"/>
    <n v="0.28360000000000002"/>
    <n v="0"/>
    <n v="1"/>
    <n v="1"/>
  </r>
  <r>
    <n v="576"/>
    <d v="2011-01-26T00:00:00"/>
    <n v="1"/>
    <n v="0"/>
    <n v="1"/>
    <n v="6"/>
    <b v="0"/>
    <n v="3"/>
    <x v="4"/>
    <n v="3"/>
    <x v="2"/>
    <x v="0"/>
    <n v="0.18179999999999999"/>
    <n v="0.86"/>
    <x v="0"/>
    <n v="0.28360000000000002"/>
    <n v="0"/>
    <n v="8"/>
    <n v="8"/>
  </r>
  <r>
    <n v="577"/>
    <d v="2011-01-26T00:00:00"/>
    <n v="1"/>
    <n v="0"/>
    <n v="1"/>
    <n v="7"/>
    <b v="0"/>
    <n v="3"/>
    <x v="4"/>
    <n v="3"/>
    <x v="1"/>
    <x v="0"/>
    <n v="0.21210000000000001"/>
    <n v="0.87"/>
    <x v="0"/>
    <n v="0.29849999999999999"/>
    <n v="1"/>
    <n v="29"/>
    <n v="30"/>
  </r>
  <r>
    <n v="578"/>
    <d v="2011-01-26T00:00:00"/>
    <n v="1"/>
    <n v="0"/>
    <n v="1"/>
    <n v="8"/>
    <b v="0"/>
    <n v="3"/>
    <x v="4"/>
    <n v="3"/>
    <x v="1"/>
    <x v="0"/>
    <n v="0.21210000000000001"/>
    <n v="0.87"/>
    <x v="0"/>
    <n v="0.29849999999999999"/>
    <n v="3"/>
    <n v="69"/>
    <n v="72"/>
  </r>
  <r>
    <n v="579"/>
    <d v="2011-01-26T00:00:00"/>
    <n v="1"/>
    <n v="0"/>
    <n v="1"/>
    <n v="9"/>
    <b v="0"/>
    <n v="3"/>
    <x v="4"/>
    <n v="3"/>
    <x v="1"/>
    <x v="0"/>
    <n v="0.21210000000000001"/>
    <n v="0.87"/>
    <x v="0"/>
    <n v="0.29849999999999999"/>
    <n v="3"/>
    <n v="55"/>
    <n v="58"/>
  </r>
  <r>
    <n v="580"/>
    <d v="2011-01-26T00:00:00"/>
    <n v="1"/>
    <n v="0"/>
    <n v="1"/>
    <n v="10"/>
    <b v="0"/>
    <n v="3"/>
    <x v="4"/>
    <n v="3"/>
    <x v="1"/>
    <x v="0"/>
    <n v="0.21210000000000001"/>
    <n v="0.93"/>
    <x v="0"/>
    <n v="0.28360000000000002"/>
    <n v="2"/>
    <n v="26"/>
    <n v="28"/>
  </r>
  <r>
    <n v="581"/>
    <d v="2011-01-26T00:00:00"/>
    <n v="1"/>
    <n v="0"/>
    <n v="1"/>
    <n v="11"/>
    <b v="0"/>
    <n v="3"/>
    <x v="4"/>
    <n v="3"/>
    <x v="1"/>
    <x v="0"/>
    <n v="0.19700000000000001"/>
    <n v="0.93"/>
    <x v="0"/>
    <n v="0.32840000000000003"/>
    <n v="6"/>
    <n v="35"/>
    <n v="41"/>
  </r>
  <r>
    <n v="582"/>
    <d v="2011-01-26T00:00:00"/>
    <n v="1"/>
    <n v="0"/>
    <n v="1"/>
    <n v="12"/>
    <b v="0"/>
    <n v="3"/>
    <x v="4"/>
    <n v="3"/>
    <x v="1"/>
    <x v="0"/>
    <n v="0.19700000000000001"/>
    <n v="0.93"/>
    <x v="0"/>
    <n v="0.32840000000000003"/>
    <n v="7"/>
    <n v="41"/>
    <n v="48"/>
  </r>
  <r>
    <n v="583"/>
    <d v="2011-01-26T00:00:00"/>
    <n v="1"/>
    <n v="0"/>
    <n v="1"/>
    <n v="13"/>
    <b v="0"/>
    <n v="3"/>
    <x v="4"/>
    <n v="3"/>
    <x v="1"/>
    <x v="0"/>
    <n v="0.19700000000000001"/>
    <n v="0.93"/>
    <x v="0"/>
    <n v="0.32840000000000003"/>
    <n v="4"/>
    <n v="43"/>
    <n v="47"/>
  </r>
  <r>
    <n v="584"/>
    <d v="2011-01-26T00:00:00"/>
    <n v="1"/>
    <n v="0"/>
    <n v="1"/>
    <n v="14"/>
    <b v="0"/>
    <n v="3"/>
    <x v="4"/>
    <n v="3"/>
    <x v="1"/>
    <x v="0"/>
    <n v="0.19700000000000001"/>
    <n v="0.93"/>
    <x v="0"/>
    <n v="0.35820000000000002"/>
    <n v="0"/>
    <n v="36"/>
    <n v="36"/>
  </r>
  <r>
    <n v="585"/>
    <d v="2011-01-26T00:00:00"/>
    <n v="1"/>
    <n v="0"/>
    <n v="1"/>
    <n v="15"/>
    <b v="0"/>
    <n v="3"/>
    <x v="4"/>
    <n v="3"/>
    <x v="1"/>
    <x v="0"/>
    <n v="0.18179999999999999"/>
    <n v="0.93"/>
    <x v="0"/>
    <n v="0.4627"/>
    <n v="1"/>
    <n v="42"/>
    <n v="43"/>
  </r>
  <r>
    <n v="586"/>
    <d v="2011-01-26T00:00:00"/>
    <n v="1"/>
    <n v="0"/>
    <n v="1"/>
    <n v="16"/>
    <b v="0"/>
    <n v="3"/>
    <x v="4"/>
    <n v="4"/>
    <x v="1"/>
    <x v="0"/>
    <n v="0.19700000000000001"/>
    <n v="0.93"/>
    <x v="0"/>
    <n v="0.32840000000000003"/>
    <n v="1"/>
    <n v="35"/>
    <n v="36"/>
  </r>
  <r>
    <n v="587"/>
    <d v="2011-01-26T00:00:00"/>
    <n v="1"/>
    <n v="0"/>
    <n v="1"/>
    <n v="17"/>
    <b v="0"/>
    <n v="3"/>
    <x v="4"/>
    <n v="3"/>
    <x v="2"/>
    <x v="0"/>
    <n v="0.18179999999999999"/>
    <n v="0.93"/>
    <x v="0"/>
    <n v="0.35820000000000002"/>
    <n v="0"/>
    <n v="26"/>
    <n v="26"/>
  </r>
  <r>
    <n v="588"/>
    <d v="2011-01-27T00:00:00"/>
    <n v="1"/>
    <n v="0"/>
    <n v="1"/>
    <n v="16"/>
    <b v="0"/>
    <n v="4"/>
    <x v="5"/>
    <n v="1"/>
    <x v="1"/>
    <x v="0"/>
    <n v="0.2273"/>
    <n v="0.55000000000000004"/>
    <x v="1"/>
    <n v="0.19400000000000001"/>
    <n v="1"/>
    <n v="23"/>
    <n v="24"/>
  </r>
  <r>
    <n v="589"/>
    <d v="2011-01-27T00:00:00"/>
    <n v="1"/>
    <n v="0"/>
    <n v="1"/>
    <n v="17"/>
    <b v="0"/>
    <n v="4"/>
    <x v="5"/>
    <n v="1"/>
    <x v="1"/>
    <x v="0"/>
    <n v="0.2424"/>
    <n v="0.55000000000000004"/>
    <x v="1"/>
    <n v="0.1045"/>
    <n v="2"/>
    <n v="82"/>
    <n v="84"/>
  </r>
  <r>
    <n v="590"/>
    <d v="2011-01-27T00:00:00"/>
    <n v="1"/>
    <n v="0"/>
    <n v="1"/>
    <n v="18"/>
    <b v="0"/>
    <n v="4"/>
    <x v="5"/>
    <n v="1"/>
    <x v="2"/>
    <x v="0"/>
    <n v="0.2273"/>
    <n v="0.69"/>
    <x v="1"/>
    <n v="8.9599999999999999E-2"/>
    <n v="3"/>
    <n v="101"/>
    <n v="104"/>
  </r>
  <r>
    <n v="591"/>
    <d v="2011-01-27T00:00:00"/>
    <n v="1"/>
    <n v="0"/>
    <n v="1"/>
    <n v="19"/>
    <b v="0"/>
    <n v="4"/>
    <x v="5"/>
    <n v="1"/>
    <x v="2"/>
    <x v="0"/>
    <n v="0.2273"/>
    <n v="0.69"/>
    <x v="1"/>
    <n v="8.9599999999999999E-2"/>
    <n v="3"/>
    <n v="76"/>
    <n v="79"/>
  </r>
  <r>
    <n v="592"/>
    <d v="2011-01-27T00:00:00"/>
    <n v="1"/>
    <n v="0"/>
    <n v="1"/>
    <n v="20"/>
    <b v="0"/>
    <n v="4"/>
    <x v="5"/>
    <n v="1"/>
    <x v="15"/>
    <x v="0"/>
    <n v="0.21210000000000001"/>
    <n v="0.74"/>
    <x v="1"/>
    <n v="8.9599999999999999E-2"/>
    <n v="4"/>
    <n v="55"/>
    <n v="59"/>
  </r>
  <r>
    <n v="593"/>
    <d v="2011-01-27T00:00:00"/>
    <n v="1"/>
    <n v="0"/>
    <n v="1"/>
    <n v="21"/>
    <b v="0"/>
    <n v="4"/>
    <x v="5"/>
    <n v="1"/>
    <x v="15"/>
    <x v="0"/>
    <n v="0.21210000000000001"/>
    <n v="0.74"/>
    <x v="1"/>
    <n v="8.9599999999999999E-2"/>
    <n v="2"/>
    <n v="36"/>
    <n v="38"/>
  </r>
  <r>
    <n v="594"/>
    <d v="2011-01-27T00:00:00"/>
    <n v="1"/>
    <n v="0"/>
    <n v="1"/>
    <n v="22"/>
    <b v="0"/>
    <n v="4"/>
    <x v="5"/>
    <n v="1"/>
    <x v="15"/>
    <x v="0"/>
    <n v="0.21210000000000001"/>
    <n v="0.74"/>
    <x v="1"/>
    <n v="8.9599999999999999E-2"/>
    <n v="0"/>
    <n v="27"/>
    <n v="27"/>
  </r>
  <r>
    <n v="595"/>
    <d v="2011-01-27T00:00:00"/>
    <n v="1"/>
    <n v="0"/>
    <n v="1"/>
    <n v="23"/>
    <b v="0"/>
    <n v="4"/>
    <x v="5"/>
    <n v="1"/>
    <x v="15"/>
    <x v="0"/>
    <n v="0.19700000000000001"/>
    <n v="0.8"/>
    <x v="1"/>
    <n v="0.16420000000000001"/>
    <n v="0"/>
    <n v="16"/>
    <n v="16"/>
  </r>
  <r>
    <n v="596"/>
    <d v="2011-01-28T00:00:00"/>
    <n v="1"/>
    <n v="0"/>
    <n v="1"/>
    <n v="0"/>
    <b v="0"/>
    <n v="5"/>
    <x v="6"/>
    <n v="2"/>
    <x v="2"/>
    <x v="0"/>
    <n v="0.21210000000000001"/>
    <n v="0.75"/>
    <x v="1"/>
    <n v="0.1343"/>
    <n v="0"/>
    <n v="9"/>
    <n v="9"/>
  </r>
  <r>
    <n v="597"/>
    <d v="2011-01-28T00:00:00"/>
    <n v="1"/>
    <n v="0"/>
    <n v="1"/>
    <n v="1"/>
    <b v="0"/>
    <n v="5"/>
    <x v="6"/>
    <n v="2"/>
    <x v="2"/>
    <x v="0"/>
    <n v="0.21210000000000001"/>
    <n v="0.75"/>
    <x v="1"/>
    <n v="0.1343"/>
    <n v="1"/>
    <n v="2"/>
    <n v="3"/>
  </r>
  <r>
    <n v="598"/>
    <d v="2011-01-28T00:00:00"/>
    <n v="1"/>
    <n v="0"/>
    <n v="1"/>
    <n v="2"/>
    <b v="0"/>
    <n v="5"/>
    <x v="6"/>
    <n v="2"/>
    <x v="2"/>
    <x v="0"/>
    <n v="0.21210000000000001"/>
    <n v="0.75"/>
    <x v="1"/>
    <n v="0.16420000000000001"/>
    <n v="0"/>
    <n v="2"/>
    <n v="2"/>
  </r>
  <r>
    <n v="599"/>
    <d v="2011-01-28T00:00:00"/>
    <n v="1"/>
    <n v="0"/>
    <n v="1"/>
    <n v="3"/>
    <b v="0"/>
    <n v="5"/>
    <x v="6"/>
    <n v="2"/>
    <x v="2"/>
    <x v="0"/>
    <n v="0.2273"/>
    <n v="0.75"/>
    <x v="1"/>
    <n v="0.1045"/>
    <n v="1"/>
    <n v="0"/>
    <n v="1"/>
  </r>
  <r>
    <n v="600"/>
    <d v="2011-01-28T00:00:00"/>
    <n v="1"/>
    <n v="0"/>
    <n v="1"/>
    <n v="5"/>
    <b v="0"/>
    <n v="5"/>
    <x v="6"/>
    <n v="2"/>
    <x v="15"/>
    <x v="0"/>
    <n v="0.21210000000000001"/>
    <n v="0.8"/>
    <x v="1"/>
    <n v="0.1045"/>
    <n v="0"/>
    <n v="4"/>
    <n v="4"/>
  </r>
  <r>
    <n v="601"/>
    <d v="2011-01-28T00:00:00"/>
    <n v="1"/>
    <n v="0"/>
    <n v="1"/>
    <n v="6"/>
    <b v="0"/>
    <n v="5"/>
    <x v="6"/>
    <n v="2"/>
    <x v="15"/>
    <x v="0"/>
    <n v="0.19700000000000001"/>
    <n v="0.8"/>
    <x v="1"/>
    <n v="0.1343"/>
    <n v="0"/>
    <n v="16"/>
    <n v="16"/>
  </r>
  <r>
    <n v="602"/>
    <d v="2011-01-28T00:00:00"/>
    <n v="1"/>
    <n v="0"/>
    <n v="1"/>
    <n v="7"/>
    <b v="0"/>
    <n v="5"/>
    <x v="6"/>
    <n v="2"/>
    <x v="13"/>
    <x v="0"/>
    <n v="0.19700000000000001"/>
    <n v="0.86"/>
    <x v="0"/>
    <n v="8.9599999999999999E-2"/>
    <n v="2"/>
    <n v="58"/>
    <n v="60"/>
  </r>
  <r>
    <n v="603"/>
    <d v="2011-01-28T00:00:00"/>
    <n v="1"/>
    <n v="0"/>
    <n v="1"/>
    <n v="8"/>
    <b v="0"/>
    <n v="5"/>
    <x v="6"/>
    <n v="2"/>
    <x v="13"/>
    <x v="0"/>
    <n v="0.19700000000000001"/>
    <n v="0.86"/>
    <x v="0"/>
    <n v="8.9599999999999999E-2"/>
    <n v="2"/>
    <n v="155"/>
    <n v="157"/>
  </r>
  <r>
    <n v="604"/>
    <d v="2011-01-28T00:00:00"/>
    <n v="1"/>
    <n v="0"/>
    <n v="1"/>
    <n v="9"/>
    <b v="0"/>
    <n v="5"/>
    <x v="6"/>
    <n v="3"/>
    <x v="15"/>
    <x v="0"/>
    <n v="0.21210000000000001"/>
    <n v="0.86"/>
    <x v="0"/>
    <n v="8.9599999999999999E-2"/>
    <n v="6"/>
    <n v="95"/>
    <n v="101"/>
  </r>
  <r>
    <n v="605"/>
    <d v="2011-01-28T00:00:00"/>
    <n v="1"/>
    <n v="0"/>
    <n v="1"/>
    <n v="10"/>
    <b v="0"/>
    <n v="5"/>
    <x v="6"/>
    <n v="3"/>
    <x v="15"/>
    <x v="0"/>
    <n v="0.21210000000000001"/>
    <n v="0.86"/>
    <x v="0"/>
    <n v="0.1045"/>
    <n v="0"/>
    <n v="49"/>
    <n v="49"/>
  </r>
  <r>
    <n v="606"/>
    <d v="2011-01-28T00:00:00"/>
    <n v="1"/>
    <n v="0"/>
    <n v="1"/>
    <n v="11"/>
    <b v="0"/>
    <n v="5"/>
    <x v="6"/>
    <n v="3"/>
    <x v="15"/>
    <x v="0"/>
    <n v="0.21210000000000001"/>
    <n v="0.93"/>
    <x v="0"/>
    <n v="0.1045"/>
    <n v="0"/>
    <n v="30"/>
    <n v="30"/>
  </r>
  <r>
    <n v="607"/>
    <d v="2011-01-28T00:00:00"/>
    <n v="1"/>
    <n v="0"/>
    <n v="1"/>
    <n v="12"/>
    <b v="0"/>
    <n v="5"/>
    <x v="6"/>
    <n v="3"/>
    <x v="15"/>
    <x v="0"/>
    <n v="0.21210000000000001"/>
    <n v="0.93"/>
    <x v="0"/>
    <n v="0.1045"/>
    <n v="1"/>
    <n v="28"/>
    <n v="29"/>
  </r>
  <r>
    <n v="608"/>
    <d v="2011-01-28T00:00:00"/>
    <n v="1"/>
    <n v="0"/>
    <n v="1"/>
    <n v="13"/>
    <b v="0"/>
    <n v="5"/>
    <x v="6"/>
    <n v="3"/>
    <x v="15"/>
    <x v="0"/>
    <n v="0.21210000000000001"/>
    <n v="0.93"/>
    <x v="0"/>
    <n v="0.1045"/>
    <n v="0"/>
    <n v="31"/>
    <n v="31"/>
  </r>
  <r>
    <n v="609"/>
    <d v="2011-01-28T00:00:00"/>
    <n v="1"/>
    <n v="0"/>
    <n v="1"/>
    <n v="14"/>
    <b v="0"/>
    <n v="5"/>
    <x v="6"/>
    <n v="3"/>
    <x v="1"/>
    <x v="0"/>
    <n v="0.2727"/>
    <n v="0.8"/>
    <x v="1"/>
    <n v="0"/>
    <n v="2"/>
    <n v="36"/>
    <n v="38"/>
  </r>
  <r>
    <n v="610"/>
    <d v="2011-01-28T00:00:00"/>
    <n v="1"/>
    <n v="0"/>
    <n v="1"/>
    <n v="15"/>
    <b v="0"/>
    <n v="5"/>
    <x v="6"/>
    <n v="2"/>
    <x v="2"/>
    <x v="0"/>
    <n v="0.2576"/>
    <n v="0.86"/>
    <x v="0"/>
    <n v="0"/>
    <n v="1"/>
    <n v="40"/>
    <n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CE0A7-6E64-42EE-A34E-F98D584A0F58}" name="PivotTable6" cacheId="2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T3:W24" firstHeaderRow="0" firstDataRow="1" firstDataCol="1"/>
  <pivotFields count="19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>
      <items count="24">
        <item x="22"/>
        <item x="21"/>
        <item x="20"/>
        <item x="19"/>
        <item x="18"/>
        <item x="16"/>
        <item x="14"/>
        <item x="13"/>
        <item x="15"/>
        <item x="2"/>
        <item x="1"/>
        <item x="0"/>
        <item x="12"/>
        <item x="17"/>
        <item x="11"/>
        <item x="3"/>
        <item x="10"/>
        <item x="5"/>
        <item x="4"/>
        <item x="9"/>
        <item x="6"/>
        <item x="8"/>
        <item x="7"/>
        <item t="default"/>
      </items>
    </pivotField>
    <pivotField showAll="0">
      <items count="2">
        <item x="0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dataField="1" showAll="0"/>
    <pivotField dataField="1" showAll="0"/>
  </pivotFields>
  <rowFields count="2">
    <field x="8"/>
    <field x="14"/>
  </rowFields>
  <rowItems count="21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 v="1"/>
    </i>
    <i>
      <x v="6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gistered" fld="17" baseField="0" baseItem="0"/>
    <dataField name="Sum of cnt" fld="18" baseField="0" baseItem="0"/>
    <dataField name="Sum of casual" fld="16" baseField="0" baseItem="0"/>
  </dataFields>
  <chartFormats count="3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629EE7-2CC9-4FA0-A887-55B01FB20A0E}" name="Table2" displayName="Table2" ref="A1:R611" totalsRowShown="0" headerRowDxfId="19" dataDxfId="18">
  <tableColumns count="18">
    <tableColumn id="1" xr3:uid="{D8D3FC45-5251-487C-9BBC-C7AED549482B}" name="instant" dataDxfId="17"/>
    <tableColumn id="2" xr3:uid="{EF38E00B-FC27-4ED6-85ED-5377D2F86677}" name="dteday" dataDxfId="16"/>
    <tableColumn id="3" xr3:uid="{51004E86-73DE-4AE1-90C1-4EA4A2B81375}" name="season" dataDxfId="15"/>
    <tableColumn id="4" xr3:uid="{DC8D3069-1706-4AF6-8F94-C78B02E06DC0}" name="yr" dataDxfId="14"/>
    <tableColumn id="5" xr3:uid="{B3CD03EF-9C7E-45DC-ADA8-D34BA55AEFB5}" name="mnth" dataDxfId="13"/>
    <tableColumn id="6" xr3:uid="{8CE0991C-5B5B-49D6-AE64-7D2C12F1DD3E}" name="hr" dataDxfId="12"/>
    <tableColumn id="7" xr3:uid="{C24FB63C-309B-4970-A85C-871CF5FB6625}" name="holiday" dataDxfId="11"/>
    <tableColumn id="8" xr3:uid="{FB9C74CE-6AF0-4833-AE46-9487D44A40BA}" name="weekday" dataDxfId="10"/>
    <tableColumn id="19" xr3:uid="{08BC23A2-65E9-4430-ACEB-D0F3DD074514}" name="Week By Days" dataDxfId="9">
      <calculatedColumnFormula>CHOOSE(H2+1,"Monday","Tuesday","Wednesday","Thursday","Friday","Saturday","Sunday")</calculatedColumnFormula>
    </tableColumn>
    <tableColumn id="9" xr3:uid="{225B451B-E50F-46D2-AFFF-DF774E795F67}" name="weathersit" dataDxfId="8"/>
    <tableColumn id="10" xr3:uid="{08E6C352-BB1E-42A6-A6B3-B91C356D42F4}" name="temp" dataDxfId="7"/>
    <tableColumn id="12" xr3:uid="{CB7EB2DD-D9EA-48D8-BD62-515C9DAC9EF3}" name="atemp" dataDxfId="6"/>
    <tableColumn id="13" xr3:uid="{B48C10D3-6023-452B-A13E-66993ACC360C}" name="hum" dataDxfId="5"/>
    <tableColumn id="11" xr3:uid="{39DD3B07-08D1-44FA-9F4C-86A2B7157E6B}" name="Humidity" dataDxfId="4">
      <calculatedColumnFormula>IF(Table2[[#This Row],[hum]]&lt;=0.8,"Humid",IF(Table2[[#This Row],[hum]]&gt;=0.8,"High Humid"))</calculatedColumnFormula>
    </tableColumn>
    <tableColumn id="14" xr3:uid="{924032FA-D10D-4081-8FB0-E8409106D7E4}" name="windspeed" dataDxfId="3"/>
    <tableColumn id="15" xr3:uid="{D5A46765-4834-4C0D-B7D1-C46BEEED57EC}" name="casual" dataDxfId="2"/>
    <tableColumn id="16" xr3:uid="{081C9117-0F68-49DB-A28F-B99F58772DC3}" name="registered" dataDxfId="1"/>
    <tableColumn id="17" xr3:uid="{04480E6B-2006-479E-B5D2-08AC178AC087}" name="c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A1CA0-4AB5-4B39-8B61-180E51B1B7D8}">
  <sheetPr>
    <tabColor rgb="FF09DCE7"/>
  </sheetPr>
  <dimension ref="A1:W611"/>
  <sheetViews>
    <sheetView tabSelected="1" workbookViewId="0">
      <selection activeCell="F13" sqref="F13"/>
    </sheetView>
  </sheetViews>
  <sheetFormatPr defaultRowHeight="15" x14ac:dyDescent="0.25"/>
  <cols>
    <col min="1" max="1" width="11.7109375" bestFit="1" customWidth="1"/>
    <col min="2" max="2" width="11.7109375" style="2" bestFit="1" customWidth="1"/>
    <col min="3" max="3" width="11.7109375" bestFit="1" customWidth="1"/>
    <col min="4" max="4" width="7.28515625" bestFit="1" customWidth="1"/>
    <col min="5" max="5" width="9.140625" customWidth="1"/>
    <col min="7" max="7" width="9.7109375" customWidth="1"/>
    <col min="8" max="8" width="11.140625" customWidth="1"/>
    <col min="9" max="9" width="15" bestFit="1" customWidth="1"/>
    <col min="10" max="10" width="11.5703125" bestFit="1" customWidth="1"/>
    <col min="14" max="14" width="11.85546875" style="1" bestFit="1" customWidth="1"/>
    <col min="15" max="15" width="13" customWidth="1"/>
    <col min="17" max="17" width="12.28515625" customWidth="1"/>
    <col min="20" max="20" width="15" bestFit="1" customWidth="1"/>
    <col min="21" max="21" width="16.85546875" bestFit="1" customWidth="1"/>
    <col min="22" max="22" width="10.28515625" bestFit="1" customWidth="1"/>
    <col min="23" max="23" width="13.140625" bestFit="1" customWidth="1"/>
  </cols>
  <sheetData>
    <row r="1" spans="1:23" x14ac:dyDescent="0.25">
      <c r="A1" s="5" t="s">
        <v>31</v>
      </c>
      <c r="B1" s="7" t="s">
        <v>30</v>
      </c>
      <c r="C1" s="5" t="s">
        <v>29</v>
      </c>
      <c r="D1" s="5" t="s">
        <v>28</v>
      </c>
      <c r="E1" s="5" t="s">
        <v>27</v>
      </c>
      <c r="F1" s="5" t="s">
        <v>26</v>
      </c>
      <c r="G1" s="5" t="s">
        <v>25</v>
      </c>
      <c r="H1" s="5" t="s">
        <v>24</v>
      </c>
      <c r="I1" s="5" t="s">
        <v>23</v>
      </c>
      <c r="J1" s="5" t="s">
        <v>22</v>
      </c>
      <c r="K1" s="5" t="s">
        <v>21</v>
      </c>
      <c r="L1" s="5" t="s">
        <v>20</v>
      </c>
      <c r="M1" s="5" t="s">
        <v>19</v>
      </c>
      <c r="N1" s="6" t="s">
        <v>18</v>
      </c>
      <c r="O1" s="5" t="s">
        <v>17</v>
      </c>
      <c r="P1" s="5" t="s">
        <v>16</v>
      </c>
      <c r="Q1" s="5" t="s">
        <v>15</v>
      </c>
      <c r="R1" s="5" t="s">
        <v>14</v>
      </c>
    </row>
    <row r="2" spans="1:23" x14ac:dyDescent="0.25">
      <c r="A2">
        <v>1</v>
      </c>
      <c r="B2" s="2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 t="str">
        <f>CHOOSE(H2+1,"Monday","Tuesday","Wednesday","Thursday","Friday","Saturday","Sunday")</f>
        <v>Sunday</v>
      </c>
      <c r="J2">
        <v>1</v>
      </c>
      <c r="K2">
        <v>0.24</v>
      </c>
      <c r="L2">
        <v>0.28789999999999999</v>
      </c>
      <c r="M2">
        <v>0.81</v>
      </c>
      <c r="N2" s="1" t="str">
        <f>IF(Table2[[#This Row],[hum]]&lt;=0.8,"Humid",IF(Table2[[#This Row],[hum]]&gt;=0.8,"High Humid"))</f>
        <v>High Humid</v>
      </c>
      <c r="O2">
        <v>0</v>
      </c>
      <c r="P2">
        <v>3</v>
      </c>
      <c r="Q2">
        <v>13</v>
      </c>
      <c r="R2">
        <v>16</v>
      </c>
    </row>
    <row r="3" spans="1:23" x14ac:dyDescent="0.25">
      <c r="A3">
        <v>2</v>
      </c>
      <c r="B3" s="2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 t="str">
        <f>CHOOSE(H3+1,"Monday","Tuesday","Wednesday","Thursday","Friday","Saturday","Sunday")</f>
        <v>Sunday</v>
      </c>
      <c r="J3">
        <v>1</v>
      </c>
      <c r="K3">
        <v>0.22</v>
      </c>
      <c r="L3">
        <v>0.2727</v>
      </c>
      <c r="M3">
        <v>0.8</v>
      </c>
      <c r="N3" s="1" t="str">
        <f>IF(Table2[[#This Row],[hum]]&lt;=0.8,"Humid",IF(Table2[[#This Row],[hum]]&gt;=0.8,"High Humid"))</f>
        <v>Humid</v>
      </c>
      <c r="O3">
        <v>0</v>
      </c>
      <c r="P3">
        <v>8</v>
      </c>
      <c r="Q3">
        <v>32</v>
      </c>
      <c r="R3">
        <v>40</v>
      </c>
      <c r="T3" s="4" t="s">
        <v>13</v>
      </c>
      <c r="U3" t="s">
        <v>12</v>
      </c>
      <c r="V3" t="s">
        <v>11</v>
      </c>
      <c r="W3" t="s">
        <v>10</v>
      </c>
    </row>
    <row r="4" spans="1:23" x14ac:dyDescent="0.25">
      <c r="A4">
        <v>3</v>
      </c>
      <c r="B4" s="2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 t="str">
        <f>CHOOSE(H4+1,"Monday","Tuesday","Wednesday","Thursday","Friday","Saturday","Sunday")</f>
        <v>Sunday</v>
      </c>
      <c r="J4">
        <v>1</v>
      </c>
      <c r="K4">
        <v>0.22</v>
      </c>
      <c r="L4">
        <v>0.2727</v>
      </c>
      <c r="M4">
        <v>0.8</v>
      </c>
      <c r="N4" s="1" t="str">
        <f>IF(Table2[[#This Row],[hum]]&lt;=0.8,"Humid",IF(Table2[[#This Row],[hum]]&gt;=0.8,"High Humid"))</f>
        <v>Humid</v>
      </c>
      <c r="O4">
        <v>0</v>
      </c>
      <c r="P4">
        <v>5</v>
      </c>
      <c r="Q4">
        <v>27</v>
      </c>
      <c r="R4">
        <v>32</v>
      </c>
      <c r="T4" s="1" t="s">
        <v>9</v>
      </c>
      <c r="U4">
        <v>3459</v>
      </c>
      <c r="V4">
        <v>4173</v>
      </c>
      <c r="W4">
        <v>714</v>
      </c>
    </row>
    <row r="5" spans="1:23" x14ac:dyDescent="0.25">
      <c r="A5">
        <v>4</v>
      </c>
      <c r="B5" s="2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 t="str">
        <f>CHOOSE(H5+1,"Monday","Tuesday","Wednesday","Thursday","Friday","Saturday","Sunday")</f>
        <v>Sunday</v>
      </c>
      <c r="J5">
        <v>1</v>
      </c>
      <c r="K5">
        <v>0.24</v>
      </c>
      <c r="L5">
        <v>0.28789999999999999</v>
      </c>
      <c r="M5">
        <v>0.75</v>
      </c>
      <c r="N5" s="1" t="str">
        <f>IF(Table2[[#This Row],[hum]]&lt;=0.8,"Humid",IF(Table2[[#This Row],[hum]]&gt;=0.8,"High Humid"))</f>
        <v>Humid</v>
      </c>
      <c r="O5">
        <v>0</v>
      </c>
      <c r="P5">
        <v>3</v>
      </c>
      <c r="Q5">
        <v>10</v>
      </c>
      <c r="R5">
        <v>13</v>
      </c>
      <c r="T5" s="3" t="s">
        <v>2</v>
      </c>
      <c r="U5">
        <v>338</v>
      </c>
      <c r="V5">
        <v>479</v>
      </c>
      <c r="W5">
        <v>141</v>
      </c>
    </row>
    <row r="6" spans="1:23" x14ac:dyDescent="0.25">
      <c r="A6">
        <v>5</v>
      </c>
      <c r="B6" s="2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 t="str">
        <f>CHOOSE(H6+1,"Monday","Tuesday","Wednesday","Thursday","Friday","Saturday","Sunday")</f>
        <v>Sunday</v>
      </c>
      <c r="J6">
        <v>1</v>
      </c>
      <c r="K6">
        <v>0.24</v>
      </c>
      <c r="L6">
        <v>0.28789999999999999</v>
      </c>
      <c r="M6">
        <v>0.75</v>
      </c>
      <c r="N6" s="1" t="str">
        <f>IF(Table2[[#This Row],[hum]]&lt;=0.8,"Humid",IF(Table2[[#This Row],[hum]]&gt;=0.8,"High Humid"))</f>
        <v>Humid</v>
      </c>
      <c r="O6">
        <v>0</v>
      </c>
      <c r="P6">
        <v>0</v>
      </c>
      <c r="Q6">
        <v>1</v>
      </c>
      <c r="R6">
        <v>1</v>
      </c>
      <c r="T6" s="3" t="s">
        <v>1</v>
      </c>
      <c r="U6">
        <v>3121</v>
      </c>
      <c r="V6">
        <v>3694</v>
      </c>
      <c r="W6">
        <v>573</v>
      </c>
    </row>
    <row r="7" spans="1:23" x14ac:dyDescent="0.25">
      <c r="A7">
        <v>6</v>
      </c>
      <c r="B7" s="2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 t="str">
        <f>CHOOSE(H7+1,"Monday","Tuesday","Wednesday","Thursday","Friday","Saturday","Sunday")</f>
        <v>Sunday</v>
      </c>
      <c r="J7">
        <v>2</v>
      </c>
      <c r="K7">
        <v>0.24</v>
      </c>
      <c r="L7">
        <v>0.2576</v>
      </c>
      <c r="M7">
        <v>0.75</v>
      </c>
      <c r="N7" s="1" t="str">
        <f>IF(Table2[[#This Row],[hum]]&lt;=0.8,"Humid",IF(Table2[[#This Row],[hum]]&gt;=0.8,"High Humid"))</f>
        <v>Humid</v>
      </c>
      <c r="O7">
        <v>8.9599999999999999E-2</v>
      </c>
      <c r="P7">
        <v>0</v>
      </c>
      <c r="Q7">
        <v>1</v>
      </c>
      <c r="R7">
        <v>1</v>
      </c>
      <c r="T7" s="1" t="s">
        <v>8</v>
      </c>
      <c r="U7">
        <v>3227</v>
      </c>
      <c r="V7">
        <v>3813</v>
      </c>
      <c r="W7">
        <v>586</v>
      </c>
    </row>
    <row r="8" spans="1:23" x14ac:dyDescent="0.25">
      <c r="A8">
        <v>7</v>
      </c>
      <c r="B8" s="2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 t="str">
        <f>CHOOSE(H8+1,"Monday","Tuesday","Wednesday","Thursday","Friday","Saturday","Sunday")</f>
        <v>Sunday</v>
      </c>
      <c r="J8">
        <v>1</v>
      </c>
      <c r="K8">
        <v>0.22</v>
      </c>
      <c r="L8">
        <v>0.2727</v>
      </c>
      <c r="M8">
        <v>0.8</v>
      </c>
      <c r="N8" s="1" t="str">
        <f>IF(Table2[[#This Row],[hum]]&lt;=0.8,"Humid",IF(Table2[[#This Row],[hum]]&gt;=0.8,"High Humid"))</f>
        <v>Humid</v>
      </c>
      <c r="O8">
        <v>0</v>
      </c>
      <c r="P8">
        <v>2</v>
      </c>
      <c r="Q8">
        <v>0</v>
      </c>
      <c r="R8">
        <v>2</v>
      </c>
      <c r="T8" s="3" t="s">
        <v>2</v>
      </c>
      <c r="U8">
        <v>143</v>
      </c>
      <c r="V8">
        <v>179</v>
      </c>
      <c r="W8">
        <v>36</v>
      </c>
    </row>
    <row r="9" spans="1:23" x14ac:dyDescent="0.25">
      <c r="A9">
        <v>8</v>
      </c>
      <c r="B9" s="2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 t="str">
        <f>CHOOSE(H9+1,"Monday","Tuesday","Wednesday","Thursday","Friday","Saturday","Sunday")</f>
        <v>Sunday</v>
      </c>
      <c r="J9">
        <v>1</v>
      </c>
      <c r="K9">
        <v>0.2</v>
      </c>
      <c r="L9">
        <v>0.2576</v>
      </c>
      <c r="M9">
        <v>0.86</v>
      </c>
      <c r="N9" s="1" t="str">
        <f>IF(Table2[[#This Row],[hum]]&lt;=0.8,"Humid",IF(Table2[[#This Row],[hum]]&gt;=0.8,"High Humid"))</f>
        <v>High Humid</v>
      </c>
      <c r="O9">
        <v>0</v>
      </c>
      <c r="P9">
        <v>1</v>
      </c>
      <c r="Q9">
        <v>2</v>
      </c>
      <c r="R9">
        <v>3</v>
      </c>
      <c r="T9" s="3" t="s">
        <v>1</v>
      </c>
      <c r="U9">
        <v>3084</v>
      </c>
      <c r="V9">
        <v>3634</v>
      </c>
      <c r="W9">
        <v>550</v>
      </c>
    </row>
    <row r="10" spans="1:23" x14ac:dyDescent="0.25">
      <c r="A10">
        <v>9</v>
      </c>
      <c r="B10" s="2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 t="str">
        <f>CHOOSE(H10+1,"Monday","Tuesday","Wednesday","Thursday","Friday","Saturday","Sunday")</f>
        <v>Sunday</v>
      </c>
      <c r="J10">
        <v>1</v>
      </c>
      <c r="K10">
        <v>0.24</v>
      </c>
      <c r="M10">
        <v>0.75</v>
      </c>
      <c r="N10" s="1" t="str">
        <f>IF(Table2[[#This Row],[hum]]&lt;=0.8,"Humid",IF(Table2[[#This Row],[hum]]&gt;=0.8,"High Humid"))</f>
        <v>Humid</v>
      </c>
      <c r="O10">
        <v>0</v>
      </c>
      <c r="P10">
        <v>1</v>
      </c>
      <c r="Q10">
        <v>7</v>
      </c>
      <c r="R10">
        <v>8</v>
      </c>
      <c r="T10" s="1" t="s">
        <v>7</v>
      </c>
      <c r="U10">
        <v>4722</v>
      </c>
      <c r="V10">
        <v>5086</v>
      </c>
      <c r="W10">
        <v>364</v>
      </c>
    </row>
    <row r="11" spans="1:23" x14ac:dyDescent="0.25">
      <c r="A11">
        <v>10</v>
      </c>
      <c r="B11" s="2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 t="str">
        <f>CHOOSE(H11+1,"Monday","Tuesday","Wednesday","Thursday","Friday","Saturday","Sunday")</f>
        <v>Sunday</v>
      </c>
      <c r="J11">
        <v>1</v>
      </c>
      <c r="K11">
        <v>0.32</v>
      </c>
      <c r="L11">
        <v>0.34849999999999998</v>
      </c>
      <c r="M11">
        <v>0.76</v>
      </c>
      <c r="N11" s="1" t="str">
        <f>IF(Table2[[#This Row],[hum]]&lt;=0.8,"Humid",IF(Table2[[#This Row],[hum]]&gt;=0.8,"High Humid"))</f>
        <v>Humid</v>
      </c>
      <c r="O11">
        <v>0</v>
      </c>
      <c r="P11">
        <v>8</v>
      </c>
      <c r="Q11">
        <v>6</v>
      </c>
      <c r="R11">
        <v>14</v>
      </c>
      <c r="T11" s="3" t="s">
        <v>2</v>
      </c>
      <c r="U11">
        <v>16</v>
      </c>
      <c r="V11">
        <v>17</v>
      </c>
      <c r="W11">
        <v>1</v>
      </c>
    </row>
    <row r="12" spans="1:23" x14ac:dyDescent="0.25">
      <c r="A12">
        <v>11</v>
      </c>
      <c r="B12" s="2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 t="str">
        <f>CHOOSE(H12+1,"Monday","Tuesday","Wednesday","Thursday","Friday","Saturday","Sunday")</f>
        <v>Sunday</v>
      </c>
      <c r="J12">
        <v>1</v>
      </c>
      <c r="K12">
        <v>0.38</v>
      </c>
      <c r="L12">
        <v>0.39389999999999997</v>
      </c>
      <c r="M12">
        <v>0.76</v>
      </c>
      <c r="N12" s="1" t="str">
        <f>IF(Table2[[#This Row],[hum]]&lt;=0.8,"Humid",IF(Table2[[#This Row],[hum]]&gt;=0.8,"High Humid"))</f>
        <v>Humid</v>
      </c>
      <c r="O12">
        <v>0.25369999999999998</v>
      </c>
      <c r="P12">
        <v>12</v>
      </c>
      <c r="Q12">
        <v>24</v>
      </c>
      <c r="R12">
        <v>36</v>
      </c>
      <c r="T12" s="3" t="s">
        <v>1</v>
      </c>
      <c r="U12">
        <v>4706</v>
      </c>
      <c r="V12">
        <v>5069</v>
      </c>
      <c r="W12">
        <v>363</v>
      </c>
    </row>
    <row r="13" spans="1:23" x14ac:dyDescent="0.25">
      <c r="A13">
        <v>12</v>
      </c>
      <c r="B13" s="2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 t="str">
        <f>CHOOSE(H13+1,"Monday","Tuesday","Wednesday","Thursday","Friday","Saturday","Sunday")</f>
        <v>Sunday</v>
      </c>
      <c r="J13">
        <v>1</v>
      </c>
      <c r="K13">
        <v>0.36</v>
      </c>
      <c r="L13">
        <v>0.33329999999999999</v>
      </c>
      <c r="M13">
        <v>0.81</v>
      </c>
      <c r="N13" s="1" t="str">
        <f>IF(Table2[[#This Row],[hum]]&lt;=0.8,"Humid",IF(Table2[[#This Row],[hum]]&gt;=0.8,"High Humid"))</f>
        <v>High Humid</v>
      </c>
      <c r="O13">
        <v>0.28360000000000002</v>
      </c>
      <c r="P13">
        <v>26</v>
      </c>
      <c r="Q13">
        <v>30</v>
      </c>
      <c r="R13">
        <v>56</v>
      </c>
      <c r="T13" s="1" t="s">
        <v>6</v>
      </c>
      <c r="U13">
        <v>5147</v>
      </c>
      <c r="V13">
        <v>5493</v>
      </c>
      <c r="W13">
        <v>346</v>
      </c>
    </row>
    <row r="14" spans="1:23" x14ac:dyDescent="0.25">
      <c r="A14">
        <v>13</v>
      </c>
      <c r="B14" s="2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 t="str">
        <f>CHOOSE(H14+1,"Monday","Tuesday","Wednesday","Thursday","Friday","Saturday","Sunday")</f>
        <v>Sunday</v>
      </c>
      <c r="J14">
        <v>1</v>
      </c>
      <c r="K14">
        <v>0.42</v>
      </c>
      <c r="L14">
        <v>0.42420000000000002</v>
      </c>
      <c r="M14">
        <v>0.77</v>
      </c>
      <c r="N14" s="1" t="str">
        <f>IF(Table2[[#This Row],[hum]]&lt;=0.8,"Humid",IF(Table2[[#This Row],[hum]]&gt;=0.8,"High Humid"))</f>
        <v>Humid</v>
      </c>
      <c r="O14">
        <v>0.28360000000000002</v>
      </c>
      <c r="P14">
        <v>29</v>
      </c>
      <c r="Q14">
        <v>55</v>
      </c>
      <c r="R14">
        <v>84</v>
      </c>
      <c r="T14" s="3" t="s">
        <v>2</v>
      </c>
      <c r="U14">
        <v>863</v>
      </c>
      <c r="V14">
        <v>881</v>
      </c>
      <c r="W14">
        <v>18</v>
      </c>
    </row>
    <row r="15" spans="1:23" x14ac:dyDescent="0.25">
      <c r="A15">
        <v>14</v>
      </c>
      <c r="B15" s="2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 t="str">
        <f>CHOOSE(H15+1,"Monday","Tuesday","Wednesday","Thursday","Friday","Saturday","Sunday")</f>
        <v>Sunday</v>
      </c>
      <c r="J15">
        <v>2</v>
      </c>
      <c r="K15">
        <v>0.46</v>
      </c>
      <c r="L15">
        <v>0.45450000000000002</v>
      </c>
      <c r="M15">
        <v>0.72</v>
      </c>
      <c r="N15" s="1" t="str">
        <f>IF(Table2[[#This Row],[hum]]&lt;=0.8,"Humid",IF(Table2[[#This Row],[hum]]&gt;=0.8,"High Humid"))</f>
        <v>Humid</v>
      </c>
      <c r="O15">
        <v>0.29849999999999999</v>
      </c>
      <c r="P15">
        <v>47</v>
      </c>
      <c r="Q15">
        <v>47</v>
      </c>
      <c r="R15">
        <v>94</v>
      </c>
      <c r="T15" s="3" t="s">
        <v>1</v>
      </c>
      <c r="U15">
        <v>4284</v>
      </c>
      <c r="V15">
        <v>4612</v>
      </c>
      <c r="W15">
        <v>328</v>
      </c>
    </row>
    <row r="16" spans="1:23" x14ac:dyDescent="0.25">
      <c r="A16">
        <v>15</v>
      </c>
      <c r="B16" s="2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 t="str">
        <f>CHOOSE(H16+1,"Monday","Tuesday","Wednesday","Thursday","Friday","Saturday","Sunday")</f>
        <v>Sunday</v>
      </c>
      <c r="J16">
        <v>2</v>
      </c>
      <c r="K16">
        <v>0.46</v>
      </c>
      <c r="L16">
        <v>0.45450000000000002</v>
      </c>
      <c r="M16">
        <v>0.72</v>
      </c>
      <c r="N16" s="1" t="str">
        <f>IF(Table2[[#This Row],[hum]]&lt;=0.8,"Humid",IF(Table2[[#This Row],[hum]]&gt;=0.8,"High Humid"))</f>
        <v>Humid</v>
      </c>
      <c r="O16">
        <v>0.28360000000000002</v>
      </c>
      <c r="P16">
        <v>35</v>
      </c>
      <c r="Q16">
        <v>71</v>
      </c>
      <c r="R16">
        <v>106</v>
      </c>
      <c r="T16" s="1" t="s">
        <v>5</v>
      </c>
      <c r="U16">
        <v>4699</v>
      </c>
      <c r="V16">
        <v>4918</v>
      </c>
      <c r="W16">
        <v>219</v>
      </c>
    </row>
    <row r="17" spans="1:23" x14ac:dyDescent="0.25">
      <c r="A17">
        <v>16</v>
      </c>
      <c r="B17" s="2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 t="str">
        <f>CHOOSE(H17+1,"Monday","Tuesday","Wednesday","Thursday","Friday","Saturday","Sunday")</f>
        <v>Sunday</v>
      </c>
      <c r="J17">
        <v>2</v>
      </c>
      <c r="K17">
        <v>0.44</v>
      </c>
      <c r="L17">
        <v>0.43940000000000001</v>
      </c>
      <c r="M17">
        <v>0.77</v>
      </c>
      <c r="N17" s="1" t="str">
        <f>IF(Table2[[#This Row],[hum]]&lt;=0.8,"Humid",IF(Table2[[#This Row],[hum]]&gt;=0.8,"High Humid"))</f>
        <v>Humid</v>
      </c>
      <c r="O17">
        <v>0.29849999999999999</v>
      </c>
      <c r="P17">
        <v>40</v>
      </c>
      <c r="Q17">
        <v>70</v>
      </c>
      <c r="R17">
        <v>110</v>
      </c>
      <c r="T17" s="3" t="s">
        <v>2</v>
      </c>
      <c r="U17">
        <v>1083</v>
      </c>
      <c r="V17">
        <v>1128</v>
      </c>
      <c r="W17">
        <v>45</v>
      </c>
    </row>
    <row r="18" spans="1:23" x14ac:dyDescent="0.25">
      <c r="A18">
        <v>17</v>
      </c>
      <c r="B18" s="2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 t="str">
        <f>CHOOSE(H18+1,"Monday","Tuesday","Wednesday","Thursday","Friday","Saturday","Sunday")</f>
        <v>Sunday</v>
      </c>
      <c r="J18">
        <v>2</v>
      </c>
      <c r="K18">
        <v>0.42</v>
      </c>
      <c r="L18">
        <v>0.42420000000000002</v>
      </c>
      <c r="M18">
        <v>0.82</v>
      </c>
      <c r="N18" s="1" t="str">
        <f>IF(Table2[[#This Row],[hum]]&lt;=0.8,"Humid",IF(Table2[[#This Row],[hum]]&gt;=0.8,"High Humid"))</f>
        <v>High Humid</v>
      </c>
      <c r="O18">
        <v>0.29849999999999999</v>
      </c>
      <c r="P18">
        <v>41</v>
      </c>
      <c r="Q18">
        <v>52</v>
      </c>
      <c r="R18">
        <v>93</v>
      </c>
      <c r="T18" s="3" t="s">
        <v>1</v>
      </c>
      <c r="U18">
        <v>3616</v>
      </c>
      <c r="V18">
        <v>3790</v>
      </c>
      <c r="W18">
        <v>174</v>
      </c>
    </row>
    <row r="19" spans="1:23" x14ac:dyDescent="0.25">
      <c r="A19">
        <v>18</v>
      </c>
      <c r="B19" s="2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 t="str">
        <f>CHOOSE(H19+1,"Monday","Tuesday","Wednesday","Thursday","Friday","Saturday","Sunday")</f>
        <v>Sunday</v>
      </c>
      <c r="J19">
        <v>2</v>
      </c>
      <c r="K19">
        <v>0.44</v>
      </c>
      <c r="M19">
        <v>0.82</v>
      </c>
      <c r="N19" s="1" t="str">
        <f>IF(Table2[[#This Row],[hum]]&lt;=0.8,"Humid",IF(Table2[[#This Row],[hum]]&gt;=0.8,"High Humid"))</f>
        <v>High Humid</v>
      </c>
      <c r="O19">
        <v>0.28360000000000002</v>
      </c>
      <c r="P19">
        <v>15</v>
      </c>
      <c r="Q19">
        <v>52</v>
      </c>
      <c r="R19">
        <v>67</v>
      </c>
      <c r="T19" s="1" t="s">
        <v>4</v>
      </c>
      <c r="U19">
        <v>5146</v>
      </c>
      <c r="V19">
        <v>5370</v>
      </c>
      <c r="W19">
        <v>224</v>
      </c>
    </row>
    <row r="20" spans="1:23" x14ac:dyDescent="0.25">
      <c r="A20">
        <v>19</v>
      </c>
      <c r="B20" s="2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 t="str">
        <f>CHOOSE(H20+1,"Monday","Tuesday","Wednesday","Thursday","Friday","Saturday","Sunday")</f>
        <v>Sunday</v>
      </c>
      <c r="J20">
        <v>3</v>
      </c>
      <c r="K20">
        <v>0.42</v>
      </c>
      <c r="L20">
        <v>0.42420000000000002</v>
      </c>
      <c r="M20">
        <v>0.88</v>
      </c>
      <c r="N20" s="1" t="str">
        <f>IF(Table2[[#This Row],[hum]]&lt;=0.8,"Humid",IF(Table2[[#This Row],[hum]]&gt;=0.8,"High Humid"))</f>
        <v>High Humid</v>
      </c>
      <c r="O20">
        <v>0.25369999999999998</v>
      </c>
      <c r="P20">
        <v>9</v>
      </c>
      <c r="Q20">
        <v>26</v>
      </c>
      <c r="R20">
        <v>35</v>
      </c>
      <c r="T20" s="3" t="s">
        <v>1</v>
      </c>
      <c r="U20">
        <v>5146</v>
      </c>
      <c r="V20">
        <v>5370</v>
      </c>
      <c r="W20">
        <v>224</v>
      </c>
    </row>
    <row r="21" spans="1:23" x14ac:dyDescent="0.25">
      <c r="A21">
        <v>20</v>
      </c>
      <c r="B21" s="2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 t="str">
        <f>CHOOSE(H21+1,"Monday","Tuesday","Wednesday","Thursday","Friday","Saturday","Sunday")</f>
        <v>Sunday</v>
      </c>
      <c r="J21">
        <v>3</v>
      </c>
      <c r="K21">
        <v>0.42</v>
      </c>
      <c r="L21">
        <v>0.42420000000000002</v>
      </c>
      <c r="M21">
        <v>0.88</v>
      </c>
      <c r="N21" s="1" t="str">
        <f>IF(Table2[[#This Row],[hum]]&lt;=0.8,"Humid",IF(Table2[[#This Row],[hum]]&gt;=0.8,"High Humid"))</f>
        <v>High Humid</v>
      </c>
      <c r="O21">
        <v>0.25369999999999998</v>
      </c>
      <c r="P21">
        <v>6</v>
      </c>
      <c r="Q21">
        <v>31</v>
      </c>
      <c r="R21">
        <v>37</v>
      </c>
      <c r="T21" s="1" t="s">
        <v>3</v>
      </c>
      <c r="U21">
        <v>4752</v>
      </c>
      <c r="V21">
        <v>5045</v>
      </c>
      <c r="W21">
        <v>293</v>
      </c>
    </row>
    <row r="22" spans="1:23" x14ac:dyDescent="0.25">
      <c r="A22">
        <v>21</v>
      </c>
      <c r="B22" s="2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 t="str">
        <f>CHOOSE(H22+1,"Monday","Tuesday","Wednesday","Thursday","Friday","Saturday","Sunday")</f>
        <v>Sunday</v>
      </c>
      <c r="J22">
        <v>2</v>
      </c>
      <c r="K22">
        <v>0.4</v>
      </c>
      <c r="L22">
        <v>0.40910000000000002</v>
      </c>
      <c r="M22">
        <v>0.87</v>
      </c>
      <c r="N22" s="1" t="str">
        <f>IF(Table2[[#This Row],[hum]]&lt;=0.8,"Humid",IF(Table2[[#This Row],[hum]]&gt;=0.8,"High Humid"))</f>
        <v>High Humid</v>
      </c>
      <c r="O22">
        <v>0.25369999999999998</v>
      </c>
      <c r="P22">
        <v>11</v>
      </c>
      <c r="Q22">
        <v>25</v>
      </c>
      <c r="R22">
        <v>36</v>
      </c>
      <c r="T22" s="3" t="s">
        <v>2</v>
      </c>
      <c r="U22">
        <v>487</v>
      </c>
      <c r="V22">
        <v>499</v>
      </c>
      <c r="W22">
        <v>12</v>
      </c>
    </row>
    <row r="23" spans="1:23" x14ac:dyDescent="0.25">
      <c r="A23">
        <v>22</v>
      </c>
      <c r="B23" s="2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 t="str">
        <f>CHOOSE(H23+1,"Monday","Tuesday","Wednesday","Thursday","Friday","Saturday","Sunday")</f>
        <v>Sunday</v>
      </c>
      <c r="J23">
        <v>2</v>
      </c>
      <c r="K23">
        <v>0.4</v>
      </c>
      <c r="L23">
        <v>0.40910000000000002</v>
      </c>
      <c r="M23">
        <v>0.87</v>
      </c>
      <c r="N23" s="1" t="str">
        <f>IF(Table2[[#This Row],[hum]]&lt;=0.8,"Humid",IF(Table2[[#This Row],[hum]]&gt;=0.8,"High Humid"))</f>
        <v>High Humid</v>
      </c>
      <c r="O23">
        <v>0.19400000000000001</v>
      </c>
      <c r="P23">
        <v>3</v>
      </c>
      <c r="Q23">
        <v>31</v>
      </c>
      <c r="R23">
        <v>34</v>
      </c>
      <c r="T23" s="3" t="s">
        <v>1</v>
      </c>
      <c r="U23">
        <v>4265</v>
      </c>
      <c r="V23">
        <v>4546</v>
      </c>
      <c r="W23">
        <v>281</v>
      </c>
    </row>
    <row r="24" spans="1:23" x14ac:dyDescent="0.25">
      <c r="A24">
        <v>23</v>
      </c>
      <c r="B24" s="2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 t="str">
        <f>CHOOSE(H24+1,"Monday","Tuesday","Wednesday","Thursday","Friday","Saturday","Sunday")</f>
        <v>Sunday</v>
      </c>
      <c r="J24">
        <v>2</v>
      </c>
      <c r="K24">
        <v>0.4</v>
      </c>
      <c r="L24">
        <v>0.40910000000000002</v>
      </c>
      <c r="M24">
        <v>0.94</v>
      </c>
      <c r="N24" s="1" t="str">
        <f>IF(Table2[[#This Row],[hum]]&lt;=0.8,"Humid",IF(Table2[[#This Row],[hum]]&gt;=0.8,"High Humid"))</f>
        <v>High Humid</v>
      </c>
      <c r="O24">
        <v>0.22389999999999999</v>
      </c>
      <c r="P24">
        <v>11</v>
      </c>
      <c r="Q24">
        <v>17</v>
      </c>
      <c r="R24">
        <v>28</v>
      </c>
      <c r="T24" s="1" t="s">
        <v>0</v>
      </c>
      <c r="U24">
        <v>31152</v>
      </c>
      <c r="V24">
        <v>33898</v>
      </c>
      <c r="W24">
        <v>2746</v>
      </c>
    </row>
    <row r="25" spans="1:23" x14ac:dyDescent="0.25">
      <c r="A25">
        <v>24</v>
      </c>
      <c r="B25" s="2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 t="str">
        <f>CHOOSE(H25+1,"Monday","Tuesday","Wednesday","Thursday","Friday","Saturday","Sunday")</f>
        <v>Sunday</v>
      </c>
      <c r="J25">
        <v>2</v>
      </c>
      <c r="K25">
        <v>0.46</v>
      </c>
      <c r="M25">
        <v>0.88</v>
      </c>
      <c r="N25" s="1" t="str">
        <f>IF(Table2[[#This Row],[hum]]&lt;=0.8,"Humid",IF(Table2[[#This Row],[hum]]&gt;=0.8,"High Humid"))</f>
        <v>High Humid</v>
      </c>
      <c r="O25">
        <v>0.29849999999999999</v>
      </c>
      <c r="P25">
        <v>15</v>
      </c>
      <c r="Q25">
        <v>24</v>
      </c>
      <c r="R25">
        <v>39</v>
      </c>
    </row>
    <row r="26" spans="1:23" x14ac:dyDescent="0.25">
      <c r="A26">
        <v>25</v>
      </c>
      <c r="B26" s="2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 t="str">
        <f>CHOOSE(H26+1,"Monday","Tuesday","Wednesday","Thursday","Friday","Saturday","Sunday")</f>
        <v>Monday</v>
      </c>
      <c r="J26">
        <v>2</v>
      </c>
      <c r="K26">
        <v>0.46</v>
      </c>
      <c r="L26">
        <v>0.45450000000000002</v>
      </c>
      <c r="M26">
        <v>0.88</v>
      </c>
      <c r="N26" s="1" t="str">
        <f>IF(Table2[[#This Row],[hum]]&lt;=0.8,"Humid",IF(Table2[[#This Row],[hum]]&gt;=0.8,"High Humid"))</f>
        <v>High Humid</v>
      </c>
      <c r="O26">
        <v>0.29849999999999999</v>
      </c>
      <c r="P26">
        <v>4</v>
      </c>
      <c r="Q26">
        <v>13</v>
      </c>
      <c r="R26">
        <v>17</v>
      </c>
    </row>
    <row r="27" spans="1:23" x14ac:dyDescent="0.25">
      <c r="A27">
        <v>26</v>
      </c>
      <c r="B27" s="2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 t="str">
        <f>CHOOSE(H27+1,"Monday","Tuesday","Wednesday","Thursday","Friday","Saturday","Sunday")</f>
        <v>Monday</v>
      </c>
      <c r="J27">
        <v>2</v>
      </c>
      <c r="K27">
        <v>0.44</v>
      </c>
      <c r="L27">
        <v>0.43940000000000001</v>
      </c>
      <c r="M27">
        <v>0.94</v>
      </c>
      <c r="N27" s="1" t="str">
        <f>IF(Table2[[#This Row],[hum]]&lt;=0.8,"Humid",IF(Table2[[#This Row],[hum]]&gt;=0.8,"High Humid"))</f>
        <v>High Humid</v>
      </c>
      <c r="O27">
        <v>0.25369999999999998</v>
      </c>
      <c r="P27">
        <v>1</v>
      </c>
      <c r="Q27">
        <v>16</v>
      </c>
      <c r="R27">
        <v>17</v>
      </c>
    </row>
    <row r="28" spans="1:23" x14ac:dyDescent="0.25">
      <c r="A28">
        <v>27</v>
      </c>
      <c r="B28" s="2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 t="str">
        <f>CHOOSE(H28+1,"Monday","Tuesday","Wednesday","Thursday","Friday","Saturday","Sunday")</f>
        <v>Monday</v>
      </c>
      <c r="J28">
        <v>2</v>
      </c>
      <c r="K28">
        <v>0.42</v>
      </c>
      <c r="L28">
        <v>0.42420000000000002</v>
      </c>
      <c r="M28">
        <v>1</v>
      </c>
      <c r="N28" s="1" t="str">
        <f>IF(Table2[[#This Row],[hum]]&lt;=0.8,"Humid",IF(Table2[[#This Row],[hum]]&gt;=0.8,"High Humid"))</f>
        <v>High Humid</v>
      </c>
      <c r="O28">
        <v>0.28360000000000002</v>
      </c>
      <c r="P28">
        <v>1</v>
      </c>
      <c r="Q28">
        <v>8</v>
      </c>
      <c r="R28">
        <v>9</v>
      </c>
    </row>
    <row r="29" spans="1:23" x14ac:dyDescent="0.25">
      <c r="A29">
        <v>28</v>
      </c>
      <c r="B29" s="2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 t="str">
        <f>CHOOSE(H29+1,"Monday","Tuesday","Wednesday","Thursday","Friday","Saturday","Sunday")</f>
        <v>Monday</v>
      </c>
      <c r="J29">
        <v>2</v>
      </c>
      <c r="K29">
        <v>0.46</v>
      </c>
      <c r="L29">
        <v>0.45450000000000002</v>
      </c>
      <c r="M29">
        <v>0.94</v>
      </c>
      <c r="N29" s="1" t="str">
        <f>IF(Table2[[#This Row],[hum]]&lt;=0.8,"Humid",IF(Table2[[#This Row],[hum]]&gt;=0.8,"High Humid"))</f>
        <v>High Humid</v>
      </c>
      <c r="O29">
        <v>0.19400000000000001</v>
      </c>
      <c r="P29">
        <v>2</v>
      </c>
      <c r="Q29">
        <v>4</v>
      </c>
      <c r="R29">
        <v>6</v>
      </c>
    </row>
    <row r="30" spans="1:23" x14ac:dyDescent="0.25">
      <c r="A30">
        <v>29</v>
      </c>
      <c r="B30" s="2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 t="str">
        <f>CHOOSE(H30+1,"Monday","Tuesday","Wednesday","Thursday","Friday","Saturday","Sunday")</f>
        <v>Monday</v>
      </c>
      <c r="J30">
        <v>2</v>
      </c>
      <c r="K30">
        <v>0.46</v>
      </c>
      <c r="M30">
        <v>0.94</v>
      </c>
      <c r="N30" s="1" t="str">
        <f>IF(Table2[[#This Row],[hum]]&lt;=0.8,"Humid",IF(Table2[[#This Row],[hum]]&gt;=0.8,"High Humid"))</f>
        <v>High Humid</v>
      </c>
      <c r="O30">
        <v>0.19400000000000001</v>
      </c>
      <c r="P30">
        <v>2</v>
      </c>
      <c r="Q30">
        <v>1</v>
      </c>
      <c r="R30">
        <v>3</v>
      </c>
    </row>
    <row r="31" spans="1:23" x14ac:dyDescent="0.25">
      <c r="A31">
        <v>30</v>
      </c>
      <c r="B31" s="2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 t="str">
        <f>CHOOSE(H31+1,"Monday","Tuesday","Wednesday","Thursday","Friday","Saturday","Sunday")</f>
        <v>Monday</v>
      </c>
      <c r="J31">
        <v>3</v>
      </c>
      <c r="K31">
        <v>0.42</v>
      </c>
      <c r="L31">
        <v>0.42420000000000002</v>
      </c>
      <c r="M31">
        <v>0.77</v>
      </c>
      <c r="N31" s="1" t="str">
        <f>IF(Table2[[#This Row],[hum]]&lt;=0.8,"Humid",IF(Table2[[#This Row],[hum]]&gt;=0.8,"High Humid"))</f>
        <v>Humid</v>
      </c>
      <c r="O31">
        <v>0.29849999999999999</v>
      </c>
      <c r="P31">
        <v>0</v>
      </c>
      <c r="Q31">
        <v>2</v>
      </c>
      <c r="R31">
        <v>2</v>
      </c>
    </row>
    <row r="32" spans="1:23" x14ac:dyDescent="0.25">
      <c r="A32">
        <v>31</v>
      </c>
      <c r="B32" s="2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 t="str">
        <f>CHOOSE(H32+1,"Monday","Tuesday","Wednesday","Thursday","Friday","Saturday","Sunday")</f>
        <v>Monday</v>
      </c>
      <c r="J32">
        <v>2</v>
      </c>
      <c r="K32">
        <v>0.4</v>
      </c>
      <c r="L32">
        <v>0.40910000000000002</v>
      </c>
      <c r="M32">
        <v>0.76</v>
      </c>
      <c r="N32" s="1" t="str">
        <f>IF(Table2[[#This Row],[hum]]&lt;=0.8,"Humid",IF(Table2[[#This Row],[hum]]&gt;=0.8,"High Humid"))</f>
        <v>Humid</v>
      </c>
      <c r="O32">
        <v>0.19400000000000001</v>
      </c>
      <c r="P32">
        <v>0</v>
      </c>
      <c r="Q32">
        <v>1</v>
      </c>
      <c r="R32">
        <v>1</v>
      </c>
    </row>
    <row r="33" spans="1:18" x14ac:dyDescent="0.25">
      <c r="A33">
        <v>32</v>
      </c>
      <c r="B33" s="2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 t="str">
        <f>CHOOSE(H33+1,"Monday","Tuesday","Wednesday","Thursday","Friday","Saturday","Sunday")</f>
        <v>Monday</v>
      </c>
      <c r="J33">
        <v>3</v>
      </c>
      <c r="K33">
        <v>0.4</v>
      </c>
      <c r="L33">
        <v>0.40910000000000002</v>
      </c>
      <c r="M33">
        <v>0.71</v>
      </c>
      <c r="N33" s="1" t="str">
        <f>IF(Table2[[#This Row],[hum]]&lt;=0.8,"Humid",IF(Table2[[#This Row],[hum]]&gt;=0.8,"High Humid"))</f>
        <v>Humid</v>
      </c>
      <c r="O33">
        <v>0.22389999999999999</v>
      </c>
      <c r="P33">
        <v>0</v>
      </c>
      <c r="Q33">
        <v>8</v>
      </c>
      <c r="R33">
        <v>8</v>
      </c>
    </row>
    <row r="34" spans="1:18" x14ac:dyDescent="0.25">
      <c r="A34">
        <v>33</v>
      </c>
      <c r="B34" s="2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 t="str">
        <f>CHOOSE(H34+1,"Monday","Tuesday","Wednesday","Thursday","Friday","Saturday","Sunday")</f>
        <v>Monday</v>
      </c>
      <c r="J34">
        <v>2</v>
      </c>
      <c r="K34">
        <v>0.38</v>
      </c>
      <c r="M34">
        <v>0.76</v>
      </c>
      <c r="N34" s="1" t="str">
        <f>IF(Table2[[#This Row],[hum]]&lt;=0.8,"Humid",IF(Table2[[#This Row],[hum]]&gt;=0.8,"High Humid"))</f>
        <v>Humid</v>
      </c>
      <c r="O34">
        <v>0.22389999999999999</v>
      </c>
      <c r="P34">
        <v>1</v>
      </c>
      <c r="Q34">
        <v>19</v>
      </c>
      <c r="R34">
        <v>20</v>
      </c>
    </row>
    <row r="35" spans="1:18" x14ac:dyDescent="0.25">
      <c r="A35">
        <v>34</v>
      </c>
      <c r="B35" s="2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 t="str">
        <f>CHOOSE(H35+1,"Monday","Tuesday","Wednesday","Thursday","Friday","Saturday","Sunday")</f>
        <v>Monday</v>
      </c>
      <c r="J35">
        <v>2</v>
      </c>
      <c r="K35">
        <v>0.36</v>
      </c>
      <c r="L35">
        <v>0.34849999999999998</v>
      </c>
      <c r="M35">
        <v>0.81</v>
      </c>
      <c r="N35" s="1" t="str">
        <f>IF(Table2[[#This Row],[hum]]&lt;=0.8,"Humid",IF(Table2[[#This Row],[hum]]&gt;=0.8,"High Humid"))</f>
        <v>High Humid</v>
      </c>
      <c r="O35">
        <v>0.22389999999999999</v>
      </c>
      <c r="P35">
        <v>7</v>
      </c>
      <c r="Q35">
        <v>46</v>
      </c>
      <c r="R35">
        <v>53</v>
      </c>
    </row>
    <row r="36" spans="1:18" x14ac:dyDescent="0.25">
      <c r="A36">
        <v>35</v>
      </c>
      <c r="B36" s="2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 t="str">
        <f>CHOOSE(H36+1,"Monday","Tuesday","Wednesday","Thursday","Friday","Saturday","Sunday")</f>
        <v>Monday</v>
      </c>
      <c r="J36">
        <v>2</v>
      </c>
      <c r="K36">
        <v>0.36</v>
      </c>
      <c r="L36">
        <v>0.33329999999999999</v>
      </c>
      <c r="M36">
        <v>0.71</v>
      </c>
      <c r="N36" s="1" t="str">
        <f>IF(Table2[[#This Row],[hum]]&lt;=0.8,"Humid",IF(Table2[[#This Row],[hum]]&gt;=0.8,"High Humid"))</f>
        <v>Humid</v>
      </c>
      <c r="O36">
        <v>0.25369999999999998</v>
      </c>
      <c r="P36">
        <v>16</v>
      </c>
      <c r="Q36">
        <v>54</v>
      </c>
      <c r="R36">
        <v>70</v>
      </c>
    </row>
    <row r="37" spans="1:18" x14ac:dyDescent="0.25">
      <c r="A37">
        <v>36</v>
      </c>
      <c r="B37" s="2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 t="str">
        <f>CHOOSE(H37+1,"Monday","Tuesday","Wednesday","Thursday","Friday","Saturday","Sunday")</f>
        <v>Monday</v>
      </c>
      <c r="J37">
        <v>2</v>
      </c>
      <c r="K37">
        <v>0.36</v>
      </c>
      <c r="L37">
        <v>0.33329999999999999</v>
      </c>
      <c r="M37">
        <v>0.66</v>
      </c>
      <c r="N37" s="1" t="str">
        <f>IF(Table2[[#This Row],[hum]]&lt;=0.8,"Humid",IF(Table2[[#This Row],[hum]]&gt;=0.8,"High Humid"))</f>
        <v>Humid</v>
      </c>
      <c r="O37">
        <v>0.29849999999999999</v>
      </c>
      <c r="P37">
        <v>20</v>
      </c>
      <c r="Q37">
        <v>73</v>
      </c>
      <c r="R37">
        <v>93</v>
      </c>
    </row>
    <row r="38" spans="1:18" x14ac:dyDescent="0.25">
      <c r="A38">
        <v>37</v>
      </c>
      <c r="B38" s="2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 t="str">
        <f>CHOOSE(H38+1,"Monday","Tuesday","Wednesday","Thursday","Friday","Saturday","Sunday")</f>
        <v>Monday</v>
      </c>
      <c r="J38">
        <v>2</v>
      </c>
      <c r="K38">
        <v>0.36</v>
      </c>
      <c r="L38">
        <v>0.34849999999999998</v>
      </c>
      <c r="M38">
        <v>0.66</v>
      </c>
      <c r="N38" s="1" t="str">
        <f>IF(Table2[[#This Row],[hum]]&lt;=0.8,"Humid",IF(Table2[[#This Row],[hum]]&gt;=0.8,"High Humid"))</f>
        <v>Humid</v>
      </c>
      <c r="O38">
        <v>0.1343</v>
      </c>
      <c r="P38">
        <v>11</v>
      </c>
      <c r="Q38">
        <v>64</v>
      </c>
      <c r="R38">
        <v>75</v>
      </c>
    </row>
    <row r="39" spans="1:18" x14ac:dyDescent="0.25">
      <c r="A39">
        <v>38</v>
      </c>
      <c r="B39" s="2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 t="str">
        <f>CHOOSE(H39+1,"Monday","Tuesday","Wednesday","Thursday","Friday","Saturday","Sunday")</f>
        <v>Monday</v>
      </c>
      <c r="J39">
        <v>3</v>
      </c>
      <c r="K39">
        <v>0.36</v>
      </c>
      <c r="M39">
        <v>0.76</v>
      </c>
      <c r="N39" s="1" t="str">
        <f>IF(Table2[[#This Row],[hum]]&lt;=0.8,"Humid",IF(Table2[[#This Row],[hum]]&gt;=0.8,"High Humid"))</f>
        <v>Humid</v>
      </c>
      <c r="O39">
        <v>0.19400000000000001</v>
      </c>
      <c r="P39">
        <v>4</v>
      </c>
      <c r="Q39">
        <v>55</v>
      </c>
      <c r="R39">
        <v>59</v>
      </c>
    </row>
    <row r="40" spans="1:18" x14ac:dyDescent="0.25">
      <c r="A40">
        <v>39</v>
      </c>
      <c r="B40" s="2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 t="str">
        <f>CHOOSE(H40+1,"Monday","Tuesday","Wednesday","Thursday","Friday","Saturday","Sunday")</f>
        <v>Monday</v>
      </c>
      <c r="J40">
        <v>3</v>
      </c>
      <c r="K40">
        <v>0.34</v>
      </c>
      <c r="L40">
        <v>0.33329999999999999</v>
      </c>
      <c r="M40">
        <v>0.81</v>
      </c>
      <c r="N40" s="1" t="str">
        <f>IF(Table2[[#This Row],[hum]]&lt;=0.8,"Humid",IF(Table2[[#This Row],[hum]]&gt;=0.8,"High Humid"))</f>
        <v>High Humid</v>
      </c>
      <c r="O40">
        <v>0.16420000000000001</v>
      </c>
      <c r="P40">
        <v>19</v>
      </c>
      <c r="Q40">
        <v>55</v>
      </c>
      <c r="R40">
        <v>74</v>
      </c>
    </row>
    <row r="41" spans="1:18" x14ac:dyDescent="0.25">
      <c r="A41">
        <v>40</v>
      </c>
      <c r="B41" s="2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 t="str">
        <f>CHOOSE(H41+1,"Monday","Tuesday","Wednesday","Thursday","Friday","Saturday","Sunday")</f>
        <v>Monday</v>
      </c>
      <c r="J41">
        <v>3</v>
      </c>
      <c r="K41">
        <v>0.34</v>
      </c>
      <c r="L41">
        <v>0.33329999999999999</v>
      </c>
      <c r="M41">
        <v>0.71</v>
      </c>
      <c r="N41" s="1" t="str">
        <f>IF(Table2[[#This Row],[hum]]&lt;=0.8,"Humid",IF(Table2[[#This Row],[hum]]&gt;=0.8,"High Humid"))</f>
        <v>Humid</v>
      </c>
      <c r="O41">
        <v>0.16420000000000001</v>
      </c>
      <c r="P41">
        <v>9</v>
      </c>
      <c r="Q41">
        <v>67</v>
      </c>
      <c r="R41">
        <v>76</v>
      </c>
    </row>
    <row r="42" spans="1:18" x14ac:dyDescent="0.25">
      <c r="A42">
        <v>41</v>
      </c>
      <c r="B42" s="2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 t="str">
        <f>CHOOSE(H42+1,"Monday","Tuesday","Wednesday","Thursday","Friday","Saturday","Sunday")</f>
        <v>Monday</v>
      </c>
      <c r="J42">
        <v>1</v>
      </c>
      <c r="K42">
        <v>0.34</v>
      </c>
      <c r="L42">
        <v>0.33329999999999999</v>
      </c>
      <c r="M42">
        <v>0.56999999999999995</v>
      </c>
      <c r="N42" s="1" t="str">
        <f>IF(Table2[[#This Row],[hum]]&lt;=0.8,"Humid",IF(Table2[[#This Row],[hum]]&gt;=0.8,"High Humid"))</f>
        <v>Humid</v>
      </c>
      <c r="O42">
        <v>0.19400000000000001</v>
      </c>
      <c r="P42">
        <v>7</v>
      </c>
      <c r="Q42">
        <v>58</v>
      </c>
      <c r="R42">
        <v>65</v>
      </c>
    </row>
    <row r="43" spans="1:18" x14ac:dyDescent="0.25">
      <c r="A43">
        <v>42</v>
      </c>
      <c r="B43" s="2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 t="str">
        <f>CHOOSE(H43+1,"Monday","Tuesday","Wednesday","Thursday","Friday","Saturday","Sunday")</f>
        <v>Monday</v>
      </c>
      <c r="J43">
        <v>2</v>
      </c>
      <c r="K43">
        <v>0.36</v>
      </c>
      <c r="L43">
        <v>0.33329999999999999</v>
      </c>
      <c r="M43">
        <v>0.46</v>
      </c>
      <c r="N43" s="1" t="str">
        <f>IF(Table2[[#This Row],[hum]]&lt;=0.8,"Humid",IF(Table2[[#This Row],[hum]]&gt;=0.8,"High Humid"))</f>
        <v>Humid</v>
      </c>
      <c r="O43">
        <v>0.32840000000000003</v>
      </c>
      <c r="P43">
        <v>10</v>
      </c>
      <c r="Q43">
        <v>43</v>
      </c>
      <c r="R43">
        <v>53</v>
      </c>
    </row>
    <row r="44" spans="1:18" x14ac:dyDescent="0.25">
      <c r="A44">
        <v>43</v>
      </c>
      <c r="B44" s="2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 t="str">
        <f>CHOOSE(H44+1,"Monday","Tuesday","Wednesday","Thursday","Friday","Saturday","Sunday")</f>
        <v>Monday</v>
      </c>
      <c r="J44">
        <v>1</v>
      </c>
      <c r="K44">
        <v>0.32</v>
      </c>
      <c r="L44">
        <v>0.28789999999999999</v>
      </c>
      <c r="M44">
        <v>0.42</v>
      </c>
      <c r="N44" s="1" t="str">
        <f>IF(Table2[[#This Row],[hum]]&lt;=0.8,"Humid",IF(Table2[[#This Row],[hum]]&gt;=0.8,"High Humid"))</f>
        <v>Humid</v>
      </c>
      <c r="O44">
        <v>0.44779999999999998</v>
      </c>
      <c r="P44">
        <v>1</v>
      </c>
      <c r="Q44">
        <v>29</v>
      </c>
      <c r="R44">
        <v>30</v>
      </c>
    </row>
    <row r="45" spans="1:18" x14ac:dyDescent="0.25">
      <c r="A45">
        <v>44</v>
      </c>
      <c r="B45" s="2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 t="str">
        <f>CHOOSE(H45+1,"Monday","Tuesday","Wednesday","Thursday","Friday","Saturday","Sunday")</f>
        <v>Monday</v>
      </c>
      <c r="J45">
        <v>1</v>
      </c>
      <c r="K45">
        <v>0.3</v>
      </c>
      <c r="M45">
        <v>0.39</v>
      </c>
      <c r="N45" s="1" t="str">
        <f>IF(Table2[[#This Row],[hum]]&lt;=0.8,"Humid",IF(Table2[[#This Row],[hum]]&gt;=0.8,"High Humid"))</f>
        <v>Humid</v>
      </c>
      <c r="O45">
        <v>0.35820000000000002</v>
      </c>
      <c r="P45">
        <v>5</v>
      </c>
      <c r="Q45">
        <v>17</v>
      </c>
      <c r="R45">
        <v>22</v>
      </c>
    </row>
    <row r="46" spans="1:18" x14ac:dyDescent="0.25">
      <c r="A46">
        <v>45</v>
      </c>
      <c r="B46" s="2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 t="str">
        <f>CHOOSE(H46+1,"Monday","Tuesday","Wednesday","Thursday","Friday","Saturday","Sunday")</f>
        <v>Monday</v>
      </c>
      <c r="J46">
        <v>1</v>
      </c>
      <c r="K46">
        <v>0.26</v>
      </c>
      <c r="L46">
        <v>0.2273</v>
      </c>
      <c r="M46">
        <v>0.44</v>
      </c>
      <c r="N46" s="1" t="str">
        <f>IF(Table2[[#This Row],[hum]]&lt;=0.8,"Humid",IF(Table2[[#This Row],[hum]]&gt;=0.8,"High Humid"))</f>
        <v>Humid</v>
      </c>
      <c r="O46">
        <v>0.32840000000000003</v>
      </c>
      <c r="P46">
        <v>11</v>
      </c>
      <c r="Q46">
        <v>20</v>
      </c>
      <c r="R46">
        <v>31</v>
      </c>
    </row>
    <row r="47" spans="1:18" x14ac:dyDescent="0.25">
      <c r="A47">
        <v>46</v>
      </c>
      <c r="B47" s="2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 t="str">
        <f>CHOOSE(H47+1,"Monday","Tuesday","Wednesday","Thursday","Friday","Saturday","Sunday")</f>
        <v>Monday</v>
      </c>
      <c r="J47">
        <v>1</v>
      </c>
      <c r="K47">
        <v>0.24</v>
      </c>
      <c r="L47">
        <v>0.21210000000000001</v>
      </c>
      <c r="M47">
        <v>0.44</v>
      </c>
      <c r="N47" s="1" t="str">
        <f>IF(Table2[[#This Row],[hum]]&lt;=0.8,"Humid",IF(Table2[[#This Row],[hum]]&gt;=0.8,"High Humid"))</f>
        <v>Humid</v>
      </c>
      <c r="O47">
        <v>0.29849999999999999</v>
      </c>
      <c r="P47">
        <v>0</v>
      </c>
      <c r="Q47">
        <v>9</v>
      </c>
      <c r="R47">
        <v>9</v>
      </c>
    </row>
    <row r="48" spans="1:18" x14ac:dyDescent="0.25">
      <c r="A48">
        <v>47</v>
      </c>
      <c r="B48" s="2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 t="str">
        <f>CHOOSE(H48+1,"Monday","Tuesday","Wednesday","Thursday","Friday","Saturday","Sunday")</f>
        <v>Monday</v>
      </c>
      <c r="J48">
        <v>1</v>
      </c>
      <c r="K48">
        <v>0.22</v>
      </c>
      <c r="L48">
        <v>0.2273</v>
      </c>
      <c r="M48">
        <v>0.47</v>
      </c>
      <c r="N48" s="1" t="str">
        <f>IF(Table2[[#This Row],[hum]]&lt;=0.8,"Humid",IF(Table2[[#This Row],[hum]]&gt;=0.8,"High Humid"))</f>
        <v>Humid</v>
      </c>
      <c r="O48">
        <v>0.16420000000000001</v>
      </c>
      <c r="P48">
        <v>0</v>
      </c>
      <c r="Q48">
        <v>8</v>
      </c>
      <c r="R48">
        <v>8</v>
      </c>
    </row>
    <row r="49" spans="1:18" x14ac:dyDescent="0.25">
      <c r="A49">
        <v>48</v>
      </c>
      <c r="B49" s="2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 t="str">
        <f>CHOOSE(H49+1,"Monday","Tuesday","Wednesday","Thursday","Friday","Saturday","Sunday")</f>
        <v>Tuesday</v>
      </c>
      <c r="J49">
        <v>1</v>
      </c>
      <c r="K49">
        <v>0.22</v>
      </c>
      <c r="L49">
        <v>0.19700000000000001</v>
      </c>
      <c r="M49">
        <v>0.44</v>
      </c>
      <c r="N49" s="1" t="str">
        <f>IF(Table2[[#This Row],[hum]]&lt;=0.8,"Humid",IF(Table2[[#This Row],[hum]]&gt;=0.8,"High Humid"))</f>
        <v>Humid</v>
      </c>
      <c r="O49">
        <v>0.35820000000000002</v>
      </c>
      <c r="P49">
        <v>0</v>
      </c>
      <c r="Q49">
        <v>5</v>
      </c>
      <c r="R49">
        <v>5</v>
      </c>
    </row>
    <row r="50" spans="1:18" x14ac:dyDescent="0.25">
      <c r="A50">
        <v>49</v>
      </c>
      <c r="B50" s="2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 t="str">
        <f>CHOOSE(H50+1,"Monday","Tuesday","Wednesday","Thursday","Friday","Saturday","Sunday")</f>
        <v>Tuesday</v>
      </c>
      <c r="J50">
        <v>1</v>
      </c>
      <c r="K50">
        <v>0.2</v>
      </c>
      <c r="M50">
        <v>0.44</v>
      </c>
      <c r="N50" s="1" t="str">
        <f>IF(Table2[[#This Row],[hum]]&lt;=0.8,"Humid",IF(Table2[[#This Row],[hum]]&gt;=0.8,"High Humid"))</f>
        <v>Humid</v>
      </c>
      <c r="O50">
        <v>0.41789999999999999</v>
      </c>
      <c r="P50">
        <v>0</v>
      </c>
      <c r="Q50">
        <v>2</v>
      </c>
      <c r="R50">
        <v>2</v>
      </c>
    </row>
    <row r="51" spans="1:18" x14ac:dyDescent="0.25">
      <c r="A51">
        <v>50</v>
      </c>
      <c r="B51" s="2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 t="str">
        <f>CHOOSE(H51+1,"Monday","Tuesday","Wednesday","Thursday","Friday","Saturday","Sunday")</f>
        <v>Tuesday</v>
      </c>
      <c r="J51">
        <v>1</v>
      </c>
      <c r="K51">
        <v>0.16</v>
      </c>
      <c r="L51">
        <v>0.13639999999999999</v>
      </c>
      <c r="M51">
        <v>0.47</v>
      </c>
      <c r="N51" s="1" t="str">
        <f>IF(Table2[[#This Row],[hum]]&lt;=0.8,"Humid",IF(Table2[[#This Row],[hum]]&gt;=0.8,"High Humid"))</f>
        <v>Humid</v>
      </c>
      <c r="O51">
        <v>0.3881</v>
      </c>
      <c r="P51">
        <v>0</v>
      </c>
      <c r="Q51">
        <v>1</v>
      </c>
      <c r="R51">
        <v>1</v>
      </c>
    </row>
    <row r="52" spans="1:18" x14ac:dyDescent="0.25">
      <c r="A52">
        <v>51</v>
      </c>
      <c r="B52" s="2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 t="str">
        <f>CHOOSE(H52+1,"Monday","Tuesday","Wednesday","Thursday","Friday","Saturday","Sunday")</f>
        <v>Tuesday</v>
      </c>
      <c r="J52">
        <v>1</v>
      </c>
      <c r="K52">
        <v>0.16</v>
      </c>
      <c r="L52">
        <v>0.13639999999999999</v>
      </c>
      <c r="M52">
        <v>0.47</v>
      </c>
      <c r="N52" s="1" t="str">
        <f>IF(Table2[[#This Row],[hum]]&lt;=0.8,"Humid",IF(Table2[[#This Row],[hum]]&gt;=0.8,"High Humid"))</f>
        <v>Humid</v>
      </c>
      <c r="O52">
        <v>0.28360000000000002</v>
      </c>
      <c r="P52">
        <v>0</v>
      </c>
      <c r="Q52">
        <v>3</v>
      </c>
      <c r="R52">
        <v>3</v>
      </c>
    </row>
    <row r="53" spans="1:18" x14ac:dyDescent="0.25">
      <c r="A53">
        <v>52</v>
      </c>
      <c r="B53" s="2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 t="str">
        <f>CHOOSE(H53+1,"Monday","Tuesday","Wednesday","Thursday","Friday","Saturday","Sunday")</f>
        <v>Tuesday</v>
      </c>
      <c r="J53">
        <v>1</v>
      </c>
      <c r="K53">
        <v>0.14000000000000001</v>
      </c>
      <c r="L53">
        <v>0.1061</v>
      </c>
      <c r="M53">
        <v>0.5</v>
      </c>
      <c r="N53" s="1" t="str">
        <f>IF(Table2[[#This Row],[hum]]&lt;=0.8,"Humid",IF(Table2[[#This Row],[hum]]&gt;=0.8,"High Humid"))</f>
        <v>Humid</v>
      </c>
      <c r="O53">
        <v>0.3881</v>
      </c>
      <c r="P53">
        <v>0</v>
      </c>
      <c r="Q53">
        <v>30</v>
      </c>
      <c r="R53">
        <v>30</v>
      </c>
    </row>
    <row r="54" spans="1:18" x14ac:dyDescent="0.25">
      <c r="A54">
        <v>53</v>
      </c>
      <c r="B54" s="2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 t="str">
        <f>CHOOSE(H54+1,"Monday","Tuesday","Wednesday","Thursday","Friday","Saturday","Sunday")</f>
        <v>Tuesday</v>
      </c>
      <c r="J54">
        <v>1</v>
      </c>
      <c r="K54">
        <v>0.14000000000000001</v>
      </c>
      <c r="L54">
        <v>0.13639999999999999</v>
      </c>
      <c r="M54">
        <v>0.5</v>
      </c>
      <c r="N54" s="1" t="str">
        <f>IF(Table2[[#This Row],[hum]]&lt;=0.8,"Humid",IF(Table2[[#This Row],[hum]]&gt;=0.8,"High Humid"))</f>
        <v>Humid</v>
      </c>
      <c r="O54">
        <v>0.19400000000000001</v>
      </c>
      <c r="P54">
        <v>1</v>
      </c>
      <c r="Q54">
        <v>63</v>
      </c>
      <c r="R54">
        <v>64</v>
      </c>
    </row>
    <row r="55" spans="1:18" x14ac:dyDescent="0.25">
      <c r="A55">
        <v>54</v>
      </c>
      <c r="B55" s="2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 t="str">
        <f>CHOOSE(H55+1,"Monday","Tuesday","Wednesday","Thursday","Friday","Saturday","Sunday")</f>
        <v>Tuesday</v>
      </c>
      <c r="J55">
        <v>1</v>
      </c>
      <c r="K55">
        <v>0.14000000000000001</v>
      </c>
      <c r="L55">
        <v>0.1212</v>
      </c>
      <c r="M55">
        <v>0.5</v>
      </c>
      <c r="N55" s="1" t="str">
        <f>IF(Table2[[#This Row],[hum]]&lt;=0.8,"Humid",IF(Table2[[#This Row],[hum]]&gt;=0.8,"High Humid"))</f>
        <v>Humid</v>
      </c>
      <c r="O55">
        <v>0.28360000000000002</v>
      </c>
      <c r="P55">
        <v>1</v>
      </c>
      <c r="Q55">
        <v>153</v>
      </c>
      <c r="R55">
        <v>154</v>
      </c>
    </row>
    <row r="56" spans="1:18" x14ac:dyDescent="0.25">
      <c r="A56">
        <v>55</v>
      </c>
      <c r="B56" s="2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 t="str">
        <f>CHOOSE(H56+1,"Monday","Tuesday","Wednesday","Thursday","Friday","Saturday","Sunday")</f>
        <v>Tuesday</v>
      </c>
      <c r="J56">
        <v>1</v>
      </c>
      <c r="K56">
        <v>0.16</v>
      </c>
      <c r="L56">
        <v>0.13639999999999999</v>
      </c>
      <c r="M56">
        <v>0.43</v>
      </c>
      <c r="N56" s="1" t="str">
        <f>IF(Table2[[#This Row],[hum]]&lt;=0.8,"Humid",IF(Table2[[#This Row],[hum]]&gt;=0.8,"High Humid"))</f>
        <v>Humid</v>
      </c>
      <c r="O56">
        <v>0.3881</v>
      </c>
      <c r="P56">
        <v>7</v>
      </c>
      <c r="Q56">
        <v>81</v>
      </c>
      <c r="R56">
        <v>88</v>
      </c>
    </row>
    <row r="57" spans="1:18" x14ac:dyDescent="0.25">
      <c r="A57">
        <v>56</v>
      </c>
      <c r="B57" s="2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 t="str">
        <f>CHOOSE(H57+1,"Monday","Tuesday","Wednesday","Thursday","Friday","Saturday","Sunday")</f>
        <v>Tuesday</v>
      </c>
      <c r="J57">
        <v>1</v>
      </c>
      <c r="K57">
        <v>0.18</v>
      </c>
      <c r="L57">
        <v>0.16669999999999999</v>
      </c>
      <c r="M57">
        <v>0.43</v>
      </c>
      <c r="N57" s="1" t="str">
        <f>IF(Table2[[#This Row],[hum]]&lt;=0.8,"Humid",IF(Table2[[#This Row],[hum]]&gt;=0.8,"High Humid"))</f>
        <v>Humid</v>
      </c>
      <c r="O57">
        <v>0.25369999999999998</v>
      </c>
      <c r="P57">
        <v>11</v>
      </c>
      <c r="Q57">
        <v>33</v>
      </c>
      <c r="R57">
        <v>44</v>
      </c>
    </row>
    <row r="58" spans="1:18" x14ac:dyDescent="0.25">
      <c r="A58">
        <v>57</v>
      </c>
      <c r="B58" s="2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 t="str">
        <f>CHOOSE(H58+1,"Monday","Tuesday","Wednesday","Thursday","Friday","Saturday","Sunday")</f>
        <v>Tuesday</v>
      </c>
      <c r="J58">
        <v>1</v>
      </c>
      <c r="K58">
        <v>0.2</v>
      </c>
      <c r="L58">
        <v>0.18179999999999999</v>
      </c>
      <c r="M58">
        <v>0.4</v>
      </c>
      <c r="N58" s="1" t="str">
        <f>IF(Table2[[#This Row],[hum]]&lt;=0.8,"Humid",IF(Table2[[#This Row],[hum]]&gt;=0.8,"High Humid"))</f>
        <v>Humid</v>
      </c>
      <c r="O58">
        <v>0.32840000000000003</v>
      </c>
      <c r="P58">
        <v>10</v>
      </c>
      <c r="Q58">
        <v>41</v>
      </c>
      <c r="R58">
        <v>51</v>
      </c>
    </row>
    <row r="59" spans="1:18" x14ac:dyDescent="0.25">
      <c r="A59">
        <v>58</v>
      </c>
      <c r="B59" s="2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 t="str">
        <f>CHOOSE(H59+1,"Monday","Tuesday","Wednesday","Thursday","Friday","Saturday","Sunday")</f>
        <v>Tuesday</v>
      </c>
      <c r="J59">
        <v>1</v>
      </c>
      <c r="K59">
        <v>0.22</v>
      </c>
      <c r="L59">
        <v>0.21210000000000001</v>
      </c>
      <c r="M59">
        <v>0.35</v>
      </c>
      <c r="N59" s="1" t="str">
        <f>IF(Table2[[#This Row],[hum]]&lt;=0.8,"Humid",IF(Table2[[#This Row],[hum]]&gt;=0.8,"High Humid"))</f>
        <v>Humid</v>
      </c>
      <c r="O59">
        <v>0.29849999999999999</v>
      </c>
      <c r="P59">
        <v>13</v>
      </c>
      <c r="Q59">
        <v>48</v>
      </c>
      <c r="R59">
        <v>61</v>
      </c>
    </row>
    <row r="60" spans="1:18" x14ac:dyDescent="0.25">
      <c r="A60">
        <v>59</v>
      </c>
      <c r="B60" s="2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 t="str">
        <f>CHOOSE(H60+1,"Monday","Tuesday","Wednesday","Thursday","Friday","Saturday","Sunday")</f>
        <v>Tuesday</v>
      </c>
      <c r="J60">
        <v>1</v>
      </c>
      <c r="K60">
        <v>0.24</v>
      </c>
      <c r="M60">
        <v>0.35</v>
      </c>
      <c r="N60" s="1" t="str">
        <f>IF(Table2[[#This Row],[hum]]&lt;=0.8,"Humid",IF(Table2[[#This Row],[hum]]&gt;=0.8,"High Humid"))</f>
        <v>Humid</v>
      </c>
      <c r="O60">
        <v>0.28360000000000002</v>
      </c>
      <c r="P60">
        <v>8</v>
      </c>
      <c r="Q60">
        <v>53</v>
      </c>
      <c r="R60">
        <v>61</v>
      </c>
    </row>
    <row r="61" spans="1:18" x14ac:dyDescent="0.25">
      <c r="A61">
        <v>60</v>
      </c>
      <c r="B61" s="2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 t="str">
        <f>CHOOSE(H61+1,"Monday","Tuesday","Wednesday","Thursday","Friday","Saturday","Sunday")</f>
        <v>Tuesday</v>
      </c>
      <c r="J61">
        <v>1</v>
      </c>
      <c r="K61">
        <v>0.26</v>
      </c>
      <c r="L61">
        <v>0.2424</v>
      </c>
      <c r="M61">
        <v>0.3</v>
      </c>
      <c r="N61" s="1" t="str">
        <f>IF(Table2[[#This Row],[hum]]&lt;=0.8,"Humid",IF(Table2[[#This Row],[hum]]&gt;=0.8,"High Humid"))</f>
        <v>Humid</v>
      </c>
      <c r="O61">
        <v>0.28360000000000002</v>
      </c>
      <c r="P61">
        <v>11</v>
      </c>
      <c r="Q61">
        <v>66</v>
      </c>
      <c r="R61">
        <v>77</v>
      </c>
    </row>
    <row r="62" spans="1:18" x14ac:dyDescent="0.25">
      <c r="A62">
        <v>61</v>
      </c>
      <c r="B62" s="2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 t="str">
        <f>CHOOSE(H62+1,"Monday","Tuesday","Wednesday","Thursday","Friday","Saturday","Sunday")</f>
        <v>Tuesday</v>
      </c>
      <c r="J62">
        <v>1</v>
      </c>
      <c r="K62">
        <v>0.26</v>
      </c>
      <c r="L62">
        <v>0.2424</v>
      </c>
      <c r="M62">
        <v>0.3</v>
      </c>
      <c r="N62" s="1" t="str">
        <f>IF(Table2[[#This Row],[hum]]&lt;=0.8,"Humid",IF(Table2[[#This Row],[hum]]&gt;=0.8,"High Humid"))</f>
        <v>Humid</v>
      </c>
      <c r="O62">
        <v>0.25369999999999998</v>
      </c>
      <c r="P62">
        <v>14</v>
      </c>
      <c r="Q62">
        <v>58</v>
      </c>
      <c r="R62">
        <v>72</v>
      </c>
    </row>
    <row r="63" spans="1:18" x14ac:dyDescent="0.25">
      <c r="A63">
        <v>62</v>
      </c>
      <c r="B63" s="2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 t="str">
        <f>CHOOSE(H63+1,"Monday","Tuesday","Wednesday","Thursday","Friday","Saturday","Sunday")</f>
        <v>Tuesday</v>
      </c>
      <c r="J63">
        <v>1</v>
      </c>
      <c r="K63">
        <v>0.26</v>
      </c>
      <c r="L63">
        <v>0.2424</v>
      </c>
      <c r="M63">
        <v>0.3</v>
      </c>
      <c r="N63" s="1" t="str">
        <f>IF(Table2[[#This Row],[hum]]&lt;=0.8,"Humid",IF(Table2[[#This Row],[hum]]&gt;=0.8,"High Humid"))</f>
        <v>Humid</v>
      </c>
      <c r="O63">
        <v>0.25369999999999998</v>
      </c>
      <c r="P63">
        <v>9</v>
      </c>
      <c r="Q63">
        <v>67</v>
      </c>
      <c r="R63">
        <v>76</v>
      </c>
    </row>
    <row r="64" spans="1:18" x14ac:dyDescent="0.25">
      <c r="A64">
        <v>63</v>
      </c>
      <c r="B64" s="2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 t="str">
        <f>CHOOSE(H64+1,"Monday","Tuesday","Wednesday","Thursday","Friday","Saturday","Sunday")</f>
        <v>Tuesday</v>
      </c>
      <c r="J64">
        <v>1</v>
      </c>
      <c r="K64">
        <v>0.24</v>
      </c>
      <c r="L64">
        <v>0.2273</v>
      </c>
      <c r="M64">
        <v>0.3</v>
      </c>
      <c r="N64" s="1" t="str">
        <f>IF(Table2[[#This Row],[hum]]&lt;=0.8,"Humid",IF(Table2[[#This Row],[hum]]&gt;=0.8,"High Humid"))</f>
        <v>Humid</v>
      </c>
      <c r="O64">
        <v>0.22389999999999999</v>
      </c>
      <c r="P64">
        <v>11</v>
      </c>
      <c r="Q64">
        <v>146</v>
      </c>
      <c r="R64">
        <v>157</v>
      </c>
    </row>
    <row r="65" spans="1:18" x14ac:dyDescent="0.25">
      <c r="A65">
        <v>64</v>
      </c>
      <c r="B65" s="2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 t="str">
        <f>CHOOSE(H65+1,"Monday","Tuesday","Wednesday","Thursday","Friday","Saturday","Sunday")</f>
        <v>Tuesday</v>
      </c>
      <c r="J65">
        <v>1</v>
      </c>
      <c r="K65">
        <v>0.24</v>
      </c>
      <c r="L65">
        <v>0.2576</v>
      </c>
      <c r="M65">
        <v>0.32</v>
      </c>
      <c r="N65" s="1" t="str">
        <f>IF(Table2[[#This Row],[hum]]&lt;=0.8,"Humid",IF(Table2[[#This Row],[hum]]&gt;=0.8,"High Humid"))</f>
        <v>Humid</v>
      </c>
      <c r="O65">
        <v>0.1045</v>
      </c>
      <c r="P65">
        <v>9</v>
      </c>
      <c r="Q65">
        <v>148</v>
      </c>
      <c r="R65">
        <v>157</v>
      </c>
    </row>
    <row r="66" spans="1:18" x14ac:dyDescent="0.25">
      <c r="A66">
        <v>65</v>
      </c>
      <c r="B66" s="2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 t="str">
        <f>CHOOSE(H66+1,"Monday","Tuesday","Wednesday","Thursday","Friday","Saturday","Sunday")</f>
        <v>Tuesday</v>
      </c>
      <c r="J66">
        <v>1</v>
      </c>
      <c r="K66">
        <v>0.2</v>
      </c>
      <c r="L66">
        <v>0.2576</v>
      </c>
      <c r="M66">
        <v>0.47</v>
      </c>
      <c r="N66" s="1" t="str">
        <f>IF(Table2[[#This Row],[hum]]&lt;=0.8,"Humid",IF(Table2[[#This Row],[hum]]&gt;=0.8,"High Humid"))</f>
        <v>Humid</v>
      </c>
      <c r="O66">
        <v>0</v>
      </c>
      <c r="P66">
        <v>8</v>
      </c>
      <c r="Q66">
        <v>102</v>
      </c>
      <c r="R66">
        <v>110</v>
      </c>
    </row>
    <row r="67" spans="1:18" x14ac:dyDescent="0.25">
      <c r="A67">
        <v>66</v>
      </c>
      <c r="B67" s="2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 t="str">
        <f>CHOOSE(H67+1,"Monday","Tuesday","Wednesday","Thursday","Friday","Saturday","Sunday")</f>
        <v>Tuesday</v>
      </c>
      <c r="J67">
        <v>1</v>
      </c>
      <c r="K67">
        <v>0.2</v>
      </c>
      <c r="M67">
        <v>0.47</v>
      </c>
      <c r="N67" s="1" t="str">
        <f>IF(Table2[[#This Row],[hum]]&lt;=0.8,"Humid",IF(Table2[[#This Row],[hum]]&gt;=0.8,"High Humid"))</f>
        <v>Humid</v>
      </c>
      <c r="O67">
        <v>0.1045</v>
      </c>
      <c r="P67">
        <v>3</v>
      </c>
      <c r="Q67">
        <v>49</v>
      </c>
      <c r="R67">
        <v>52</v>
      </c>
    </row>
    <row r="68" spans="1:18" x14ac:dyDescent="0.25">
      <c r="A68">
        <v>67</v>
      </c>
      <c r="B68" s="2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 t="str">
        <f>CHOOSE(H68+1,"Monday","Tuesday","Wednesday","Thursday","Friday","Saturday","Sunday")</f>
        <v>Tuesday</v>
      </c>
      <c r="J68">
        <v>1</v>
      </c>
      <c r="K68">
        <v>0.18</v>
      </c>
      <c r="L68">
        <v>0.19700000000000001</v>
      </c>
      <c r="M68">
        <v>0.64</v>
      </c>
      <c r="N68" s="1" t="str">
        <f>IF(Table2[[#This Row],[hum]]&lt;=0.8,"Humid",IF(Table2[[#This Row],[hum]]&gt;=0.8,"High Humid"))</f>
        <v>Humid</v>
      </c>
      <c r="O68">
        <v>0.1343</v>
      </c>
      <c r="P68">
        <v>3</v>
      </c>
      <c r="Q68">
        <v>49</v>
      </c>
      <c r="R68">
        <v>52</v>
      </c>
    </row>
    <row r="69" spans="1:18" x14ac:dyDescent="0.25">
      <c r="A69">
        <v>68</v>
      </c>
      <c r="B69" s="2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 t="str">
        <f>CHOOSE(H69+1,"Monday","Tuesday","Wednesday","Thursday","Friday","Saturday","Sunday")</f>
        <v>Tuesday</v>
      </c>
      <c r="J69">
        <v>1</v>
      </c>
      <c r="K69">
        <v>0.14000000000000001</v>
      </c>
      <c r="L69">
        <v>0.1515</v>
      </c>
      <c r="M69">
        <v>0.69</v>
      </c>
      <c r="N69" s="1" t="str">
        <f>IF(Table2[[#This Row],[hum]]&lt;=0.8,"Humid",IF(Table2[[#This Row],[hum]]&gt;=0.8,"High Humid"))</f>
        <v>Humid</v>
      </c>
      <c r="O69">
        <v>0.1343</v>
      </c>
      <c r="P69">
        <v>0</v>
      </c>
      <c r="Q69">
        <v>20</v>
      </c>
      <c r="R69">
        <v>20</v>
      </c>
    </row>
    <row r="70" spans="1:18" x14ac:dyDescent="0.25">
      <c r="A70">
        <v>69</v>
      </c>
      <c r="B70" s="2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 t="str">
        <f>CHOOSE(H70+1,"Monday","Tuesday","Wednesday","Thursday","Friday","Saturday","Sunday")</f>
        <v>Tuesday</v>
      </c>
      <c r="J70">
        <v>1</v>
      </c>
      <c r="K70">
        <v>0.18</v>
      </c>
      <c r="L70">
        <v>0.21210000000000001</v>
      </c>
      <c r="M70">
        <v>0.55000000000000004</v>
      </c>
      <c r="N70" s="1" t="str">
        <f>IF(Table2[[#This Row],[hum]]&lt;=0.8,"Humid",IF(Table2[[#This Row],[hum]]&gt;=0.8,"High Humid"))</f>
        <v>Humid</v>
      </c>
      <c r="O70">
        <v>0.1045</v>
      </c>
      <c r="P70">
        <v>1</v>
      </c>
      <c r="Q70">
        <v>11</v>
      </c>
      <c r="R70">
        <v>12</v>
      </c>
    </row>
    <row r="71" spans="1:18" x14ac:dyDescent="0.25">
      <c r="A71">
        <v>70</v>
      </c>
      <c r="B71" s="2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 t="str">
        <f>CHOOSE(H71+1,"Monday","Tuesday","Wednesday","Thursday","Friday","Saturday","Sunday")</f>
        <v>Wednesday</v>
      </c>
      <c r="J71">
        <v>1</v>
      </c>
      <c r="K71">
        <v>0.16</v>
      </c>
      <c r="M71">
        <v>0.55000000000000004</v>
      </c>
      <c r="N71" s="1" t="str">
        <f>IF(Table2[[#This Row],[hum]]&lt;=0.8,"Humid",IF(Table2[[#This Row],[hum]]&gt;=0.8,"High Humid"))</f>
        <v>Humid</v>
      </c>
      <c r="O71">
        <v>0.1045</v>
      </c>
      <c r="P71">
        <v>0</v>
      </c>
      <c r="Q71">
        <v>5</v>
      </c>
      <c r="R71">
        <v>5</v>
      </c>
    </row>
    <row r="72" spans="1:18" x14ac:dyDescent="0.25">
      <c r="A72">
        <v>71</v>
      </c>
      <c r="B72" s="2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 t="str">
        <f>CHOOSE(H72+1,"Monday","Tuesday","Wednesday","Thursday","Friday","Saturday","Sunday")</f>
        <v>Wednesday</v>
      </c>
      <c r="J72">
        <v>1</v>
      </c>
      <c r="K72">
        <v>0.16</v>
      </c>
      <c r="L72">
        <v>0.18179999999999999</v>
      </c>
      <c r="M72">
        <v>0.59</v>
      </c>
      <c r="N72" s="1" t="str">
        <f>IF(Table2[[#This Row],[hum]]&lt;=0.8,"Humid",IF(Table2[[#This Row],[hum]]&gt;=0.8,"High Humid"))</f>
        <v>Humid</v>
      </c>
      <c r="O72">
        <v>0.1045</v>
      </c>
      <c r="P72">
        <v>0</v>
      </c>
      <c r="Q72">
        <v>2</v>
      </c>
      <c r="R72">
        <v>2</v>
      </c>
    </row>
    <row r="73" spans="1:18" x14ac:dyDescent="0.25">
      <c r="A73">
        <v>72</v>
      </c>
      <c r="B73" s="2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 t="str">
        <f>CHOOSE(H73+1,"Monday","Tuesday","Wednesday","Thursday","Friday","Saturday","Sunday")</f>
        <v>Wednesday</v>
      </c>
      <c r="J73">
        <v>1</v>
      </c>
      <c r="K73">
        <v>0.14000000000000001</v>
      </c>
      <c r="L73">
        <v>0.1515</v>
      </c>
      <c r="M73">
        <v>0.63</v>
      </c>
      <c r="N73" s="1" t="str">
        <f>IF(Table2[[#This Row],[hum]]&lt;=0.8,"Humid",IF(Table2[[#This Row],[hum]]&gt;=0.8,"High Humid"))</f>
        <v>Humid</v>
      </c>
      <c r="O73">
        <v>0.1343</v>
      </c>
      <c r="P73">
        <v>0</v>
      </c>
      <c r="Q73">
        <v>1</v>
      </c>
      <c r="R73">
        <v>1</v>
      </c>
    </row>
    <row r="74" spans="1:18" x14ac:dyDescent="0.25">
      <c r="A74">
        <v>73</v>
      </c>
      <c r="B74" s="2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 t="str">
        <f>CHOOSE(H74+1,"Monday","Tuesday","Wednesday","Thursday","Friday","Saturday","Sunday")</f>
        <v>Wednesday</v>
      </c>
      <c r="J74">
        <v>1</v>
      </c>
      <c r="K74">
        <v>0.14000000000000001</v>
      </c>
      <c r="L74">
        <v>0.18179999999999999</v>
      </c>
      <c r="M74">
        <v>0.63</v>
      </c>
      <c r="N74" s="1" t="str">
        <f>IF(Table2[[#This Row],[hum]]&lt;=0.8,"Humid",IF(Table2[[#This Row],[hum]]&gt;=0.8,"High Humid"))</f>
        <v>Humid</v>
      </c>
      <c r="O74">
        <v>8.9599999999999999E-2</v>
      </c>
      <c r="P74">
        <v>0</v>
      </c>
      <c r="Q74">
        <v>2</v>
      </c>
      <c r="R74">
        <v>2</v>
      </c>
    </row>
    <row r="75" spans="1:18" x14ac:dyDescent="0.25">
      <c r="A75">
        <v>74</v>
      </c>
      <c r="B75" s="2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 t="str">
        <f>CHOOSE(H75+1,"Monday","Tuesday","Wednesday","Thursday","Friday","Saturday","Sunday")</f>
        <v>Wednesday</v>
      </c>
      <c r="J75">
        <v>1</v>
      </c>
      <c r="K75">
        <v>0.12</v>
      </c>
      <c r="L75">
        <v>0.1515</v>
      </c>
      <c r="M75">
        <v>0.68</v>
      </c>
      <c r="N75" s="1" t="str">
        <f>IF(Table2[[#This Row],[hum]]&lt;=0.8,"Humid",IF(Table2[[#This Row],[hum]]&gt;=0.8,"High Humid"))</f>
        <v>Humid</v>
      </c>
      <c r="O75">
        <v>0.1045</v>
      </c>
      <c r="P75">
        <v>0</v>
      </c>
      <c r="Q75">
        <v>4</v>
      </c>
      <c r="R75">
        <v>4</v>
      </c>
    </row>
    <row r="76" spans="1:18" x14ac:dyDescent="0.25">
      <c r="A76">
        <v>75</v>
      </c>
      <c r="B76" s="2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 t="str">
        <f>CHOOSE(H76+1,"Monday","Tuesday","Wednesday","Thursday","Friday","Saturday","Sunday")</f>
        <v>Wednesday</v>
      </c>
      <c r="J76">
        <v>1</v>
      </c>
      <c r="K76">
        <v>0.12</v>
      </c>
      <c r="L76">
        <v>0.1515</v>
      </c>
      <c r="M76">
        <v>0.74</v>
      </c>
      <c r="N76" s="1" t="str">
        <f>IF(Table2[[#This Row],[hum]]&lt;=0.8,"Humid",IF(Table2[[#This Row],[hum]]&gt;=0.8,"High Humid"))</f>
        <v>Humid</v>
      </c>
      <c r="O76">
        <v>0.1045</v>
      </c>
      <c r="P76">
        <v>0</v>
      </c>
      <c r="Q76">
        <v>36</v>
      </c>
      <c r="R76">
        <v>36</v>
      </c>
    </row>
    <row r="77" spans="1:18" x14ac:dyDescent="0.25">
      <c r="A77">
        <v>76</v>
      </c>
      <c r="B77" s="2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 t="str">
        <f>CHOOSE(H77+1,"Monday","Tuesday","Wednesday","Thursday","Friday","Saturday","Sunday")</f>
        <v>Wednesday</v>
      </c>
      <c r="J77">
        <v>1</v>
      </c>
      <c r="K77">
        <v>0.12</v>
      </c>
      <c r="L77">
        <v>0.1515</v>
      </c>
      <c r="M77">
        <v>0.74</v>
      </c>
      <c r="N77" s="1" t="str">
        <f>IF(Table2[[#This Row],[hum]]&lt;=0.8,"Humid",IF(Table2[[#This Row],[hum]]&gt;=0.8,"High Humid"))</f>
        <v>Humid</v>
      </c>
      <c r="O77">
        <v>0.1343</v>
      </c>
      <c r="P77">
        <v>2</v>
      </c>
      <c r="Q77">
        <v>92</v>
      </c>
      <c r="R77">
        <v>94</v>
      </c>
    </row>
    <row r="78" spans="1:18" x14ac:dyDescent="0.25">
      <c r="A78">
        <v>77</v>
      </c>
      <c r="B78" s="2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 t="str">
        <f>CHOOSE(H78+1,"Monday","Tuesday","Wednesday","Thursday","Friday","Saturday","Sunday")</f>
        <v>Wednesday</v>
      </c>
      <c r="J78">
        <v>1</v>
      </c>
      <c r="K78">
        <v>0.14000000000000001</v>
      </c>
      <c r="L78">
        <v>0.1515</v>
      </c>
      <c r="M78">
        <v>0.69</v>
      </c>
      <c r="N78" s="1" t="str">
        <f>IF(Table2[[#This Row],[hum]]&lt;=0.8,"Humid",IF(Table2[[#This Row],[hum]]&gt;=0.8,"High Humid"))</f>
        <v>Humid</v>
      </c>
      <c r="O78">
        <v>0.16420000000000001</v>
      </c>
      <c r="P78">
        <v>2</v>
      </c>
      <c r="Q78">
        <v>177</v>
      </c>
      <c r="R78">
        <v>179</v>
      </c>
    </row>
    <row r="79" spans="1:18" x14ac:dyDescent="0.25">
      <c r="A79">
        <v>78</v>
      </c>
      <c r="B79" s="2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 t="str">
        <f>CHOOSE(H79+1,"Monday","Tuesday","Wednesday","Thursday","Friday","Saturday","Sunday")</f>
        <v>Wednesday</v>
      </c>
      <c r="J79">
        <v>1</v>
      </c>
      <c r="K79">
        <v>0.16</v>
      </c>
      <c r="L79">
        <v>0.1515</v>
      </c>
      <c r="M79">
        <v>0.64</v>
      </c>
      <c r="N79" s="1" t="str">
        <f>IF(Table2[[#This Row],[hum]]&lt;=0.8,"Humid",IF(Table2[[#This Row],[hum]]&gt;=0.8,"High Humid"))</f>
        <v>Humid</v>
      </c>
      <c r="O79">
        <v>0.22389999999999999</v>
      </c>
      <c r="P79">
        <v>2</v>
      </c>
      <c r="Q79">
        <v>98</v>
      </c>
      <c r="R79">
        <v>100</v>
      </c>
    </row>
    <row r="80" spans="1:18" x14ac:dyDescent="0.25">
      <c r="A80">
        <v>79</v>
      </c>
      <c r="B80" s="2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 t="str">
        <f>CHOOSE(H80+1,"Monday","Tuesday","Wednesday","Thursday","Friday","Saturday","Sunday")</f>
        <v>Wednesday</v>
      </c>
      <c r="J80">
        <v>2</v>
      </c>
      <c r="K80">
        <v>0.16</v>
      </c>
      <c r="L80">
        <v>0.13639999999999999</v>
      </c>
      <c r="M80">
        <v>0.69</v>
      </c>
      <c r="N80" s="1" t="str">
        <f>IF(Table2[[#This Row],[hum]]&lt;=0.8,"Humid",IF(Table2[[#This Row],[hum]]&gt;=0.8,"High Humid"))</f>
        <v>Humid</v>
      </c>
      <c r="O80">
        <v>0.32840000000000003</v>
      </c>
      <c r="P80">
        <v>5</v>
      </c>
      <c r="Q80">
        <v>37</v>
      </c>
      <c r="R80">
        <v>42</v>
      </c>
    </row>
    <row r="81" spans="1:18" x14ac:dyDescent="0.25">
      <c r="A81">
        <v>80</v>
      </c>
      <c r="B81" s="2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 t="str">
        <f>CHOOSE(H81+1,"Monday","Tuesday","Wednesday","Thursday","Friday","Saturday","Sunday")</f>
        <v>Wednesday</v>
      </c>
      <c r="J81">
        <v>1</v>
      </c>
      <c r="K81">
        <v>0.22</v>
      </c>
      <c r="L81">
        <v>0.21210000000000001</v>
      </c>
      <c r="M81">
        <v>0.51</v>
      </c>
      <c r="N81" s="1" t="str">
        <f>IF(Table2[[#This Row],[hum]]&lt;=0.8,"Humid",IF(Table2[[#This Row],[hum]]&gt;=0.8,"High Humid"))</f>
        <v>Humid</v>
      </c>
      <c r="O81">
        <v>0.29849999999999999</v>
      </c>
      <c r="P81">
        <v>7</v>
      </c>
      <c r="Q81">
        <v>50</v>
      </c>
      <c r="R81">
        <v>57</v>
      </c>
    </row>
    <row r="82" spans="1:18" x14ac:dyDescent="0.25">
      <c r="A82">
        <v>81</v>
      </c>
      <c r="B82" s="2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 t="str">
        <f>CHOOSE(H82+1,"Monday","Tuesday","Wednesday","Thursday","Friday","Saturday","Sunday")</f>
        <v>Wednesday</v>
      </c>
      <c r="J82">
        <v>1</v>
      </c>
      <c r="K82">
        <v>0.22</v>
      </c>
      <c r="L82">
        <v>0.2273</v>
      </c>
      <c r="M82">
        <v>0.51</v>
      </c>
      <c r="N82" s="1" t="str">
        <f>IF(Table2[[#This Row],[hum]]&lt;=0.8,"Humid",IF(Table2[[#This Row],[hum]]&gt;=0.8,"High Humid"))</f>
        <v>Humid</v>
      </c>
      <c r="O82">
        <v>0.16420000000000001</v>
      </c>
      <c r="P82">
        <v>12</v>
      </c>
      <c r="Q82">
        <v>66</v>
      </c>
      <c r="R82">
        <v>78</v>
      </c>
    </row>
    <row r="83" spans="1:18" x14ac:dyDescent="0.25">
      <c r="A83">
        <v>82</v>
      </c>
      <c r="B83" s="2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 t="str">
        <f>CHOOSE(H83+1,"Monday","Tuesday","Wednesday","Thursday","Friday","Saturday","Sunday")</f>
        <v>Wednesday</v>
      </c>
      <c r="J83">
        <v>1</v>
      </c>
      <c r="K83">
        <v>0.24</v>
      </c>
      <c r="L83">
        <v>0.2273</v>
      </c>
      <c r="M83">
        <v>0.56000000000000005</v>
      </c>
      <c r="N83" s="1" t="str">
        <f>IF(Table2[[#This Row],[hum]]&lt;=0.8,"Humid",IF(Table2[[#This Row],[hum]]&gt;=0.8,"High Humid"))</f>
        <v>Humid</v>
      </c>
      <c r="O83">
        <v>0.19400000000000001</v>
      </c>
      <c r="P83">
        <v>18</v>
      </c>
      <c r="Q83">
        <v>79</v>
      </c>
      <c r="R83">
        <v>97</v>
      </c>
    </row>
    <row r="84" spans="1:18" x14ac:dyDescent="0.25">
      <c r="A84">
        <v>83</v>
      </c>
      <c r="B84" s="2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 t="str">
        <f>CHOOSE(H84+1,"Monday","Tuesday","Wednesday","Thursday","Friday","Saturday","Sunday")</f>
        <v>Wednesday</v>
      </c>
      <c r="J84">
        <v>1</v>
      </c>
      <c r="K84">
        <v>0.26</v>
      </c>
      <c r="L84">
        <v>0.2576</v>
      </c>
      <c r="M84">
        <v>0.52</v>
      </c>
      <c r="N84" s="1" t="str">
        <f>IF(Table2[[#This Row],[hum]]&lt;=0.8,"Humid",IF(Table2[[#This Row],[hum]]&gt;=0.8,"High Humid"))</f>
        <v>Humid</v>
      </c>
      <c r="O84">
        <v>0.22389999999999999</v>
      </c>
      <c r="P84">
        <v>9</v>
      </c>
      <c r="Q84">
        <v>54</v>
      </c>
      <c r="R84">
        <v>63</v>
      </c>
    </row>
    <row r="85" spans="1:18" x14ac:dyDescent="0.25">
      <c r="A85">
        <v>84</v>
      </c>
      <c r="B85" s="2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 t="str">
        <f>CHOOSE(H85+1,"Monday","Tuesday","Wednesday","Thursday","Friday","Saturday","Sunday")</f>
        <v>Wednesday</v>
      </c>
      <c r="J85">
        <v>1</v>
      </c>
      <c r="K85">
        <v>0.28000000000000003</v>
      </c>
      <c r="L85">
        <v>0.2727</v>
      </c>
      <c r="M85">
        <v>0.52</v>
      </c>
      <c r="N85" s="1" t="str">
        <f>IF(Table2[[#This Row],[hum]]&lt;=0.8,"Humid",IF(Table2[[#This Row],[hum]]&gt;=0.8,"High Humid"))</f>
        <v>Humid</v>
      </c>
      <c r="O85">
        <v>0.25369999999999998</v>
      </c>
      <c r="P85">
        <v>17</v>
      </c>
      <c r="Q85">
        <v>48</v>
      </c>
      <c r="R85">
        <v>65</v>
      </c>
    </row>
    <row r="86" spans="1:18" x14ac:dyDescent="0.25">
      <c r="A86">
        <v>85</v>
      </c>
      <c r="B86" s="2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 t="str">
        <f>CHOOSE(H86+1,"Monday","Tuesday","Wednesday","Thursday","Friday","Saturday","Sunday")</f>
        <v>Wednesday</v>
      </c>
      <c r="J86">
        <v>1</v>
      </c>
      <c r="K86">
        <v>0.3</v>
      </c>
      <c r="L86">
        <v>0.28789999999999999</v>
      </c>
      <c r="M86">
        <v>0.49</v>
      </c>
      <c r="N86" s="1" t="str">
        <f>IF(Table2[[#This Row],[hum]]&lt;=0.8,"Humid",IF(Table2[[#This Row],[hum]]&gt;=0.8,"High Humid"))</f>
        <v>Humid</v>
      </c>
      <c r="O86">
        <v>0.25369999999999998</v>
      </c>
      <c r="P86">
        <v>15</v>
      </c>
      <c r="Q86">
        <v>68</v>
      </c>
      <c r="R86">
        <v>83</v>
      </c>
    </row>
    <row r="87" spans="1:18" x14ac:dyDescent="0.25">
      <c r="A87">
        <v>86</v>
      </c>
      <c r="B87" s="2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 t="str">
        <f>CHOOSE(H87+1,"Monday","Tuesday","Wednesday","Thursday","Friday","Saturday","Sunday")</f>
        <v>Wednesday</v>
      </c>
      <c r="J87">
        <v>1</v>
      </c>
      <c r="K87">
        <v>0.28000000000000003</v>
      </c>
      <c r="L87">
        <v>0.2727</v>
      </c>
      <c r="M87">
        <v>0.48</v>
      </c>
      <c r="N87" s="1" t="str">
        <f>IF(Table2[[#This Row],[hum]]&lt;=0.8,"Humid",IF(Table2[[#This Row],[hum]]&gt;=0.8,"High Humid"))</f>
        <v>Humid</v>
      </c>
      <c r="O87">
        <v>0.22389999999999999</v>
      </c>
      <c r="P87">
        <v>10</v>
      </c>
      <c r="Q87">
        <v>202</v>
      </c>
      <c r="R87">
        <v>212</v>
      </c>
    </row>
    <row r="88" spans="1:18" x14ac:dyDescent="0.25">
      <c r="A88">
        <v>87</v>
      </c>
      <c r="B88" s="2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 t="str">
        <f>CHOOSE(H88+1,"Monday","Tuesday","Wednesday","Thursday","Friday","Saturday","Sunday")</f>
        <v>Wednesday</v>
      </c>
      <c r="J88">
        <v>1</v>
      </c>
      <c r="K88">
        <v>0.26</v>
      </c>
      <c r="L88">
        <v>0.2576</v>
      </c>
      <c r="M88">
        <v>0.48</v>
      </c>
      <c r="N88" s="1" t="str">
        <f>IF(Table2[[#This Row],[hum]]&lt;=0.8,"Humid",IF(Table2[[#This Row],[hum]]&gt;=0.8,"High Humid"))</f>
        <v>Humid</v>
      </c>
      <c r="O88">
        <v>0.19400000000000001</v>
      </c>
      <c r="P88">
        <v>3</v>
      </c>
      <c r="Q88">
        <v>179</v>
      </c>
      <c r="R88">
        <v>182</v>
      </c>
    </row>
    <row r="89" spans="1:18" x14ac:dyDescent="0.25">
      <c r="A89">
        <v>88</v>
      </c>
      <c r="B89" s="2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 t="str">
        <f>CHOOSE(H89+1,"Monday","Tuesday","Wednesday","Thursday","Friday","Saturday","Sunday")</f>
        <v>Wednesday</v>
      </c>
      <c r="J89">
        <v>1</v>
      </c>
      <c r="K89">
        <v>0.24</v>
      </c>
      <c r="L89">
        <v>0.2576</v>
      </c>
      <c r="M89">
        <v>0.48</v>
      </c>
      <c r="N89" s="1" t="str">
        <f>IF(Table2[[#This Row],[hum]]&lt;=0.8,"Humid",IF(Table2[[#This Row],[hum]]&gt;=0.8,"High Humid"))</f>
        <v>Humid</v>
      </c>
      <c r="O89">
        <v>0.1045</v>
      </c>
      <c r="P89">
        <v>2</v>
      </c>
      <c r="Q89">
        <v>110</v>
      </c>
      <c r="R89">
        <v>112</v>
      </c>
    </row>
    <row r="90" spans="1:18" x14ac:dyDescent="0.25">
      <c r="A90">
        <v>89</v>
      </c>
      <c r="B90" s="2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 t="str">
        <f>CHOOSE(H90+1,"Monday","Tuesday","Wednesday","Thursday","Friday","Saturday","Sunday")</f>
        <v>Wednesday</v>
      </c>
      <c r="J90">
        <v>1</v>
      </c>
      <c r="K90">
        <v>0.24</v>
      </c>
      <c r="L90">
        <v>0.2576</v>
      </c>
      <c r="M90">
        <v>0.48</v>
      </c>
      <c r="N90" s="1" t="str">
        <f>IF(Table2[[#This Row],[hum]]&lt;=0.8,"Humid",IF(Table2[[#This Row],[hum]]&gt;=0.8,"High Humid"))</f>
        <v>Humid</v>
      </c>
      <c r="O90">
        <v>0.1045</v>
      </c>
      <c r="P90">
        <v>1</v>
      </c>
      <c r="Q90">
        <v>53</v>
      </c>
      <c r="R90">
        <v>54</v>
      </c>
    </row>
    <row r="91" spans="1:18" x14ac:dyDescent="0.25">
      <c r="A91">
        <v>90</v>
      </c>
      <c r="B91" s="2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 t="str">
        <f>CHOOSE(H91+1,"Monday","Tuesday","Wednesday","Thursday","Friday","Saturday","Sunday")</f>
        <v>Wednesday</v>
      </c>
      <c r="J91">
        <v>1</v>
      </c>
      <c r="K91">
        <v>0.22</v>
      </c>
      <c r="L91">
        <v>0.2727</v>
      </c>
      <c r="M91">
        <v>0.64</v>
      </c>
      <c r="N91" s="1" t="str">
        <f>IF(Table2[[#This Row],[hum]]&lt;=0.8,"Humid",IF(Table2[[#This Row],[hum]]&gt;=0.8,"High Humid"))</f>
        <v>Humid</v>
      </c>
      <c r="O91">
        <v>0</v>
      </c>
      <c r="P91">
        <v>0</v>
      </c>
      <c r="Q91">
        <v>48</v>
      </c>
      <c r="R91">
        <v>48</v>
      </c>
    </row>
    <row r="92" spans="1:18" x14ac:dyDescent="0.25">
      <c r="A92">
        <v>91</v>
      </c>
      <c r="B92" s="2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 t="str">
        <f>CHOOSE(H92+1,"Monday","Tuesday","Wednesday","Thursday","Friday","Saturday","Sunday")</f>
        <v>Wednesday</v>
      </c>
      <c r="J92">
        <v>1</v>
      </c>
      <c r="K92">
        <v>0.22</v>
      </c>
      <c r="L92">
        <v>0.2576</v>
      </c>
      <c r="M92">
        <v>0.64</v>
      </c>
      <c r="N92" s="1" t="str">
        <f>IF(Table2[[#This Row],[hum]]&lt;=0.8,"Humid",IF(Table2[[#This Row],[hum]]&gt;=0.8,"High Humid"))</f>
        <v>Humid</v>
      </c>
      <c r="O92">
        <v>8.9599999999999999E-2</v>
      </c>
      <c r="P92">
        <v>1</v>
      </c>
      <c r="Q92">
        <v>34</v>
      </c>
      <c r="R92">
        <v>35</v>
      </c>
    </row>
    <row r="93" spans="1:18" x14ac:dyDescent="0.25">
      <c r="A93">
        <v>92</v>
      </c>
      <c r="B93" s="2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 t="str">
        <f>CHOOSE(H93+1,"Monday","Tuesday","Wednesday","Thursday","Friday","Saturday","Sunday")</f>
        <v>Wednesday</v>
      </c>
      <c r="J93">
        <v>1</v>
      </c>
      <c r="K93">
        <v>0.2</v>
      </c>
      <c r="L93">
        <v>0.2273</v>
      </c>
      <c r="M93">
        <v>0.69</v>
      </c>
      <c r="N93" s="1" t="str">
        <f>IF(Table2[[#This Row],[hum]]&lt;=0.8,"Humid",IF(Table2[[#This Row],[hum]]&gt;=0.8,"High Humid"))</f>
        <v>Humid</v>
      </c>
      <c r="O93">
        <v>8.9599999999999999E-2</v>
      </c>
      <c r="P93">
        <v>2</v>
      </c>
      <c r="Q93">
        <v>9</v>
      </c>
      <c r="R93">
        <v>11</v>
      </c>
    </row>
    <row r="94" spans="1:18" x14ac:dyDescent="0.25">
      <c r="A94">
        <v>93</v>
      </c>
      <c r="B94" s="2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 t="str">
        <f>CHOOSE(H94+1,"Monday","Tuesday","Wednesday","Thursday","Friday","Saturday","Sunday")</f>
        <v>Thursday</v>
      </c>
      <c r="J94">
        <v>1</v>
      </c>
      <c r="K94">
        <v>0.2</v>
      </c>
      <c r="L94">
        <v>0.2576</v>
      </c>
      <c r="M94">
        <v>0.64</v>
      </c>
      <c r="N94" s="1" t="str">
        <f>IF(Table2[[#This Row],[hum]]&lt;=0.8,"Humid",IF(Table2[[#This Row],[hum]]&gt;=0.8,"High Humid"))</f>
        <v>Humid</v>
      </c>
      <c r="O94">
        <v>0</v>
      </c>
      <c r="P94">
        <v>0</v>
      </c>
      <c r="Q94">
        <v>6</v>
      </c>
      <c r="R94">
        <v>6</v>
      </c>
    </row>
    <row r="95" spans="1:18" x14ac:dyDescent="0.25">
      <c r="A95">
        <v>94</v>
      </c>
      <c r="B95" s="2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 t="str">
        <f>CHOOSE(H95+1,"Monday","Tuesday","Wednesday","Thursday","Friday","Saturday","Sunday")</f>
        <v>Thursday</v>
      </c>
      <c r="J95">
        <v>1</v>
      </c>
      <c r="K95">
        <v>0.16</v>
      </c>
      <c r="L95">
        <v>0.19700000000000001</v>
      </c>
      <c r="M95">
        <v>0.74</v>
      </c>
      <c r="N95" s="1" t="str">
        <f>IF(Table2[[#This Row],[hum]]&lt;=0.8,"Humid",IF(Table2[[#This Row],[hum]]&gt;=0.8,"High Humid"))</f>
        <v>Humid</v>
      </c>
      <c r="O95">
        <v>8.9599999999999999E-2</v>
      </c>
      <c r="P95">
        <v>0</v>
      </c>
      <c r="Q95">
        <v>6</v>
      </c>
      <c r="R95">
        <v>6</v>
      </c>
    </row>
    <row r="96" spans="1:18" x14ac:dyDescent="0.25">
      <c r="A96">
        <v>95</v>
      </c>
      <c r="B96" s="2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 t="str">
        <f>CHOOSE(H96+1,"Monday","Tuesday","Wednesday","Thursday","Friday","Saturday","Sunday")</f>
        <v>Thursday</v>
      </c>
      <c r="J96">
        <v>1</v>
      </c>
      <c r="K96">
        <v>0.16</v>
      </c>
      <c r="L96">
        <v>0.19700000000000001</v>
      </c>
      <c r="M96">
        <v>0.74</v>
      </c>
      <c r="N96" s="1" t="str">
        <f>IF(Table2[[#This Row],[hum]]&lt;=0.8,"Humid",IF(Table2[[#This Row],[hum]]&gt;=0.8,"High Humid"))</f>
        <v>Humid</v>
      </c>
      <c r="O96">
        <v>8.9599999999999999E-2</v>
      </c>
      <c r="P96">
        <v>0</v>
      </c>
      <c r="Q96">
        <v>2</v>
      </c>
      <c r="R96">
        <v>2</v>
      </c>
    </row>
    <row r="97" spans="1:18" x14ac:dyDescent="0.25">
      <c r="A97">
        <v>96</v>
      </c>
      <c r="B97" s="2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 t="str">
        <f>CHOOSE(H97+1,"Monday","Tuesday","Wednesday","Thursday","Friday","Saturday","Sunday")</f>
        <v>Thursday</v>
      </c>
      <c r="J97">
        <v>1</v>
      </c>
      <c r="K97">
        <v>0.24</v>
      </c>
      <c r="L97">
        <v>0.2273</v>
      </c>
      <c r="M97">
        <v>0.48</v>
      </c>
      <c r="N97" s="1" t="str">
        <f>IF(Table2[[#This Row],[hum]]&lt;=0.8,"Humid",IF(Table2[[#This Row],[hum]]&gt;=0.8,"High Humid"))</f>
        <v>Humid</v>
      </c>
      <c r="O97">
        <v>0.22389999999999999</v>
      </c>
      <c r="P97">
        <v>0</v>
      </c>
      <c r="Q97">
        <v>2</v>
      </c>
      <c r="R97">
        <v>2</v>
      </c>
    </row>
    <row r="98" spans="1:18" x14ac:dyDescent="0.25">
      <c r="A98">
        <v>97</v>
      </c>
      <c r="B98" s="2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 t="str">
        <f>CHOOSE(H98+1,"Monday","Tuesday","Wednesday","Thursday","Friday","Saturday","Sunday")</f>
        <v>Thursday</v>
      </c>
      <c r="J98">
        <v>1</v>
      </c>
      <c r="K98">
        <v>0.22</v>
      </c>
      <c r="L98">
        <v>0.2273</v>
      </c>
      <c r="M98">
        <v>0.47</v>
      </c>
      <c r="N98" s="1" t="str">
        <f>IF(Table2[[#This Row],[hum]]&lt;=0.8,"Humid",IF(Table2[[#This Row],[hum]]&gt;=0.8,"High Humid"))</f>
        <v>Humid</v>
      </c>
      <c r="O98">
        <v>0.16420000000000001</v>
      </c>
      <c r="P98">
        <v>0</v>
      </c>
      <c r="Q98">
        <v>3</v>
      </c>
      <c r="R98">
        <v>3</v>
      </c>
    </row>
    <row r="99" spans="1:18" x14ac:dyDescent="0.25">
      <c r="A99">
        <v>98</v>
      </c>
      <c r="B99" s="2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 t="str">
        <f>CHOOSE(H99+1,"Monday","Tuesday","Wednesday","Thursday","Friday","Saturday","Sunday")</f>
        <v>Thursday</v>
      </c>
      <c r="J99">
        <v>1</v>
      </c>
      <c r="K99">
        <v>0.2</v>
      </c>
      <c r="L99">
        <v>0.19700000000000001</v>
      </c>
      <c r="M99">
        <v>0.47</v>
      </c>
      <c r="N99" s="1" t="str">
        <f>IF(Table2[[#This Row],[hum]]&lt;=0.8,"Humid",IF(Table2[[#This Row],[hum]]&gt;=0.8,"High Humid"))</f>
        <v>Humid</v>
      </c>
      <c r="O99">
        <v>0.22389999999999999</v>
      </c>
      <c r="P99">
        <v>0</v>
      </c>
      <c r="Q99">
        <v>33</v>
      </c>
      <c r="R99">
        <v>33</v>
      </c>
    </row>
    <row r="100" spans="1:18" x14ac:dyDescent="0.25">
      <c r="A100">
        <v>99</v>
      </c>
      <c r="B100" s="2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 t="str">
        <f>CHOOSE(H100+1,"Monday","Tuesday","Wednesday","Thursday","Friday","Saturday","Sunday")</f>
        <v>Thursday</v>
      </c>
      <c r="J100">
        <v>1</v>
      </c>
      <c r="K100">
        <v>0.18</v>
      </c>
      <c r="L100">
        <v>0.18179999999999999</v>
      </c>
      <c r="M100">
        <v>0.43</v>
      </c>
      <c r="N100" s="1" t="str">
        <f>IF(Table2[[#This Row],[hum]]&lt;=0.8,"Humid",IF(Table2[[#This Row],[hum]]&gt;=0.8,"High Humid"))</f>
        <v>Humid</v>
      </c>
      <c r="O100">
        <v>0.19400000000000001</v>
      </c>
      <c r="P100">
        <v>1</v>
      </c>
      <c r="Q100">
        <v>87</v>
      </c>
      <c r="R100">
        <v>88</v>
      </c>
    </row>
    <row r="101" spans="1:18" x14ac:dyDescent="0.25">
      <c r="A101">
        <v>100</v>
      </c>
      <c r="B101" s="2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 t="str">
        <f>CHOOSE(H101+1,"Monday","Tuesday","Wednesday","Thursday","Friday","Saturday","Sunday")</f>
        <v>Thursday</v>
      </c>
      <c r="J101">
        <v>1</v>
      </c>
      <c r="K101">
        <v>0.2</v>
      </c>
      <c r="L101">
        <v>0.18179999999999999</v>
      </c>
      <c r="M101">
        <v>0.4</v>
      </c>
      <c r="N101" s="1" t="str">
        <f>IF(Table2[[#This Row],[hum]]&lt;=0.8,"Humid",IF(Table2[[#This Row],[hum]]&gt;=0.8,"High Humid"))</f>
        <v>Humid</v>
      </c>
      <c r="O101">
        <v>0.29849999999999999</v>
      </c>
      <c r="P101">
        <v>3</v>
      </c>
      <c r="Q101">
        <v>192</v>
      </c>
      <c r="R101">
        <v>195</v>
      </c>
    </row>
    <row r="102" spans="1:18" x14ac:dyDescent="0.25">
      <c r="A102">
        <v>101</v>
      </c>
      <c r="B102" s="2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 t="str">
        <f>CHOOSE(H102+1,"Monday","Tuesday","Wednesday","Thursday","Friday","Saturday","Sunday")</f>
        <v>Thursday</v>
      </c>
      <c r="J102">
        <v>1</v>
      </c>
      <c r="K102">
        <v>0.22</v>
      </c>
      <c r="L102">
        <v>0.19700000000000001</v>
      </c>
      <c r="M102">
        <v>0.37</v>
      </c>
      <c r="N102" s="1" t="str">
        <f>IF(Table2[[#This Row],[hum]]&lt;=0.8,"Humid",IF(Table2[[#This Row],[hum]]&gt;=0.8,"High Humid"))</f>
        <v>Humid</v>
      </c>
      <c r="O102">
        <v>0.32840000000000003</v>
      </c>
      <c r="P102">
        <v>6</v>
      </c>
      <c r="Q102">
        <v>109</v>
      </c>
      <c r="R102">
        <v>115</v>
      </c>
    </row>
    <row r="103" spans="1:18" x14ac:dyDescent="0.25">
      <c r="A103">
        <v>102</v>
      </c>
      <c r="B103" s="2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 t="str">
        <f>CHOOSE(H103+1,"Monday","Tuesday","Wednesday","Thursday","Friday","Saturday","Sunday")</f>
        <v>Thursday</v>
      </c>
      <c r="J103">
        <v>1</v>
      </c>
      <c r="K103">
        <v>0.22</v>
      </c>
      <c r="L103">
        <v>0.19700000000000001</v>
      </c>
      <c r="M103">
        <v>0.37</v>
      </c>
      <c r="N103" s="1" t="str">
        <f>IF(Table2[[#This Row],[hum]]&lt;=0.8,"Humid",IF(Table2[[#This Row],[hum]]&gt;=0.8,"High Humid"))</f>
        <v>Humid</v>
      </c>
      <c r="O103">
        <v>0.32840000000000003</v>
      </c>
      <c r="P103">
        <v>4</v>
      </c>
      <c r="Q103">
        <v>53</v>
      </c>
      <c r="R103">
        <v>57</v>
      </c>
    </row>
    <row r="104" spans="1:18" x14ac:dyDescent="0.25">
      <c r="A104">
        <v>103</v>
      </c>
      <c r="B104" s="2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 t="str">
        <f>CHOOSE(H104+1,"Monday","Tuesday","Wednesday","Thursday","Friday","Saturday","Sunday")</f>
        <v>Thursday</v>
      </c>
      <c r="J104">
        <v>1</v>
      </c>
      <c r="K104">
        <v>0.26</v>
      </c>
      <c r="L104">
        <v>0.2273</v>
      </c>
      <c r="M104">
        <v>0.33</v>
      </c>
      <c r="N104" s="1" t="str">
        <f>IF(Table2[[#This Row],[hum]]&lt;=0.8,"Humid",IF(Table2[[#This Row],[hum]]&gt;=0.8,"High Humid"))</f>
        <v>Humid</v>
      </c>
      <c r="O104">
        <v>0.32840000000000003</v>
      </c>
      <c r="P104">
        <v>12</v>
      </c>
      <c r="Q104">
        <v>34</v>
      </c>
      <c r="R104">
        <v>46</v>
      </c>
    </row>
    <row r="105" spans="1:18" x14ac:dyDescent="0.25">
      <c r="A105">
        <v>104</v>
      </c>
      <c r="B105" s="2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 t="str">
        <f>CHOOSE(H105+1,"Monday","Tuesday","Wednesday","Thursday","Friday","Saturday","Sunday")</f>
        <v>Thursday</v>
      </c>
      <c r="J105">
        <v>1</v>
      </c>
      <c r="K105">
        <v>0.26</v>
      </c>
      <c r="L105">
        <v>0.2273</v>
      </c>
      <c r="M105">
        <v>0.33</v>
      </c>
      <c r="N105" s="1" t="str">
        <f>IF(Table2[[#This Row],[hum]]&lt;=0.8,"Humid",IF(Table2[[#This Row],[hum]]&gt;=0.8,"High Humid"))</f>
        <v>Humid</v>
      </c>
      <c r="O105">
        <v>0.32840000000000003</v>
      </c>
      <c r="P105">
        <v>5</v>
      </c>
      <c r="Q105">
        <v>74</v>
      </c>
      <c r="R105">
        <v>79</v>
      </c>
    </row>
    <row r="106" spans="1:18" x14ac:dyDescent="0.25">
      <c r="A106">
        <v>105</v>
      </c>
      <c r="B106" s="2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 t="str">
        <f>CHOOSE(H106+1,"Monday","Tuesday","Wednesday","Thursday","Friday","Saturday","Sunday")</f>
        <v>Thursday</v>
      </c>
      <c r="J106">
        <v>1</v>
      </c>
      <c r="K106">
        <v>0.28000000000000003</v>
      </c>
      <c r="L106">
        <v>0.2576</v>
      </c>
      <c r="M106">
        <v>0.3</v>
      </c>
      <c r="N106" s="1" t="str">
        <f>IF(Table2[[#This Row],[hum]]&lt;=0.8,"Humid",IF(Table2[[#This Row],[hum]]&gt;=0.8,"High Humid"))</f>
        <v>Humid</v>
      </c>
      <c r="O106">
        <v>0.29849999999999999</v>
      </c>
      <c r="P106">
        <v>6</v>
      </c>
      <c r="Q106">
        <v>65</v>
      </c>
      <c r="R106">
        <v>71</v>
      </c>
    </row>
    <row r="107" spans="1:18" x14ac:dyDescent="0.25">
      <c r="A107">
        <v>106</v>
      </c>
      <c r="B107" s="2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 t="str">
        <f>CHOOSE(H107+1,"Monday","Tuesday","Wednesday","Thursday","Friday","Saturday","Sunday")</f>
        <v>Thursday</v>
      </c>
      <c r="J107">
        <v>1</v>
      </c>
      <c r="K107">
        <v>0.3</v>
      </c>
      <c r="L107">
        <v>0.28789999999999999</v>
      </c>
      <c r="M107">
        <v>0.28000000000000003</v>
      </c>
      <c r="N107" s="1" t="str">
        <f>IF(Table2[[#This Row],[hum]]&lt;=0.8,"Humid",IF(Table2[[#This Row],[hum]]&gt;=0.8,"High Humid"))</f>
        <v>Humid</v>
      </c>
      <c r="O107">
        <v>0.19400000000000001</v>
      </c>
      <c r="P107">
        <v>10</v>
      </c>
      <c r="Q107">
        <v>52</v>
      </c>
      <c r="R107">
        <v>62</v>
      </c>
    </row>
    <row r="108" spans="1:18" x14ac:dyDescent="0.25">
      <c r="A108">
        <v>107</v>
      </c>
      <c r="B108" s="2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 t="str">
        <f>CHOOSE(H108+1,"Monday","Tuesday","Wednesday","Thursday","Friday","Saturday","Sunday")</f>
        <v>Thursday</v>
      </c>
      <c r="J108">
        <v>1</v>
      </c>
      <c r="K108">
        <v>0.3</v>
      </c>
      <c r="L108">
        <v>0.28789999999999999</v>
      </c>
      <c r="M108">
        <v>0.28000000000000003</v>
      </c>
      <c r="N108" s="1" t="str">
        <f>IF(Table2[[#This Row],[hum]]&lt;=0.8,"Humid",IF(Table2[[#This Row],[hum]]&gt;=0.8,"High Humid"))</f>
        <v>Humid</v>
      </c>
      <c r="O108">
        <v>0.19400000000000001</v>
      </c>
      <c r="P108">
        <v>7</v>
      </c>
      <c r="Q108">
        <v>55</v>
      </c>
      <c r="R108">
        <v>62</v>
      </c>
    </row>
    <row r="109" spans="1:18" x14ac:dyDescent="0.25">
      <c r="A109">
        <v>108</v>
      </c>
      <c r="B109" s="2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 t="str">
        <f>CHOOSE(H109+1,"Monday","Tuesday","Wednesday","Thursday","Friday","Saturday","Sunday")</f>
        <v>Thursday</v>
      </c>
      <c r="J109">
        <v>1</v>
      </c>
      <c r="K109">
        <v>0.3</v>
      </c>
      <c r="L109">
        <v>0.31819999999999998</v>
      </c>
      <c r="M109">
        <v>0.28000000000000003</v>
      </c>
      <c r="N109" s="1" t="str">
        <f>IF(Table2[[#This Row],[hum]]&lt;=0.8,"Humid",IF(Table2[[#This Row],[hum]]&gt;=0.8,"High Humid"))</f>
        <v>Humid</v>
      </c>
      <c r="O109">
        <v>8.9599999999999999E-2</v>
      </c>
      <c r="P109">
        <v>4</v>
      </c>
      <c r="Q109">
        <v>85</v>
      </c>
      <c r="R109">
        <v>89</v>
      </c>
    </row>
    <row r="110" spans="1:18" x14ac:dyDescent="0.25">
      <c r="A110">
        <v>109</v>
      </c>
      <c r="B110" s="2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 t="str">
        <f>CHOOSE(H110+1,"Monday","Tuesday","Wednesday","Thursday","Friday","Saturday","Sunday")</f>
        <v>Thursday</v>
      </c>
      <c r="J110">
        <v>1</v>
      </c>
      <c r="K110">
        <v>0.24</v>
      </c>
      <c r="L110">
        <v>0.2273</v>
      </c>
      <c r="M110">
        <v>0.38</v>
      </c>
      <c r="N110" s="1" t="str">
        <f>IF(Table2[[#This Row],[hum]]&lt;=0.8,"Humid",IF(Table2[[#This Row],[hum]]&gt;=0.8,"High Humid"))</f>
        <v>Humid</v>
      </c>
      <c r="O110">
        <v>0.19400000000000001</v>
      </c>
      <c r="P110">
        <v>4</v>
      </c>
      <c r="Q110">
        <v>186</v>
      </c>
      <c r="R110">
        <v>190</v>
      </c>
    </row>
    <row r="111" spans="1:18" x14ac:dyDescent="0.25">
      <c r="A111">
        <v>110</v>
      </c>
      <c r="B111" s="2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 t="str">
        <f>CHOOSE(H111+1,"Monday","Tuesday","Wednesday","Thursday","Friday","Saturday","Sunday")</f>
        <v>Thursday</v>
      </c>
      <c r="J111">
        <v>1</v>
      </c>
      <c r="K111">
        <v>0.24</v>
      </c>
      <c r="L111">
        <v>0.2424</v>
      </c>
      <c r="M111">
        <v>0.38</v>
      </c>
      <c r="N111" s="1" t="str">
        <f>IF(Table2[[#This Row],[hum]]&lt;=0.8,"Humid",IF(Table2[[#This Row],[hum]]&gt;=0.8,"High Humid"))</f>
        <v>Humid</v>
      </c>
      <c r="O111">
        <v>0.1343</v>
      </c>
      <c r="P111">
        <v>3</v>
      </c>
      <c r="Q111">
        <v>166</v>
      </c>
      <c r="R111">
        <v>169</v>
      </c>
    </row>
    <row r="112" spans="1:18" x14ac:dyDescent="0.25">
      <c r="A112">
        <v>111</v>
      </c>
      <c r="B112" s="2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 t="str">
        <f>CHOOSE(H112+1,"Monday","Tuesday","Wednesday","Thursday","Friday","Saturday","Sunday")</f>
        <v>Thursday</v>
      </c>
      <c r="J112">
        <v>1</v>
      </c>
      <c r="K112">
        <v>0.24</v>
      </c>
      <c r="L112">
        <v>0.2576</v>
      </c>
      <c r="M112">
        <v>0.38</v>
      </c>
      <c r="N112" s="1" t="str">
        <f>IF(Table2[[#This Row],[hum]]&lt;=0.8,"Humid",IF(Table2[[#This Row],[hum]]&gt;=0.8,"High Humid"))</f>
        <v>Humid</v>
      </c>
      <c r="O112">
        <v>0.1045</v>
      </c>
      <c r="P112">
        <v>5</v>
      </c>
      <c r="Q112">
        <v>127</v>
      </c>
      <c r="R112">
        <v>132</v>
      </c>
    </row>
    <row r="113" spans="1:18" x14ac:dyDescent="0.25">
      <c r="A113">
        <v>112</v>
      </c>
      <c r="B113" s="2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 t="str">
        <f>CHOOSE(H113+1,"Monday","Tuesday","Wednesday","Thursday","Friday","Saturday","Sunday")</f>
        <v>Thursday</v>
      </c>
      <c r="J113">
        <v>1</v>
      </c>
      <c r="K113">
        <v>0.22</v>
      </c>
      <c r="L113">
        <v>0.2273</v>
      </c>
      <c r="M113">
        <v>0.47</v>
      </c>
      <c r="N113" s="1" t="str">
        <f>IF(Table2[[#This Row],[hum]]&lt;=0.8,"Humid",IF(Table2[[#This Row],[hum]]&gt;=0.8,"High Humid"))</f>
        <v>Humid</v>
      </c>
      <c r="O113">
        <v>0.16420000000000001</v>
      </c>
      <c r="P113">
        <v>7</v>
      </c>
      <c r="Q113">
        <v>82</v>
      </c>
      <c r="R113">
        <v>89</v>
      </c>
    </row>
    <row r="114" spans="1:18" x14ac:dyDescent="0.25">
      <c r="A114">
        <v>113</v>
      </c>
      <c r="B114" s="2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 t="str">
        <f>CHOOSE(H114+1,"Monday","Tuesday","Wednesday","Thursday","Friday","Saturday","Sunday")</f>
        <v>Thursday</v>
      </c>
      <c r="J114">
        <v>1</v>
      </c>
      <c r="K114">
        <v>0.2</v>
      </c>
      <c r="L114">
        <v>0.19700000000000001</v>
      </c>
      <c r="M114">
        <v>0.51</v>
      </c>
      <c r="N114" s="1" t="str">
        <f>IF(Table2[[#This Row],[hum]]&lt;=0.8,"Humid",IF(Table2[[#This Row],[hum]]&gt;=0.8,"High Humid"))</f>
        <v>Humid</v>
      </c>
      <c r="O114">
        <v>0.19400000000000001</v>
      </c>
      <c r="P114">
        <v>3</v>
      </c>
      <c r="Q114">
        <v>40</v>
      </c>
      <c r="R114">
        <v>43</v>
      </c>
    </row>
    <row r="115" spans="1:18" x14ac:dyDescent="0.25">
      <c r="A115">
        <v>114</v>
      </c>
      <c r="B115" s="2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 t="str">
        <f>CHOOSE(H115+1,"Monday","Tuesday","Wednesday","Thursday","Friday","Saturday","Sunday")</f>
        <v>Thursday</v>
      </c>
      <c r="J115">
        <v>1</v>
      </c>
      <c r="K115">
        <v>0.18</v>
      </c>
      <c r="L115">
        <v>0.19700000000000001</v>
      </c>
      <c r="M115">
        <v>0.55000000000000004</v>
      </c>
      <c r="N115" s="1" t="str">
        <f>IF(Table2[[#This Row],[hum]]&lt;=0.8,"Humid",IF(Table2[[#This Row],[hum]]&gt;=0.8,"High Humid"))</f>
        <v>Humid</v>
      </c>
      <c r="O115">
        <v>0.1343</v>
      </c>
      <c r="P115">
        <v>1</v>
      </c>
      <c r="Q115">
        <v>41</v>
      </c>
      <c r="R115">
        <v>42</v>
      </c>
    </row>
    <row r="116" spans="1:18" x14ac:dyDescent="0.25">
      <c r="A116">
        <v>115</v>
      </c>
      <c r="B116" s="2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 t="str">
        <f>CHOOSE(H116+1,"Monday","Tuesday","Wednesday","Thursday","Friday","Saturday","Sunday")</f>
        <v>Thursday</v>
      </c>
      <c r="J116">
        <v>1</v>
      </c>
      <c r="K116">
        <v>0.2</v>
      </c>
      <c r="L116">
        <v>0.2576</v>
      </c>
      <c r="M116">
        <v>0.47</v>
      </c>
      <c r="N116" s="1" t="str">
        <f>IF(Table2[[#This Row],[hum]]&lt;=0.8,"Humid",IF(Table2[[#This Row],[hum]]&gt;=0.8,"High Humid"))</f>
        <v>Humid</v>
      </c>
      <c r="O116">
        <v>0</v>
      </c>
      <c r="P116">
        <v>1</v>
      </c>
      <c r="Q116">
        <v>18</v>
      </c>
      <c r="R116">
        <v>19</v>
      </c>
    </row>
    <row r="117" spans="1:18" x14ac:dyDescent="0.25">
      <c r="A117">
        <v>116</v>
      </c>
      <c r="B117" s="2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 t="str">
        <f>CHOOSE(H117+1,"Monday","Tuesday","Wednesday","Thursday","Friday","Saturday","Sunday")</f>
        <v>Friday</v>
      </c>
      <c r="J117">
        <v>1</v>
      </c>
      <c r="K117">
        <v>0.18</v>
      </c>
      <c r="L117">
        <v>0.2424</v>
      </c>
      <c r="M117">
        <v>0.55000000000000004</v>
      </c>
      <c r="N117" s="1" t="str">
        <f>IF(Table2[[#This Row],[hum]]&lt;=0.8,"Humid",IF(Table2[[#This Row],[hum]]&gt;=0.8,"High Humid"))</f>
        <v>Humid</v>
      </c>
      <c r="O117">
        <v>0</v>
      </c>
      <c r="P117">
        <v>0</v>
      </c>
      <c r="Q117">
        <v>11</v>
      </c>
      <c r="R117">
        <v>11</v>
      </c>
    </row>
    <row r="118" spans="1:18" x14ac:dyDescent="0.25">
      <c r="A118">
        <v>117</v>
      </c>
      <c r="B118" s="2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 t="str">
        <f>CHOOSE(H118+1,"Monday","Tuesday","Wednesday","Thursday","Friday","Saturday","Sunday")</f>
        <v>Friday</v>
      </c>
      <c r="J118">
        <v>1</v>
      </c>
      <c r="K118">
        <v>0.16</v>
      </c>
      <c r="L118">
        <v>0.2273</v>
      </c>
      <c r="M118">
        <v>0.64</v>
      </c>
      <c r="N118" s="1" t="str">
        <f>IF(Table2[[#This Row],[hum]]&lt;=0.8,"Humid",IF(Table2[[#This Row],[hum]]&gt;=0.8,"High Humid"))</f>
        <v>Humid</v>
      </c>
      <c r="O118">
        <v>0</v>
      </c>
      <c r="P118">
        <v>0</v>
      </c>
      <c r="Q118">
        <v>4</v>
      </c>
      <c r="R118">
        <v>4</v>
      </c>
    </row>
    <row r="119" spans="1:18" x14ac:dyDescent="0.25">
      <c r="A119">
        <v>118</v>
      </c>
      <c r="B119" s="2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 t="str">
        <f>CHOOSE(H119+1,"Monday","Tuesday","Wednesday","Thursday","Friday","Saturday","Sunday")</f>
        <v>Friday</v>
      </c>
      <c r="J119">
        <v>1</v>
      </c>
      <c r="K119">
        <v>0.16</v>
      </c>
      <c r="L119">
        <v>0.2273</v>
      </c>
      <c r="M119">
        <v>0.64</v>
      </c>
      <c r="N119" s="1" t="str">
        <f>IF(Table2[[#This Row],[hum]]&lt;=0.8,"Humid",IF(Table2[[#This Row],[hum]]&gt;=0.8,"High Humid"))</f>
        <v>Humid</v>
      </c>
      <c r="O119">
        <v>0</v>
      </c>
      <c r="P119">
        <v>0</v>
      </c>
      <c r="Q119">
        <v>2</v>
      </c>
      <c r="R119">
        <v>2</v>
      </c>
    </row>
    <row r="120" spans="1:18" x14ac:dyDescent="0.25">
      <c r="A120">
        <v>119</v>
      </c>
      <c r="B120" s="2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 t="str">
        <f>CHOOSE(H120+1,"Monday","Tuesday","Wednesday","Thursday","Friday","Saturday","Sunday")</f>
        <v>Friday</v>
      </c>
      <c r="J120">
        <v>2</v>
      </c>
      <c r="K120">
        <v>0.16</v>
      </c>
      <c r="L120">
        <v>0.19700000000000001</v>
      </c>
      <c r="M120">
        <v>0.64</v>
      </c>
      <c r="N120" s="1" t="str">
        <f>IF(Table2[[#This Row],[hum]]&lt;=0.8,"Humid",IF(Table2[[#This Row],[hum]]&gt;=0.8,"High Humid"))</f>
        <v>Humid</v>
      </c>
      <c r="O120">
        <v>8.9599999999999999E-2</v>
      </c>
      <c r="P120">
        <v>0</v>
      </c>
      <c r="Q120">
        <v>1</v>
      </c>
      <c r="R120">
        <v>1</v>
      </c>
    </row>
    <row r="121" spans="1:18" x14ac:dyDescent="0.25">
      <c r="A121">
        <v>120</v>
      </c>
      <c r="B121" s="2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 t="str">
        <f>CHOOSE(H121+1,"Monday","Tuesday","Wednesday","Thursday","Friday","Saturday","Sunday")</f>
        <v>Friday</v>
      </c>
      <c r="J121">
        <v>2</v>
      </c>
      <c r="K121">
        <v>0.14000000000000001</v>
      </c>
      <c r="L121">
        <v>0.18179999999999999</v>
      </c>
      <c r="M121">
        <v>0.69</v>
      </c>
      <c r="N121" s="1" t="str">
        <f>IF(Table2[[#This Row],[hum]]&lt;=0.8,"Humid",IF(Table2[[#This Row],[hum]]&gt;=0.8,"High Humid"))</f>
        <v>Humid</v>
      </c>
      <c r="O121">
        <v>8.9599999999999999E-2</v>
      </c>
      <c r="P121">
        <v>0</v>
      </c>
      <c r="Q121">
        <v>4</v>
      </c>
      <c r="R121">
        <v>4</v>
      </c>
    </row>
    <row r="122" spans="1:18" x14ac:dyDescent="0.25">
      <c r="A122">
        <v>121</v>
      </c>
      <c r="B122" s="2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 t="str">
        <f>CHOOSE(H122+1,"Monday","Tuesday","Wednesday","Thursday","Friday","Saturday","Sunday")</f>
        <v>Friday</v>
      </c>
      <c r="J122">
        <v>2</v>
      </c>
      <c r="K122">
        <v>0.14000000000000001</v>
      </c>
      <c r="L122">
        <v>0.16669999999999999</v>
      </c>
      <c r="M122">
        <v>0.63</v>
      </c>
      <c r="N122" s="1" t="str">
        <f>IF(Table2[[#This Row],[hum]]&lt;=0.8,"Humid",IF(Table2[[#This Row],[hum]]&gt;=0.8,"High Humid"))</f>
        <v>Humid</v>
      </c>
      <c r="O122">
        <v>0.1045</v>
      </c>
      <c r="P122">
        <v>0</v>
      </c>
      <c r="Q122">
        <v>36</v>
      </c>
      <c r="R122">
        <v>36</v>
      </c>
    </row>
    <row r="123" spans="1:18" x14ac:dyDescent="0.25">
      <c r="A123">
        <v>122</v>
      </c>
      <c r="B123" s="2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 t="str">
        <f>CHOOSE(H123+1,"Monday","Tuesday","Wednesday","Thursday","Friday","Saturday","Sunday")</f>
        <v>Friday</v>
      </c>
      <c r="J123">
        <v>2</v>
      </c>
      <c r="K123">
        <v>0.16</v>
      </c>
      <c r="L123">
        <v>0.2273</v>
      </c>
      <c r="M123">
        <v>0.59</v>
      </c>
      <c r="N123" s="1" t="str">
        <f>IF(Table2[[#This Row],[hum]]&lt;=0.8,"Humid",IF(Table2[[#This Row],[hum]]&gt;=0.8,"High Humid"))</f>
        <v>Humid</v>
      </c>
      <c r="O123">
        <v>0</v>
      </c>
      <c r="P123">
        <v>0</v>
      </c>
      <c r="Q123">
        <v>95</v>
      </c>
      <c r="R123">
        <v>95</v>
      </c>
    </row>
    <row r="124" spans="1:18" x14ac:dyDescent="0.25">
      <c r="A124">
        <v>123</v>
      </c>
      <c r="B124" s="2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 t="str">
        <f>CHOOSE(H124+1,"Monday","Tuesday","Wednesday","Thursday","Friday","Saturday","Sunday")</f>
        <v>Friday</v>
      </c>
      <c r="J124">
        <v>1</v>
      </c>
      <c r="K124">
        <v>0.16</v>
      </c>
      <c r="L124">
        <v>0.2273</v>
      </c>
      <c r="M124">
        <v>0.59</v>
      </c>
      <c r="N124" s="1" t="str">
        <f>IF(Table2[[#This Row],[hum]]&lt;=0.8,"Humid",IF(Table2[[#This Row],[hum]]&gt;=0.8,"High Humid"))</f>
        <v>Humid</v>
      </c>
      <c r="O124">
        <v>0</v>
      </c>
      <c r="P124">
        <v>3</v>
      </c>
      <c r="Q124">
        <v>216</v>
      </c>
      <c r="R124">
        <v>219</v>
      </c>
    </row>
    <row r="125" spans="1:18" x14ac:dyDescent="0.25">
      <c r="A125">
        <v>124</v>
      </c>
      <c r="B125" s="2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 t="str">
        <f>CHOOSE(H125+1,"Monday","Tuesday","Wednesday","Thursday","Friday","Saturday","Sunday")</f>
        <v>Friday</v>
      </c>
      <c r="J125">
        <v>2</v>
      </c>
      <c r="K125">
        <v>0.18</v>
      </c>
      <c r="L125">
        <v>0.2424</v>
      </c>
      <c r="M125">
        <v>0.51</v>
      </c>
      <c r="N125" s="1" t="str">
        <f>IF(Table2[[#This Row],[hum]]&lt;=0.8,"Humid",IF(Table2[[#This Row],[hum]]&gt;=0.8,"High Humid"))</f>
        <v>Humid</v>
      </c>
      <c r="O125">
        <v>0</v>
      </c>
      <c r="P125">
        <v>6</v>
      </c>
      <c r="Q125">
        <v>116</v>
      </c>
      <c r="R125">
        <v>122</v>
      </c>
    </row>
    <row r="126" spans="1:18" x14ac:dyDescent="0.25">
      <c r="A126">
        <v>125</v>
      </c>
      <c r="B126" s="2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 t="str">
        <f>CHOOSE(H126+1,"Monday","Tuesday","Wednesday","Thursday","Friday","Saturday","Sunday")</f>
        <v>Friday</v>
      </c>
      <c r="J126">
        <v>1</v>
      </c>
      <c r="K126">
        <v>0.2</v>
      </c>
      <c r="L126">
        <v>0.2576</v>
      </c>
      <c r="M126">
        <v>0.47</v>
      </c>
      <c r="N126" s="1" t="str">
        <f>IF(Table2[[#This Row],[hum]]&lt;=0.8,"Humid",IF(Table2[[#This Row],[hum]]&gt;=0.8,"High Humid"))</f>
        <v>Humid</v>
      </c>
      <c r="O126">
        <v>0</v>
      </c>
      <c r="P126">
        <v>3</v>
      </c>
      <c r="Q126">
        <v>42</v>
      </c>
      <c r="R126">
        <v>45</v>
      </c>
    </row>
    <row r="127" spans="1:18" x14ac:dyDescent="0.25">
      <c r="A127">
        <v>126</v>
      </c>
      <c r="B127" s="2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 t="str">
        <f>CHOOSE(H127+1,"Monday","Tuesday","Wednesday","Thursday","Friday","Saturday","Sunday")</f>
        <v>Friday</v>
      </c>
      <c r="J127">
        <v>1</v>
      </c>
      <c r="K127">
        <v>0.22</v>
      </c>
      <c r="L127">
        <v>0.2576</v>
      </c>
      <c r="M127">
        <v>0.44</v>
      </c>
      <c r="N127" s="1" t="str">
        <f>IF(Table2[[#This Row],[hum]]&lt;=0.8,"Humid",IF(Table2[[#This Row],[hum]]&gt;=0.8,"High Humid"))</f>
        <v>Humid</v>
      </c>
      <c r="O127">
        <v>8.9599999999999999E-2</v>
      </c>
      <c r="P127">
        <v>2</v>
      </c>
      <c r="Q127">
        <v>57</v>
      </c>
      <c r="R127">
        <v>59</v>
      </c>
    </row>
    <row r="128" spans="1:18" x14ac:dyDescent="0.25">
      <c r="A128">
        <v>127</v>
      </c>
      <c r="B128" s="2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 t="str">
        <f>CHOOSE(H128+1,"Monday","Tuesday","Wednesday","Thursday","Friday","Saturday","Sunday")</f>
        <v>Friday</v>
      </c>
      <c r="J128">
        <v>1</v>
      </c>
      <c r="K128">
        <v>0.26</v>
      </c>
      <c r="L128">
        <v>0.28789999999999999</v>
      </c>
      <c r="M128">
        <v>0.35</v>
      </c>
      <c r="N128" s="1" t="str">
        <f>IF(Table2[[#This Row],[hum]]&lt;=0.8,"Humid",IF(Table2[[#This Row],[hum]]&gt;=0.8,"High Humid"))</f>
        <v>Humid</v>
      </c>
      <c r="O128">
        <v>0</v>
      </c>
      <c r="P128">
        <v>6</v>
      </c>
      <c r="Q128">
        <v>78</v>
      </c>
      <c r="R128">
        <v>84</v>
      </c>
    </row>
    <row r="129" spans="1:18" x14ac:dyDescent="0.25">
      <c r="A129">
        <v>128</v>
      </c>
      <c r="B129" s="2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 t="str">
        <f>CHOOSE(H129+1,"Monday","Tuesday","Wednesday","Thursday","Friday","Saturday","Sunday")</f>
        <v>Friday</v>
      </c>
      <c r="J129">
        <v>1</v>
      </c>
      <c r="K129">
        <v>0.26</v>
      </c>
      <c r="L129">
        <v>0.2727</v>
      </c>
      <c r="M129">
        <v>0.35</v>
      </c>
      <c r="N129" s="1" t="str">
        <f>IF(Table2[[#This Row],[hum]]&lt;=0.8,"Humid",IF(Table2[[#This Row],[hum]]&gt;=0.8,"High Humid"))</f>
        <v>Humid</v>
      </c>
      <c r="O129">
        <v>0.1045</v>
      </c>
      <c r="P129">
        <v>12</v>
      </c>
      <c r="Q129">
        <v>55</v>
      </c>
      <c r="R129">
        <v>67</v>
      </c>
    </row>
    <row r="130" spans="1:18" x14ac:dyDescent="0.25">
      <c r="A130">
        <v>129</v>
      </c>
      <c r="B130" s="2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 t="str">
        <f>CHOOSE(H130+1,"Monday","Tuesday","Wednesday","Thursday","Friday","Saturday","Sunday")</f>
        <v>Friday</v>
      </c>
      <c r="J130">
        <v>1</v>
      </c>
      <c r="K130">
        <v>0.28000000000000003</v>
      </c>
      <c r="L130">
        <v>0.2727</v>
      </c>
      <c r="M130">
        <v>0.36</v>
      </c>
      <c r="N130" s="1" t="str">
        <f>IF(Table2[[#This Row],[hum]]&lt;=0.8,"Humid",IF(Table2[[#This Row],[hum]]&gt;=0.8,"High Humid"))</f>
        <v>Humid</v>
      </c>
      <c r="O130">
        <v>0.16420000000000001</v>
      </c>
      <c r="P130">
        <v>11</v>
      </c>
      <c r="Q130">
        <v>59</v>
      </c>
      <c r="R130">
        <v>70</v>
      </c>
    </row>
    <row r="131" spans="1:18" x14ac:dyDescent="0.25">
      <c r="A131">
        <v>130</v>
      </c>
      <c r="B131" s="2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 t="str">
        <f>CHOOSE(H131+1,"Monday","Tuesday","Wednesday","Thursday","Friday","Saturday","Sunday")</f>
        <v>Friday</v>
      </c>
      <c r="J131">
        <v>1</v>
      </c>
      <c r="K131">
        <v>0.28000000000000003</v>
      </c>
      <c r="L131">
        <v>0.2727</v>
      </c>
      <c r="M131">
        <v>0.36</v>
      </c>
      <c r="N131" s="1" t="str">
        <f>IF(Table2[[#This Row],[hum]]&lt;=0.8,"Humid",IF(Table2[[#This Row],[hum]]&gt;=0.8,"High Humid"))</f>
        <v>Humid</v>
      </c>
      <c r="O131">
        <v>0</v>
      </c>
      <c r="P131">
        <v>8</v>
      </c>
      <c r="Q131">
        <v>54</v>
      </c>
      <c r="R131">
        <v>62</v>
      </c>
    </row>
    <row r="132" spans="1:18" x14ac:dyDescent="0.25">
      <c r="A132">
        <v>131</v>
      </c>
      <c r="B132" s="2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 t="str">
        <f>CHOOSE(H132+1,"Monday","Tuesday","Wednesday","Thursday","Friday","Saturday","Sunday")</f>
        <v>Friday</v>
      </c>
      <c r="J132">
        <v>1</v>
      </c>
      <c r="K132">
        <v>0.26</v>
      </c>
      <c r="L132">
        <v>0.2576</v>
      </c>
      <c r="M132">
        <v>0.38</v>
      </c>
      <c r="N132" s="1" t="str">
        <f>IF(Table2[[#This Row],[hum]]&lt;=0.8,"Humid",IF(Table2[[#This Row],[hum]]&gt;=0.8,"High Humid"))</f>
        <v>Humid</v>
      </c>
      <c r="O132">
        <v>0.16420000000000001</v>
      </c>
      <c r="P132">
        <v>12</v>
      </c>
      <c r="Q132">
        <v>74</v>
      </c>
      <c r="R132">
        <v>86</v>
      </c>
    </row>
    <row r="133" spans="1:18" x14ac:dyDescent="0.25">
      <c r="A133">
        <v>132</v>
      </c>
      <c r="B133" s="2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 t="str">
        <f>CHOOSE(H133+1,"Monday","Tuesday","Wednesday","Thursday","Friday","Saturday","Sunday")</f>
        <v>Friday</v>
      </c>
      <c r="J133">
        <v>1</v>
      </c>
      <c r="K133">
        <v>0.22</v>
      </c>
      <c r="L133">
        <v>0.2273</v>
      </c>
      <c r="M133">
        <v>0.51</v>
      </c>
      <c r="N133" s="1" t="str">
        <f>IF(Table2[[#This Row],[hum]]&lt;=0.8,"Humid",IF(Table2[[#This Row],[hum]]&gt;=0.8,"High Humid"))</f>
        <v>Humid</v>
      </c>
      <c r="O133">
        <v>0.16420000000000001</v>
      </c>
      <c r="P133">
        <v>9</v>
      </c>
      <c r="Q133">
        <v>163</v>
      </c>
      <c r="R133">
        <v>172</v>
      </c>
    </row>
    <row r="134" spans="1:18" x14ac:dyDescent="0.25">
      <c r="A134">
        <v>133</v>
      </c>
      <c r="B134" s="2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 t="str">
        <f>CHOOSE(H134+1,"Monday","Tuesday","Wednesday","Thursday","Friday","Saturday","Sunday")</f>
        <v>Friday</v>
      </c>
      <c r="J134">
        <v>1</v>
      </c>
      <c r="K134">
        <v>0.22</v>
      </c>
      <c r="L134">
        <v>0.2273</v>
      </c>
      <c r="M134">
        <v>0.51</v>
      </c>
      <c r="N134" s="1" t="str">
        <f>IF(Table2[[#This Row],[hum]]&lt;=0.8,"Humid",IF(Table2[[#This Row],[hum]]&gt;=0.8,"High Humid"))</f>
        <v>Humid</v>
      </c>
      <c r="O134">
        <v>0.1343</v>
      </c>
      <c r="P134">
        <v>5</v>
      </c>
      <c r="Q134">
        <v>158</v>
      </c>
      <c r="R134">
        <v>163</v>
      </c>
    </row>
    <row r="135" spans="1:18" x14ac:dyDescent="0.25">
      <c r="A135">
        <v>134</v>
      </c>
      <c r="B135" s="2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 t="str">
        <f>CHOOSE(H135+1,"Monday","Tuesday","Wednesday","Thursday","Friday","Saturday","Sunday")</f>
        <v>Friday</v>
      </c>
      <c r="J135">
        <v>1</v>
      </c>
      <c r="K135">
        <v>0.22</v>
      </c>
      <c r="L135">
        <v>0.2576</v>
      </c>
      <c r="M135">
        <v>0.55000000000000004</v>
      </c>
      <c r="N135" s="1" t="str">
        <f>IF(Table2[[#This Row],[hum]]&lt;=0.8,"Humid",IF(Table2[[#This Row],[hum]]&gt;=0.8,"High Humid"))</f>
        <v>Humid</v>
      </c>
      <c r="O135">
        <v>8.9599999999999999E-2</v>
      </c>
      <c r="P135">
        <v>3</v>
      </c>
      <c r="Q135">
        <v>109</v>
      </c>
      <c r="R135">
        <v>112</v>
      </c>
    </row>
    <row r="136" spans="1:18" x14ac:dyDescent="0.25">
      <c r="A136">
        <v>135</v>
      </c>
      <c r="B136" s="2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 t="str">
        <f>CHOOSE(H136+1,"Monday","Tuesday","Wednesday","Thursday","Friday","Saturday","Sunday")</f>
        <v>Friday</v>
      </c>
      <c r="J136">
        <v>1</v>
      </c>
      <c r="K136">
        <v>0.2</v>
      </c>
      <c r="L136">
        <v>0.21210000000000001</v>
      </c>
      <c r="M136">
        <v>0.51</v>
      </c>
      <c r="N136" s="1" t="str">
        <f>IF(Table2[[#This Row],[hum]]&lt;=0.8,"Humid",IF(Table2[[#This Row],[hum]]&gt;=0.8,"High Humid"))</f>
        <v>Humid</v>
      </c>
      <c r="O136">
        <v>0.16420000000000001</v>
      </c>
      <c r="P136">
        <v>3</v>
      </c>
      <c r="Q136">
        <v>66</v>
      </c>
      <c r="R136">
        <v>69</v>
      </c>
    </row>
    <row r="137" spans="1:18" x14ac:dyDescent="0.25">
      <c r="A137">
        <v>136</v>
      </c>
      <c r="B137" s="2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 t="str">
        <f>CHOOSE(H137+1,"Monday","Tuesday","Wednesday","Thursday","Friday","Saturday","Sunday")</f>
        <v>Friday</v>
      </c>
      <c r="J137">
        <v>2</v>
      </c>
      <c r="K137">
        <v>0.22</v>
      </c>
      <c r="L137">
        <v>0.21210000000000001</v>
      </c>
      <c r="M137">
        <v>0.55000000000000004</v>
      </c>
      <c r="N137" s="1" t="str">
        <f>IF(Table2[[#This Row],[hum]]&lt;=0.8,"Humid",IF(Table2[[#This Row],[hum]]&gt;=0.8,"High Humid"))</f>
        <v>Humid</v>
      </c>
      <c r="O137">
        <v>0.22389999999999999</v>
      </c>
      <c r="P137">
        <v>0</v>
      </c>
      <c r="Q137">
        <v>48</v>
      </c>
      <c r="R137">
        <v>48</v>
      </c>
    </row>
    <row r="138" spans="1:18" x14ac:dyDescent="0.25">
      <c r="A138">
        <v>137</v>
      </c>
      <c r="B138" s="2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 t="str">
        <f>CHOOSE(H138+1,"Monday","Tuesday","Wednesday","Thursday","Friday","Saturday","Sunday")</f>
        <v>Friday</v>
      </c>
      <c r="J138">
        <v>2</v>
      </c>
      <c r="K138">
        <v>0.22</v>
      </c>
      <c r="L138">
        <v>0.21210000000000001</v>
      </c>
      <c r="M138">
        <v>0.51</v>
      </c>
      <c r="N138" s="1" t="str">
        <f>IF(Table2[[#This Row],[hum]]&lt;=0.8,"Humid",IF(Table2[[#This Row],[hum]]&gt;=0.8,"High Humid"))</f>
        <v>Humid</v>
      </c>
      <c r="O138">
        <v>0.28360000000000002</v>
      </c>
      <c r="P138">
        <v>1</v>
      </c>
      <c r="Q138">
        <v>51</v>
      </c>
      <c r="R138">
        <v>52</v>
      </c>
    </row>
    <row r="139" spans="1:18" x14ac:dyDescent="0.25">
      <c r="A139">
        <v>138</v>
      </c>
      <c r="B139" s="2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 t="str">
        <f>CHOOSE(H139+1,"Monday","Tuesday","Wednesday","Thursday","Friday","Saturday","Sunday")</f>
        <v>Friday</v>
      </c>
      <c r="J139">
        <v>2</v>
      </c>
      <c r="K139">
        <v>0.2</v>
      </c>
      <c r="L139">
        <v>0.19700000000000001</v>
      </c>
      <c r="M139">
        <v>0.59</v>
      </c>
      <c r="N139" s="1" t="str">
        <f>IF(Table2[[#This Row],[hum]]&lt;=0.8,"Humid",IF(Table2[[#This Row],[hum]]&gt;=0.8,"High Humid"))</f>
        <v>Humid</v>
      </c>
      <c r="O139">
        <v>0.19400000000000001</v>
      </c>
      <c r="P139">
        <v>4</v>
      </c>
      <c r="Q139">
        <v>19</v>
      </c>
      <c r="R139">
        <v>23</v>
      </c>
    </row>
    <row r="140" spans="1:18" x14ac:dyDescent="0.25">
      <c r="A140">
        <v>139</v>
      </c>
      <c r="B140" s="2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 t="str">
        <f>CHOOSE(H140+1,"Monday","Tuesday","Wednesday","Thursday","Friday","Saturday","Sunday")</f>
        <v>Saturday</v>
      </c>
      <c r="J140">
        <v>2</v>
      </c>
      <c r="K140">
        <v>0.2</v>
      </c>
      <c r="L140">
        <v>0.19700000000000001</v>
      </c>
      <c r="M140">
        <v>0.64</v>
      </c>
      <c r="N140" s="1" t="str">
        <f>IF(Table2[[#This Row],[hum]]&lt;=0.8,"Humid",IF(Table2[[#This Row],[hum]]&gt;=0.8,"High Humid"))</f>
        <v>Humid</v>
      </c>
      <c r="O140">
        <v>0.19400000000000001</v>
      </c>
      <c r="P140">
        <v>4</v>
      </c>
      <c r="Q140">
        <v>13</v>
      </c>
      <c r="R140">
        <v>17</v>
      </c>
    </row>
    <row r="141" spans="1:18" x14ac:dyDescent="0.25">
      <c r="A141">
        <v>140</v>
      </c>
      <c r="B141" s="2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 t="str">
        <f>CHOOSE(H141+1,"Monday","Tuesday","Wednesday","Thursday","Friday","Saturday","Sunday")</f>
        <v>Saturday</v>
      </c>
      <c r="J141">
        <v>2</v>
      </c>
      <c r="K141">
        <v>0.2</v>
      </c>
      <c r="L141">
        <v>0.19700000000000001</v>
      </c>
      <c r="M141">
        <v>0.69</v>
      </c>
      <c r="N141" s="1" t="str">
        <f>IF(Table2[[#This Row],[hum]]&lt;=0.8,"Humid",IF(Table2[[#This Row],[hum]]&gt;=0.8,"High Humid"))</f>
        <v>Humid</v>
      </c>
      <c r="O141">
        <v>0.22389999999999999</v>
      </c>
      <c r="P141">
        <v>2</v>
      </c>
      <c r="Q141">
        <v>5</v>
      </c>
      <c r="R141">
        <v>7</v>
      </c>
    </row>
    <row r="142" spans="1:18" x14ac:dyDescent="0.25">
      <c r="A142">
        <v>141</v>
      </c>
      <c r="B142" s="2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 t="str">
        <f>CHOOSE(H142+1,"Monday","Tuesday","Wednesday","Thursday","Friday","Saturday","Sunday")</f>
        <v>Saturday</v>
      </c>
      <c r="J142">
        <v>2</v>
      </c>
      <c r="K142">
        <v>0.2</v>
      </c>
      <c r="L142">
        <v>0.19700000000000001</v>
      </c>
      <c r="M142">
        <v>0.69</v>
      </c>
      <c r="N142" s="1" t="str">
        <f>IF(Table2[[#This Row],[hum]]&lt;=0.8,"Humid",IF(Table2[[#This Row],[hum]]&gt;=0.8,"High Humid"))</f>
        <v>Humid</v>
      </c>
      <c r="O142">
        <v>0.22389999999999999</v>
      </c>
      <c r="P142">
        <v>0</v>
      </c>
      <c r="Q142">
        <v>1</v>
      </c>
      <c r="R142">
        <v>1</v>
      </c>
    </row>
    <row r="143" spans="1:18" x14ac:dyDescent="0.25">
      <c r="A143">
        <v>142</v>
      </c>
      <c r="B143" s="2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 t="str">
        <f>CHOOSE(H143+1,"Monday","Tuesday","Wednesday","Thursday","Friday","Saturday","Sunday")</f>
        <v>Saturday</v>
      </c>
      <c r="J143">
        <v>2</v>
      </c>
      <c r="K143">
        <v>0.2</v>
      </c>
      <c r="L143">
        <v>0.21210000000000001</v>
      </c>
      <c r="M143">
        <v>0.69</v>
      </c>
      <c r="N143" s="1" t="str">
        <f>IF(Table2[[#This Row],[hum]]&lt;=0.8,"Humid",IF(Table2[[#This Row],[hum]]&gt;=0.8,"High Humid"))</f>
        <v>Humid</v>
      </c>
      <c r="O143">
        <v>0.1343</v>
      </c>
      <c r="P143">
        <v>0</v>
      </c>
      <c r="Q143">
        <v>1</v>
      </c>
      <c r="R143">
        <v>1</v>
      </c>
    </row>
    <row r="144" spans="1:18" x14ac:dyDescent="0.25">
      <c r="A144">
        <v>143</v>
      </c>
      <c r="B144" s="2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 t="str">
        <f>CHOOSE(H144+1,"Monday","Tuesday","Wednesday","Thursday","Friday","Saturday","Sunday")</f>
        <v>Saturday</v>
      </c>
      <c r="J144">
        <v>3</v>
      </c>
      <c r="K144">
        <v>0.22</v>
      </c>
      <c r="L144">
        <v>0.2727</v>
      </c>
      <c r="M144">
        <v>0.55000000000000004</v>
      </c>
      <c r="N144" s="1" t="str">
        <f>IF(Table2[[#This Row],[hum]]&lt;=0.8,"Humid",IF(Table2[[#This Row],[hum]]&gt;=0.8,"High Humid"))</f>
        <v>Humid</v>
      </c>
      <c r="O144">
        <v>0</v>
      </c>
      <c r="P144">
        <v>0</v>
      </c>
      <c r="Q144">
        <v>5</v>
      </c>
      <c r="R144">
        <v>5</v>
      </c>
    </row>
    <row r="145" spans="1:18" x14ac:dyDescent="0.25">
      <c r="A145">
        <v>144</v>
      </c>
      <c r="B145" s="2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 t="str">
        <f>CHOOSE(H145+1,"Monday","Tuesday","Wednesday","Thursday","Friday","Saturday","Sunday")</f>
        <v>Saturday</v>
      </c>
      <c r="J145">
        <v>2</v>
      </c>
      <c r="K145">
        <v>0.2</v>
      </c>
      <c r="L145">
        <v>0.2576</v>
      </c>
      <c r="M145">
        <v>0.69</v>
      </c>
      <c r="N145" s="1" t="str">
        <f>IF(Table2[[#This Row],[hum]]&lt;=0.8,"Humid",IF(Table2[[#This Row],[hum]]&gt;=0.8,"High Humid"))</f>
        <v>Humid</v>
      </c>
      <c r="O145">
        <v>0</v>
      </c>
      <c r="P145">
        <v>8</v>
      </c>
      <c r="Q145">
        <v>26</v>
      </c>
      <c r="R145">
        <v>34</v>
      </c>
    </row>
    <row r="146" spans="1:18" x14ac:dyDescent="0.25">
      <c r="A146">
        <v>145</v>
      </c>
      <c r="B146" s="2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 t="str">
        <f>CHOOSE(H146+1,"Monday","Tuesday","Wednesday","Thursday","Friday","Saturday","Sunday")</f>
        <v>Saturday</v>
      </c>
      <c r="J146">
        <v>1</v>
      </c>
      <c r="K146">
        <v>0.2</v>
      </c>
      <c r="L146">
        <v>0.21210000000000001</v>
      </c>
      <c r="M146">
        <v>0.69</v>
      </c>
      <c r="N146" s="1" t="str">
        <f>IF(Table2[[#This Row],[hum]]&lt;=0.8,"Humid",IF(Table2[[#This Row],[hum]]&gt;=0.8,"High Humid"))</f>
        <v>Humid</v>
      </c>
      <c r="O146">
        <v>0.1343</v>
      </c>
      <c r="P146">
        <v>8</v>
      </c>
      <c r="Q146">
        <v>76</v>
      </c>
      <c r="R146">
        <v>84</v>
      </c>
    </row>
    <row r="147" spans="1:18" x14ac:dyDescent="0.25">
      <c r="A147">
        <v>146</v>
      </c>
      <c r="B147" s="2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 t="str">
        <f>CHOOSE(H147+1,"Monday","Tuesday","Wednesday","Thursday","Friday","Saturday","Sunday")</f>
        <v>Saturday</v>
      </c>
      <c r="J147">
        <v>1</v>
      </c>
      <c r="K147">
        <v>0.2</v>
      </c>
      <c r="L147">
        <v>0.19700000000000001</v>
      </c>
      <c r="M147">
        <v>0.51</v>
      </c>
      <c r="N147" s="1" t="str">
        <f>IF(Table2[[#This Row],[hum]]&lt;=0.8,"Humid",IF(Table2[[#This Row],[hum]]&gt;=0.8,"High Humid"))</f>
        <v>Humid</v>
      </c>
      <c r="O147">
        <v>0.25369999999999998</v>
      </c>
      <c r="P147">
        <v>20</v>
      </c>
      <c r="Q147">
        <v>190</v>
      </c>
      <c r="R147">
        <v>210</v>
      </c>
    </row>
    <row r="148" spans="1:18" x14ac:dyDescent="0.25">
      <c r="A148">
        <v>147</v>
      </c>
      <c r="B148" s="2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 t="str">
        <f>CHOOSE(H148+1,"Monday","Tuesday","Wednesday","Thursday","Friday","Saturday","Sunday")</f>
        <v>Saturday</v>
      </c>
      <c r="J148">
        <v>1</v>
      </c>
      <c r="K148">
        <v>0.2</v>
      </c>
      <c r="L148">
        <v>0.18179999999999999</v>
      </c>
      <c r="M148">
        <v>0.47</v>
      </c>
      <c r="N148" s="1" t="str">
        <f>IF(Table2[[#This Row],[hum]]&lt;=0.8,"Humid",IF(Table2[[#This Row],[hum]]&gt;=0.8,"High Humid"))</f>
        <v>Humid</v>
      </c>
      <c r="O148">
        <v>0.29849999999999999</v>
      </c>
      <c r="P148">
        <v>9</v>
      </c>
      <c r="Q148">
        <v>125</v>
      </c>
      <c r="R148">
        <v>134</v>
      </c>
    </row>
    <row r="149" spans="1:18" x14ac:dyDescent="0.25">
      <c r="A149">
        <v>148</v>
      </c>
      <c r="B149" s="2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 t="str">
        <f>CHOOSE(H149+1,"Monday","Tuesday","Wednesday","Thursday","Friday","Saturday","Sunday")</f>
        <v>Saturday</v>
      </c>
      <c r="J149">
        <v>1</v>
      </c>
      <c r="K149">
        <v>0.22</v>
      </c>
      <c r="L149">
        <v>0.19700000000000001</v>
      </c>
      <c r="M149">
        <v>0.37</v>
      </c>
      <c r="N149" s="1" t="str">
        <f>IF(Table2[[#This Row],[hum]]&lt;=0.8,"Humid",IF(Table2[[#This Row],[hum]]&gt;=0.8,"High Humid"))</f>
        <v>Humid</v>
      </c>
      <c r="O149">
        <v>0.32840000000000003</v>
      </c>
      <c r="P149">
        <v>16</v>
      </c>
      <c r="Q149">
        <v>47</v>
      </c>
      <c r="R149">
        <v>63</v>
      </c>
    </row>
    <row r="150" spans="1:18" x14ac:dyDescent="0.25">
      <c r="A150">
        <v>149</v>
      </c>
      <c r="B150" s="2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 t="str">
        <f>CHOOSE(H150+1,"Monday","Tuesday","Wednesday","Thursday","Friday","Saturday","Sunday")</f>
        <v>Saturday</v>
      </c>
      <c r="J150">
        <v>2</v>
      </c>
      <c r="K150">
        <v>0.2</v>
      </c>
      <c r="L150">
        <v>0.19700000000000001</v>
      </c>
      <c r="M150">
        <v>0.4</v>
      </c>
      <c r="N150" s="1" t="str">
        <f>IF(Table2[[#This Row],[hum]]&lt;=0.8,"Humid",IF(Table2[[#This Row],[hum]]&gt;=0.8,"High Humid"))</f>
        <v>Humid</v>
      </c>
      <c r="O150">
        <v>0.22389999999999999</v>
      </c>
      <c r="P150">
        <v>19</v>
      </c>
      <c r="Q150">
        <v>48</v>
      </c>
      <c r="R150">
        <v>67</v>
      </c>
    </row>
    <row r="151" spans="1:18" x14ac:dyDescent="0.25">
      <c r="A151">
        <v>150</v>
      </c>
      <c r="B151" s="2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 t="str">
        <f>CHOOSE(H151+1,"Monday","Tuesday","Wednesday","Thursday","Friday","Saturday","Sunday")</f>
        <v>Saturday</v>
      </c>
      <c r="J151">
        <v>2</v>
      </c>
      <c r="K151">
        <v>0.2</v>
      </c>
      <c r="L151">
        <v>0.19700000000000001</v>
      </c>
      <c r="M151">
        <v>0.37</v>
      </c>
      <c r="N151" s="1" t="str">
        <f>IF(Table2[[#This Row],[hum]]&lt;=0.8,"Humid",IF(Table2[[#This Row],[hum]]&gt;=0.8,"High Humid"))</f>
        <v>Humid</v>
      </c>
      <c r="O151">
        <v>0.25369999999999998</v>
      </c>
      <c r="P151">
        <v>9</v>
      </c>
      <c r="Q151">
        <v>50</v>
      </c>
      <c r="R151">
        <v>59</v>
      </c>
    </row>
    <row r="152" spans="1:18" x14ac:dyDescent="0.25">
      <c r="A152">
        <v>151</v>
      </c>
      <c r="B152" s="2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 t="str">
        <f>CHOOSE(H152+1,"Monday","Tuesday","Wednesday","Thursday","Friday","Saturday","Sunday")</f>
        <v>Saturday</v>
      </c>
      <c r="J152">
        <v>2</v>
      </c>
      <c r="K152">
        <v>0.2</v>
      </c>
      <c r="L152">
        <v>0.18179999999999999</v>
      </c>
      <c r="M152">
        <v>0.37</v>
      </c>
      <c r="N152" s="1" t="str">
        <f>IF(Table2[[#This Row],[hum]]&lt;=0.8,"Humid",IF(Table2[[#This Row],[hum]]&gt;=0.8,"High Humid"))</f>
        <v>Humid</v>
      </c>
      <c r="O152">
        <v>0.28360000000000002</v>
      </c>
      <c r="P152">
        <v>9</v>
      </c>
      <c r="Q152">
        <v>64</v>
      </c>
      <c r="R152">
        <v>73</v>
      </c>
    </row>
    <row r="153" spans="1:18" x14ac:dyDescent="0.25">
      <c r="A153">
        <v>152</v>
      </c>
      <c r="B153" s="2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 t="str">
        <f>CHOOSE(H153+1,"Monday","Tuesday","Wednesday","Thursday","Friday","Saturday","Sunday")</f>
        <v>Saturday</v>
      </c>
      <c r="J153">
        <v>2</v>
      </c>
      <c r="K153">
        <v>0.2</v>
      </c>
      <c r="L153">
        <v>0.19700000000000001</v>
      </c>
      <c r="M153">
        <v>0.4</v>
      </c>
      <c r="N153" s="1" t="str">
        <f>IF(Table2[[#This Row],[hum]]&lt;=0.8,"Humid",IF(Table2[[#This Row],[hum]]&gt;=0.8,"High Humid"))</f>
        <v>Humid</v>
      </c>
      <c r="O153">
        <v>0.25369999999999998</v>
      </c>
      <c r="P153">
        <v>7</v>
      </c>
      <c r="Q153">
        <v>43</v>
      </c>
      <c r="R153">
        <v>50</v>
      </c>
    </row>
    <row r="154" spans="1:18" x14ac:dyDescent="0.25">
      <c r="A154">
        <v>153</v>
      </c>
      <c r="B154" s="2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 t="str">
        <f>CHOOSE(H154+1,"Monday","Tuesday","Wednesday","Thursday","Friday","Saturday","Sunday")</f>
        <v>Saturday</v>
      </c>
      <c r="J154">
        <v>2</v>
      </c>
      <c r="K154">
        <v>0.2</v>
      </c>
      <c r="L154">
        <v>0.21210000000000001</v>
      </c>
      <c r="M154">
        <v>0.37</v>
      </c>
      <c r="N154" s="1" t="str">
        <f>IF(Table2[[#This Row],[hum]]&lt;=0.8,"Humid",IF(Table2[[#This Row],[hum]]&gt;=0.8,"High Humid"))</f>
        <v>Humid</v>
      </c>
      <c r="O154">
        <v>0.16420000000000001</v>
      </c>
      <c r="P154">
        <v>9</v>
      </c>
      <c r="Q154">
        <v>63</v>
      </c>
      <c r="R154">
        <v>72</v>
      </c>
    </row>
    <row r="155" spans="1:18" x14ac:dyDescent="0.25">
      <c r="A155">
        <v>154</v>
      </c>
      <c r="B155" s="2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 t="str">
        <f>CHOOSE(H155+1,"Monday","Tuesday","Wednesday","Thursday","Friday","Saturday","Sunday")</f>
        <v>Saturday</v>
      </c>
      <c r="J155">
        <v>2</v>
      </c>
      <c r="K155">
        <v>0.2</v>
      </c>
      <c r="L155">
        <v>0.21210000000000001</v>
      </c>
      <c r="M155">
        <v>0.37</v>
      </c>
      <c r="N155" s="1" t="str">
        <f>IF(Table2[[#This Row],[hum]]&lt;=0.8,"Humid",IF(Table2[[#This Row],[hum]]&gt;=0.8,"High Humid"))</f>
        <v>Humid</v>
      </c>
      <c r="O155">
        <v>0.16420000000000001</v>
      </c>
      <c r="P155">
        <v>5</v>
      </c>
      <c r="Q155">
        <v>82</v>
      </c>
      <c r="R155">
        <v>87</v>
      </c>
    </row>
    <row r="156" spans="1:18" x14ac:dyDescent="0.25">
      <c r="A156">
        <v>155</v>
      </c>
      <c r="B156" s="2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 t="str">
        <f>CHOOSE(H156+1,"Monday","Tuesday","Wednesday","Thursday","Friday","Saturday","Sunday")</f>
        <v>Saturday</v>
      </c>
      <c r="J156">
        <v>2</v>
      </c>
      <c r="K156">
        <v>0.2</v>
      </c>
      <c r="L156">
        <v>0.2576</v>
      </c>
      <c r="M156">
        <v>0.37</v>
      </c>
      <c r="N156" s="1" t="str">
        <f>IF(Table2[[#This Row],[hum]]&lt;=0.8,"Humid",IF(Table2[[#This Row],[hum]]&gt;=0.8,"High Humid"))</f>
        <v>Humid</v>
      </c>
      <c r="O156">
        <v>0</v>
      </c>
      <c r="P156">
        <v>9</v>
      </c>
      <c r="Q156">
        <v>178</v>
      </c>
      <c r="R156">
        <v>187</v>
      </c>
    </row>
    <row r="157" spans="1:18" x14ac:dyDescent="0.25">
      <c r="A157">
        <v>156</v>
      </c>
      <c r="B157" s="2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 t="str">
        <f>CHOOSE(H157+1,"Monday","Tuesday","Wednesday","Thursday","Friday","Saturday","Sunday")</f>
        <v>Saturday</v>
      </c>
      <c r="J157">
        <v>1</v>
      </c>
      <c r="K157">
        <v>0.2</v>
      </c>
      <c r="L157">
        <v>0.2273</v>
      </c>
      <c r="M157">
        <v>0.4</v>
      </c>
      <c r="N157" s="1" t="str">
        <f>IF(Table2[[#This Row],[hum]]&lt;=0.8,"Humid",IF(Table2[[#This Row],[hum]]&gt;=0.8,"High Humid"))</f>
        <v>Humid</v>
      </c>
      <c r="O157">
        <v>8.9599999999999999E-2</v>
      </c>
      <c r="P157">
        <v>7</v>
      </c>
      <c r="Q157">
        <v>116</v>
      </c>
      <c r="R157">
        <v>123</v>
      </c>
    </row>
    <row r="158" spans="1:18" x14ac:dyDescent="0.25">
      <c r="A158">
        <v>157</v>
      </c>
      <c r="B158" s="2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 t="str">
        <f>CHOOSE(H158+1,"Monday","Tuesday","Wednesday","Thursday","Friday","Saturday","Sunday")</f>
        <v>Saturday</v>
      </c>
      <c r="J158">
        <v>1</v>
      </c>
      <c r="K158">
        <v>0.16</v>
      </c>
      <c r="L158">
        <v>0.19700000000000001</v>
      </c>
      <c r="M158">
        <v>0.55000000000000004</v>
      </c>
      <c r="N158" s="1" t="str">
        <f>IF(Table2[[#This Row],[hum]]&lt;=0.8,"Humid",IF(Table2[[#This Row],[hum]]&gt;=0.8,"High Humid"))</f>
        <v>Humid</v>
      </c>
      <c r="O158">
        <v>8.9599999999999999E-2</v>
      </c>
      <c r="P158">
        <v>3</v>
      </c>
      <c r="Q158">
        <v>92</v>
      </c>
      <c r="R158">
        <v>95</v>
      </c>
    </row>
    <row r="159" spans="1:18" x14ac:dyDescent="0.25">
      <c r="A159">
        <v>158</v>
      </c>
      <c r="B159" s="2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 t="str">
        <f>CHOOSE(H159+1,"Monday","Tuesday","Wednesday","Thursday","Friday","Saturday","Sunday")</f>
        <v>Saturday</v>
      </c>
      <c r="J159">
        <v>1</v>
      </c>
      <c r="K159">
        <v>0.18</v>
      </c>
      <c r="L159">
        <v>0.21210000000000001</v>
      </c>
      <c r="M159">
        <v>0.47</v>
      </c>
      <c r="N159" s="1" t="str">
        <f>IF(Table2[[#This Row],[hum]]&lt;=0.8,"Humid",IF(Table2[[#This Row],[hum]]&gt;=0.8,"High Humid"))</f>
        <v>Humid</v>
      </c>
      <c r="O159">
        <v>0.1045</v>
      </c>
      <c r="P159">
        <v>1</v>
      </c>
      <c r="Q159">
        <v>50</v>
      </c>
      <c r="R159">
        <v>51</v>
      </c>
    </row>
    <row r="160" spans="1:18" x14ac:dyDescent="0.25">
      <c r="A160">
        <v>159</v>
      </c>
      <c r="B160" s="2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 t="str">
        <f>CHOOSE(H160+1,"Monday","Tuesday","Wednesday","Thursday","Friday","Saturday","Sunday")</f>
        <v>Saturday</v>
      </c>
      <c r="J160">
        <v>1</v>
      </c>
      <c r="K160">
        <v>0.18</v>
      </c>
      <c r="L160">
        <v>0.19700000000000001</v>
      </c>
      <c r="M160">
        <v>0.47</v>
      </c>
      <c r="N160" s="1" t="str">
        <f>IF(Table2[[#This Row],[hum]]&lt;=0.8,"Humid",IF(Table2[[#This Row],[hum]]&gt;=0.8,"High Humid"))</f>
        <v>Humid</v>
      </c>
      <c r="O160">
        <v>0.1343</v>
      </c>
      <c r="P160">
        <v>0</v>
      </c>
      <c r="Q160">
        <v>39</v>
      </c>
      <c r="R160">
        <v>39</v>
      </c>
    </row>
    <row r="161" spans="1:18" x14ac:dyDescent="0.25">
      <c r="A161">
        <v>160</v>
      </c>
      <c r="B161" s="2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 t="str">
        <f>CHOOSE(H161+1,"Monday","Tuesday","Wednesday","Thursday","Friday","Saturday","Sunday")</f>
        <v>Saturday</v>
      </c>
      <c r="J161">
        <v>2</v>
      </c>
      <c r="K161">
        <v>0.18</v>
      </c>
      <c r="L161">
        <v>0.19700000000000001</v>
      </c>
      <c r="M161">
        <v>0.43</v>
      </c>
      <c r="N161" s="1" t="str">
        <f>IF(Table2[[#This Row],[hum]]&lt;=0.8,"Humid",IF(Table2[[#This Row],[hum]]&gt;=0.8,"High Humid"))</f>
        <v>Humid</v>
      </c>
      <c r="O161">
        <v>0.16420000000000001</v>
      </c>
      <c r="P161">
        <v>2</v>
      </c>
      <c r="Q161">
        <v>34</v>
      </c>
      <c r="R161">
        <v>36</v>
      </c>
    </row>
    <row r="162" spans="1:18" x14ac:dyDescent="0.25">
      <c r="A162">
        <v>161</v>
      </c>
      <c r="B162" s="2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 t="str">
        <f>CHOOSE(H162+1,"Monday","Tuesday","Wednesday","Thursday","Friday","Saturday","Sunday")</f>
        <v>Saturday</v>
      </c>
      <c r="J162">
        <v>2</v>
      </c>
      <c r="K162">
        <v>0.18</v>
      </c>
      <c r="L162">
        <v>0.19700000000000001</v>
      </c>
      <c r="M162">
        <v>0.51</v>
      </c>
      <c r="N162" s="1" t="str">
        <f>IF(Table2[[#This Row],[hum]]&lt;=0.8,"Humid",IF(Table2[[#This Row],[hum]]&gt;=0.8,"High Humid"))</f>
        <v>Humid</v>
      </c>
      <c r="O162">
        <v>0.16420000000000001</v>
      </c>
      <c r="P162">
        <v>1</v>
      </c>
      <c r="Q162">
        <v>14</v>
      </c>
      <c r="R162">
        <v>15</v>
      </c>
    </row>
    <row r="163" spans="1:18" x14ac:dyDescent="0.25">
      <c r="A163">
        <v>162</v>
      </c>
      <c r="B163" s="2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 t="str">
        <f>CHOOSE(H163+1,"Monday","Tuesday","Wednesday","Thursday","Friday","Saturday","Sunday")</f>
        <v>Sunday</v>
      </c>
      <c r="J163">
        <v>2</v>
      </c>
      <c r="K163">
        <v>0.18</v>
      </c>
      <c r="L163">
        <v>0.19700000000000001</v>
      </c>
      <c r="M163">
        <v>0.51</v>
      </c>
      <c r="N163" s="1" t="str">
        <f>IF(Table2[[#This Row],[hum]]&lt;=0.8,"Humid",IF(Table2[[#This Row],[hum]]&gt;=0.8,"High Humid"))</f>
        <v>Humid</v>
      </c>
      <c r="O163">
        <v>0.16420000000000001</v>
      </c>
      <c r="P163">
        <v>1</v>
      </c>
      <c r="Q163">
        <v>24</v>
      </c>
      <c r="R163">
        <v>25</v>
      </c>
    </row>
    <row r="164" spans="1:18" x14ac:dyDescent="0.25">
      <c r="A164">
        <v>163</v>
      </c>
      <c r="B164" s="2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 t="str">
        <f>CHOOSE(H164+1,"Monday","Tuesday","Wednesday","Thursday","Friday","Saturday","Sunday")</f>
        <v>Sunday</v>
      </c>
      <c r="J164">
        <v>2</v>
      </c>
      <c r="K164">
        <v>0.18</v>
      </c>
      <c r="L164">
        <v>0.21210000000000001</v>
      </c>
      <c r="M164">
        <v>0.55000000000000004</v>
      </c>
      <c r="N164" s="1" t="str">
        <f>IF(Table2[[#This Row],[hum]]&lt;=0.8,"Humid",IF(Table2[[#This Row],[hum]]&gt;=0.8,"High Humid"))</f>
        <v>Humid</v>
      </c>
      <c r="O164">
        <v>8.9599999999999999E-2</v>
      </c>
      <c r="P164">
        <v>1</v>
      </c>
      <c r="Q164">
        <v>15</v>
      </c>
      <c r="R164">
        <v>16</v>
      </c>
    </row>
    <row r="165" spans="1:18" x14ac:dyDescent="0.25">
      <c r="A165">
        <v>164</v>
      </c>
      <c r="B165" s="2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 t="str">
        <f>CHOOSE(H165+1,"Monday","Tuesday","Wednesday","Thursday","Friday","Saturday","Sunday")</f>
        <v>Sunday</v>
      </c>
      <c r="J165">
        <v>2</v>
      </c>
      <c r="K165">
        <v>0.18</v>
      </c>
      <c r="L165">
        <v>0.2424</v>
      </c>
      <c r="M165">
        <v>0.55000000000000004</v>
      </c>
      <c r="N165" s="1" t="str">
        <f>IF(Table2[[#This Row],[hum]]&lt;=0.8,"Humid",IF(Table2[[#This Row],[hum]]&gt;=0.8,"High Humid"))</f>
        <v>Humid</v>
      </c>
      <c r="O165">
        <v>0</v>
      </c>
      <c r="P165">
        <v>3</v>
      </c>
      <c r="Q165">
        <v>13</v>
      </c>
      <c r="R165">
        <v>16</v>
      </c>
    </row>
    <row r="166" spans="1:18" x14ac:dyDescent="0.25">
      <c r="A166">
        <v>165</v>
      </c>
      <c r="B166" s="2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 t="str">
        <f>CHOOSE(H166+1,"Monday","Tuesday","Wednesday","Thursday","Friday","Saturday","Sunday")</f>
        <v>Sunday</v>
      </c>
      <c r="J166">
        <v>3</v>
      </c>
      <c r="K166">
        <v>0.18</v>
      </c>
      <c r="L166">
        <v>0.19700000000000001</v>
      </c>
      <c r="M166">
        <v>0.55000000000000004</v>
      </c>
      <c r="N166" s="1" t="str">
        <f>IF(Table2[[#This Row],[hum]]&lt;=0.8,"Humid",IF(Table2[[#This Row],[hum]]&gt;=0.8,"High Humid"))</f>
        <v>Humid</v>
      </c>
      <c r="O166">
        <v>0.16420000000000001</v>
      </c>
      <c r="P166">
        <v>0</v>
      </c>
      <c r="Q166">
        <v>7</v>
      </c>
      <c r="R166">
        <v>7</v>
      </c>
    </row>
    <row r="167" spans="1:18" x14ac:dyDescent="0.25">
      <c r="A167">
        <v>166</v>
      </c>
      <c r="B167" s="2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 t="str">
        <f>CHOOSE(H167+1,"Monday","Tuesday","Wednesday","Thursday","Friday","Saturday","Sunday")</f>
        <v>Sunday</v>
      </c>
      <c r="J167">
        <v>3</v>
      </c>
      <c r="K167">
        <v>0.18</v>
      </c>
      <c r="L167">
        <v>0.19700000000000001</v>
      </c>
      <c r="M167">
        <v>0.55000000000000004</v>
      </c>
      <c r="N167" s="1" t="str">
        <f>IF(Table2[[#This Row],[hum]]&lt;=0.8,"Humid",IF(Table2[[#This Row],[hum]]&gt;=0.8,"High Humid"))</f>
        <v>Humid</v>
      </c>
      <c r="O167">
        <v>0.16420000000000001</v>
      </c>
      <c r="P167">
        <v>0</v>
      </c>
      <c r="Q167">
        <v>1</v>
      </c>
      <c r="R167">
        <v>1</v>
      </c>
    </row>
    <row r="168" spans="1:18" x14ac:dyDescent="0.25">
      <c r="A168">
        <v>167</v>
      </c>
      <c r="B168" s="2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 t="str">
        <f>CHOOSE(H168+1,"Monday","Tuesday","Wednesday","Thursday","Friday","Saturday","Sunday")</f>
        <v>Sunday</v>
      </c>
      <c r="J168">
        <v>2</v>
      </c>
      <c r="K168">
        <v>0.16</v>
      </c>
      <c r="L168">
        <v>0.16669999999999999</v>
      </c>
      <c r="M168">
        <v>0.74</v>
      </c>
      <c r="N168" s="1" t="str">
        <f>IF(Table2[[#This Row],[hum]]&lt;=0.8,"Humid",IF(Table2[[#This Row],[hum]]&gt;=0.8,"High Humid"))</f>
        <v>Humid</v>
      </c>
      <c r="O168">
        <v>0.16420000000000001</v>
      </c>
      <c r="P168">
        <v>0</v>
      </c>
      <c r="Q168">
        <v>5</v>
      </c>
      <c r="R168">
        <v>5</v>
      </c>
    </row>
    <row r="169" spans="1:18" x14ac:dyDescent="0.25">
      <c r="A169">
        <v>168</v>
      </c>
      <c r="B169" s="2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 t="str">
        <f>CHOOSE(H169+1,"Monday","Tuesday","Wednesday","Thursday","Friday","Saturday","Sunday")</f>
        <v>Sunday</v>
      </c>
      <c r="J169">
        <v>2</v>
      </c>
      <c r="K169">
        <v>0.16</v>
      </c>
      <c r="L169">
        <v>0.16669999999999999</v>
      </c>
      <c r="M169">
        <v>0.74</v>
      </c>
      <c r="N169" s="1" t="str">
        <f>IF(Table2[[#This Row],[hum]]&lt;=0.8,"Humid",IF(Table2[[#This Row],[hum]]&gt;=0.8,"High Humid"))</f>
        <v>Humid</v>
      </c>
      <c r="O169">
        <v>0.16420000000000001</v>
      </c>
      <c r="P169">
        <v>0</v>
      </c>
      <c r="Q169">
        <v>2</v>
      </c>
      <c r="R169">
        <v>2</v>
      </c>
    </row>
    <row r="170" spans="1:18" x14ac:dyDescent="0.25">
      <c r="A170">
        <v>169</v>
      </c>
      <c r="B170" s="2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 t="str">
        <f>CHOOSE(H170+1,"Monday","Tuesday","Wednesday","Thursday","Friday","Saturday","Sunday")</f>
        <v>Sunday</v>
      </c>
      <c r="J170">
        <v>2</v>
      </c>
      <c r="K170">
        <v>0.16</v>
      </c>
      <c r="L170">
        <v>0.18179999999999999</v>
      </c>
      <c r="M170">
        <v>0.74</v>
      </c>
      <c r="N170" s="1" t="str">
        <f>IF(Table2[[#This Row],[hum]]&lt;=0.8,"Humid",IF(Table2[[#This Row],[hum]]&gt;=0.8,"High Humid"))</f>
        <v>Humid</v>
      </c>
      <c r="O170">
        <v>0.1045</v>
      </c>
      <c r="P170">
        <v>1</v>
      </c>
      <c r="Q170">
        <v>8</v>
      </c>
      <c r="R170">
        <v>9</v>
      </c>
    </row>
    <row r="171" spans="1:18" x14ac:dyDescent="0.25">
      <c r="A171">
        <v>170</v>
      </c>
      <c r="B171" s="2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 t="str">
        <f>CHOOSE(H171+1,"Monday","Tuesday","Wednesday","Thursday","Friday","Saturday","Sunday")</f>
        <v>Sunday</v>
      </c>
      <c r="J171">
        <v>3</v>
      </c>
      <c r="K171">
        <v>0.16</v>
      </c>
      <c r="L171">
        <v>0.18179999999999999</v>
      </c>
      <c r="M171">
        <v>0.93</v>
      </c>
      <c r="N171" s="1" t="str">
        <f>IF(Table2[[#This Row],[hum]]&lt;=0.8,"Humid",IF(Table2[[#This Row],[hum]]&gt;=0.8,"High Humid"))</f>
        <v>High Humid</v>
      </c>
      <c r="O171">
        <v>0.1045</v>
      </c>
      <c r="P171">
        <v>0</v>
      </c>
      <c r="Q171">
        <v>15</v>
      </c>
      <c r="R171">
        <v>15</v>
      </c>
    </row>
    <row r="172" spans="1:18" x14ac:dyDescent="0.25">
      <c r="A172">
        <v>171</v>
      </c>
      <c r="B172" s="2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 t="str">
        <f>CHOOSE(H172+1,"Monday","Tuesday","Wednesday","Thursday","Friday","Saturday","Sunday")</f>
        <v>Sunday</v>
      </c>
      <c r="J172">
        <v>3</v>
      </c>
      <c r="K172">
        <v>0.16</v>
      </c>
      <c r="L172">
        <v>0.18179999999999999</v>
      </c>
      <c r="M172">
        <v>0.93</v>
      </c>
      <c r="N172" s="1" t="str">
        <f>IF(Table2[[#This Row],[hum]]&lt;=0.8,"Humid",IF(Table2[[#This Row],[hum]]&gt;=0.8,"High Humid"))</f>
        <v>High Humid</v>
      </c>
      <c r="O172">
        <v>0.1045</v>
      </c>
      <c r="P172">
        <v>0</v>
      </c>
      <c r="Q172">
        <v>20</v>
      </c>
      <c r="R172">
        <v>20</v>
      </c>
    </row>
    <row r="173" spans="1:18" x14ac:dyDescent="0.25">
      <c r="A173">
        <v>172</v>
      </c>
      <c r="B173" s="2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 t="str">
        <f>CHOOSE(H173+1,"Monday","Tuesday","Wednesday","Thursday","Friday","Saturday","Sunday")</f>
        <v>Sunday</v>
      </c>
      <c r="J173">
        <v>2</v>
      </c>
      <c r="K173">
        <v>0.18</v>
      </c>
      <c r="L173">
        <v>0.19700000000000001</v>
      </c>
      <c r="M173">
        <v>0.8</v>
      </c>
      <c r="N173" s="1" t="str">
        <f>IF(Table2[[#This Row],[hum]]&lt;=0.8,"Humid",IF(Table2[[#This Row],[hum]]&gt;=0.8,"High Humid"))</f>
        <v>Humid</v>
      </c>
      <c r="O173">
        <v>0.16420000000000001</v>
      </c>
      <c r="P173">
        <v>5</v>
      </c>
      <c r="Q173">
        <v>56</v>
      </c>
      <c r="R173">
        <v>61</v>
      </c>
    </row>
    <row r="174" spans="1:18" x14ac:dyDescent="0.25">
      <c r="A174">
        <v>173</v>
      </c>
      <c r="B174" s="2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 t="str">
        <f>CHOOSE(H174+1,"Monday","Tuesday","Wednesday","Thursday","Friday","Saturday","Sunday")</f>
        <v>Sunday</v>
      </c>
      <c r="J174">
        <v>2</v>
      </c>
      <c r="K174">
        <v>0.2</v>
      </c>
      <c r="L174">
        <v>0.18179999999999999</v>
      </c>
      <c r="M174">
        <v>0.69</v>
      </c>
      <c r="N174" s="1" t="str">
        <f>IF(Table2[[#This Row],[hum]]&lt;=0.8,"Humid",IF(Table2[[#This Row],[hum]]&gt;=0.8,"High Humid"))</f>
        <v>Humid</v>
      </c>
      <c r="O174">
        <v>0.3881</v>
      </c>
      <c r="P174">
        <v>2</v>
      </c>
      <c r="Q174">
        <v>60</v>
      </c>
      <c r="R174">
        <v>62</v>
      </c>
    </row>
    <row r="175" spans="1:18" x14ac:dyDescent="0.25">
      <c r="A175">
        <v>174</v>
      </c>
      <c r="B175" s="2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 t="str">
        <f>CHOOSE(H175+1,"Monday","Tuesday","Wednesday","Thursday","Friday","Saturday","Sunday")</f>
        <v>Sunday</v>
      </c>
      <c r="J175">
        <v>2</v>
      </c>
      <c r="K175">
        <v>0.2</v>
      </c>
      <c r="L175">
        <v>0.18179999999999999</v>
      </c>
      <c r="M175">
        <v>0.59</v>
      </c>
      <c r="N175" s="1" t="str">
        <f>IF(Table2[[#This Row],[hum]]&lt;=0.8,"Humid",IF(Table2[[#This Row],[hum]]&gt;=0.8,"High Humid"))</f>
        <v>Humid</v>
      </c>
      <c r="O175">
        <v>0.35820000000000002</v>
      </c>
      <c r="P175">
        <v>8</v>
      </c>
      <c r="Q175">
        <v>90</v>
      </c>
      <c r="R175">
        <v>98</v>
      </c>
    </row>
    <row r="176" spans="1:18" x14ac:dyDescent="0.25">
      <c r="A176">
        <v>175</v>
      </c>
      <c r="B176" s="2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 t="str">
        <f>CHOOSE(H176+1,"Monday","Tuesday","Wednesday","Thursday","Friday","Saturday","Sunday")</f>
        <v>Sunday</v>
      </c>
      <c r="J176">
        <v>1</v>
      </c>
      <c r="K176">
        <v>0.2</v>
      </c>
      <c r="L176">
        <v>0.18179999999999999</v>
      </c>
      <c r="M176">
        <v>0.44</v>
      </c>
      <c r="N176" s="1" t="str">
        <f>IF(Table2[[#This Row],[hum]]&lt;=0.8,"Humid",IF(Table2[[#This Row],[hum]]&gt;=0.8,"High Humid"))</f>
        <v>Humid</v>
      </c>
      <c r="O176">
        <v>0.32840000000000003</v>
      </c>
      <c r="P176">
        <v>7</v>
      </c>
      <c r="Q176">
        <v>95</v>
      </c>
      <c r="R176">
        <v>102</v>
      </c>
    </row>
    <row r="177" spans="1:18" x14ac:dyDescent="0.25">
      <c r="A177">
        <v>176</v>
      </c>
      <c r="B177" s="2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 t="str">
        <f>CHOOSE(H177+1,"Monday","Tuesday","Wednesday","Thursday","Friday","Saturday","Sunday")</f>
        <v>Sunday</v>
      </c>
      <c r="J177">
        <v>1</v>
      </c>
      <c r="K177">
        <v>0.2</v>
      </c>
      <c r="L177">
        <v>0.16669999999999999</v>
      </c>
      <c r="M177">
        <v>0.32</v>
      </c>
      <c r="N177" s="1" t="str">
        <f>IF(Table2[[#This Row],[hum]]&lt;=0.8,"Humid",IF(Table2[[#This Row],[hum]]&gt;=0.8,"High Humid"))</f>
        <v>Humid</v>
      </c>
      <c r="O177">
        <v>0.49249999999999999</v>
      </c>
      <c r="P177">
        <v>12</v>
      </c>
      <c r="Q177">
        <v>83</v>
      </c>
      <c r="R177">
        <v>95</v>
      </c>
    </row>
    <row r="178" spans="1:18" x14ac:dyDescent="0.25">
      <c r="A178">
        <v>177</v>
      </c>
      <c r="B178" s="2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 t="str">
        <f>CHOOSE(H178+1,"Monday","Tuesday","Wednesday","Thursday","Friday","Saturday","Sunday")</f>
        <v>Sunday</v>
      </c>
      <c r="J178">
        <v>1</v>
      </c>
      <c r="K178">
        <v>0.2</v>
      </c>
      <c r="L178">
        <v>0.16669999999999999</v>
      </c>
      <c r="M178">
        <v>0.32</v>
      </c>
      <c r="N178" s="1" t="str">
        <f>IF(Table2[[#This Row],[hum]]&lt;=0.8,"Humid",IF(Table2[[#This Row],[hum]]&gt;=0.8,"High Humid"))</f>
        <v>Humid</v>
      </c>
      <c r="O178">
        <v>0.44779999999999998</v>
      </c>
      <c r="P178">
        <v>5</v>
      </c>
      <c r="Q178">
        <v>69</v>
      </c>
      <c r="R178">
        <v>74</v>
      </c>
    </row>
    <row r="179" spans="1:18" x14ac:dyDescent="0.25">
      <c r="A179">
        <v>178</v>
      </c>
      <c r="B179" s="2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 t="str">
        <f>CHOOSE(H179+1,"Monday","Tuesday","Wednesday","Thursday","Friday","Saturday","Sunday")</f>
        <v>Sunday</v>
      </c>
      <c r="J179">
        <v>1</v>
      </c>
      <c r="K179">
        <v>0.18</v>
      </c>
      <c r="L179">
        <v>0.13639999999999999</v>
      </c>
      <c r="M179">
        <v>0.28999999999999998</v>
      </c>
      <c r="N179" s="1" t="str">
        <f>IF(Table2[[#This Row],[hum]]&lt;=0.8,"Humid",IF(Table2[[#This Row],[hum]]&gt;=0.8,"High Humid"))</f>
        <v>Humid</v>
      </c>
      <c r="O179">
        <v>0.44779999999999998</v>
      </c>
      <c r="P179">
        <v>8</v>
      </c>
      <c r="Q179">
        <v>68</v>
      </c>
      <c r="R179">
        <v>76</v>
      </c>
    </row>
    <row r="180" spans="1:18" x14ac:dyDescent="0.25">
      <c r="A180">
        <v>179</v>
      </c>
      <c r="B180" s="2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 t="str">
        <f>CHOOSE(H180+1,"Monday","Tuesday","Wednesday","Thursday","Friday","Saturday","Sunday")</f>
        <v>Sunday</v>
      </c>
      <c r="J180">
        <v>1</v>
      </c>
      <c r="K180">
        <v>0.16</v>
      </c>
      <c r="L180">
        <v>0.1212</v>
      </c>
      <c r="M180">
        <v>0.37</v>
      </c>
      <c r="N180" s="1" t="str">
        <f>IF(Table2[[#This Row],[hum]]&lt;=0.8,"Humid",IF(Table2[[#This Row],[hum]]&gt;=0.8,"High Humid"))</f>
        <v>Humid</v>
      </c>
      <c r="O180">
        <v>0.55220000000000002</v>
      </c>
      <c r="P180">
        <v>5</v>
      </c>
      <c r="Q180">
        <v>64</v>
      </c>
      <c r="R180">
        <v>69</v>
      </c>
    </row>
    <row r="181" spans="1:18" x14ac:dyDescent="0.25">
      <c r="A181">
        <v>180</v>
      </c>
      <c r="B181" s="2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 t="str">
        <f>CHOOSE(H181+1,"Monday","Tuesday","Wednesday","Thursday","Friday","Saturday","Sunday")</f>
        <v>Sunday</v>
      </c>
      <c r="J181">
        <v>1</v>
      </c>
      <c r="K181">
        <v>0.14000000000000001</v>
      </c>
      <c r="L181">
        <v>0.1212</v>
      </c>
      <c r="M181">
        <v>0.39</v>
      </c>
      <c r="N181" s="1" t="str">
        <f>IF(Table2[[#This Row],[hum]]&lt;=0.8,"Humid",IF(Table2[[#This Row],[hum]]&gt;=0.8,"High Humid"))</f>
        <v>Humid</v>
      </c>
      <c r="O181">
        <v>0.29849999999999999</v>
      </c>
      <c r="P181">
        <v>3</v>
      </c>
      <c r="Q181">
        <v>52</v>
      </c>
      <c r="R181">
        <v>55</v>
      </c>
    </row>
    <row r="182" spans="1:18" x14ac:dyDescent="0.25">
      <c r="A182">
        <v>181</v>
      </c>
      <c r="B182" s="2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 t="str">
        <f>CHOOSE(H182+1,"Monday","Tuesday","Wednesday","Thursday","Friday","Saturday","Sunday")</f>
        <v>Sunday</v>
      </c>
      <c r="J182">
        <v>1</v>
      </c>
      <c r="K182">
        <v>0.14000000000000001</v>
      </c>
      <c r="L182">
        <v>0.1212</v>
      </c>
      <c r="M182">
        <v>0.36</v>
      </c>
      <c r="N182" s="1" t="str">
        <f>IF(Table2[[#This Row],[hum]]&lt;=0.8,"Humid",IF(Table2[[#This Row],[hum]]&gt;=0.8,"High Humid"))</f>
        <v>Humid</v>
      </c>
      <c r="O182">
        <v>0.25369999999999998</v>
      </c>
      <c r="P182">
        <v>4</v>
      </c>
      <c r="Q182">
        <v>26</v>
      </c>
      <c r="R182">
        <v>30</v>
      </c>
    </row>
    <row r="183" spans="1:18" x14ac:dyDescent="0.25">
      <c r="A183">
        <v>182</v>
      </c>
      <c r="B183" s="2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 t="str">
        <f>CHOOSE(H183+1,"Monday","Tuesday","Wednesday","Thursday","Friday","Saturday","Sunday")</f>
        <v>Sunday</v>
      </c>
      <c r="J183">
        <v>1</v>
      </c>
      <c r="K183">
        <v>0.12</v>
      </c>
      <c r="L183">
        <v>0.1212</v>
      </c>
      <c r="M183">
        <v>0.36</v>
      </c>
      <c r="N183" s="1" t="str">
        <f>IF(Table2[[#This Row],[hum]]&lt;=0.8,"Humid",IF(Table2[[#This Row],[hum]]&gt;=0.8,"High Humid"))</f>
        <v>Humid</v>
      </c>
      <c r="O183">
        <v>0.25369999999999998</v>
      </c>
      <c r="P183">
        <v>0</v>
      </c>
      <c r="Q183">
        <v>28</v>
      </c>
      <c r="R183">
        <v>28</v>
      </c>
    </row>
    <row r="184" spans="1:18" x14ac:dyDescent="0.25">
      <c r="A184">
        <v>183</v>
      </c>
      <c r="B184" s="2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 t="str">
        <f>CHOOSE(H184+1,"Monday","Tuesday","Wednesday","Thursday","Friday","Saturday","Sunday")</f>
        <v>Sunday</v>
      </c>
      <c r="J184">
        <v>1</v>
      </c>
      <c r="K184">
        <v>0.12</v>
      </c>
      <c r="L184">
        <v>0.1061</v>
      </c>
      <c r="M184">
        <v>0.39</v>
      </c>
      <c r="N184" s="1" t="str">
        <f>IF(Table2[[#This Row],[hum]]&lt;=0.8,"Humid",IF(Table2[[#This Row],[hum]]&gt;=0.8,"High Humid"))</f>
        <v>Humid</v>
      </c>
      <c r="O184">
        <v>0.35820000000000002</v>
      </c>
      <c r="P184">
        <v>2</v>
      </c>
      <c r="Q184">
        <v>35</v>
      </c>
      <c r="R184">
        <v>37</v>
      </c>
    </row>
    <row r="185" spans="1:18" x14ac:dyDescent="0.25">
      <c r="A185">
        <v>184</v>
      </c>
      <c r="B185" s="2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 t="str">
        <f>CHOOSE(H185+1,"Monday","Tuesday","Wednesday","Thursday","Friday","Saturday","Sunday")</f>
        <v>Sunday</v>
      </c>
      <c r="J185">
        <v>1</v>
      </c>
      <c r="K185">
        <v>0.12</v>
      </c>
      <c r="L185">
        <v>0.1061</v>
      </c>
      <c r="M185">
        <v>0.36</v>
      </c>
      <c r="N185" s="1" t="str">
        <f>IF(Table2[[#This Row],[hum]]&lt;=0.8,"Humid",IF(Table2[[#This Row],[hum]]&gt;=0.8,"High Humid"))</f>
        <v>Humid</v>
      </c>
      <c r="O185">
        <v>0.3881</v>
      </c>
      <c r="P185">
        <v>1</v>
      </c>
      <c r="Q185">
        <v>33</v>
      </c>
      <c r="R185">
        <v>34</v>
      </c>
    </row>
    <row r="186" spans="1:18" x14ac:dyDescent="0.25">
      <c r="A186">
        <v>185</v>
      </c>
      <c r="B186" s="2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 t="str">
        <f>CHOOSE(H186+1,"Monday","Tuesday","Wednesday","Thursday","Friday","Saturday","Sunday")</f>
        <v>Sunday</v>
      </c>
      <c r="J186">
        <v>1</v>
      </c>
      <c r="K186">
        <v>0.1</v>
      </c>
      <c r="L186">
        <v>6.0600000000000001E-2</v>
      </c>
      <c r="M186">
        <v>0.39</v>
      </c>
      <c r="N186" s="1" t="str">
        <f>IF(Table2[[#This Row],[hum]]&lt;=0.8,"Humid",IF(Table2[[#This Row],[hum]]&gt;=0.8,"High Humid"))</f>
        <v>Humid</v>
      </c>
      <c r="O186">
        <v>0.44779999999999998</v>
      </c>
      <c r="P186">
        <v>0</v>
      </c>
      <c r="Q186">
        <v>22</v>
      </c>
      <c r="R186">
        <v>22</v>
      </c>
    </row>
    <row r="187" spans="1:18" x14ac:dyDescent="0.25">
      <c r="A187">
        <v>186</v>
      </c>
      <c r="B187" s="2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 t="str">
        <f>CHOOSE(H187+1,"Monday","Tuesday","Wednesday","Thursday","Friday","Saturday","Sunday")</f>
        <v>Monday</v>
      </c>
      <c r="J187">
        <v>1</v>
      </c>
      <c r="K187">
        <v>0.1</v>
      </c>
      <c r="L187">
        <v>7.5800000000000006E-2</v>
      </c>
      <c r="M187">
        <v>0.42</v>
      </c>
      <c r="N187" s="1" t="str">
        <f>IF(Table2[[#This Row],[hum]]&lt;=0.8,"Humid",IF(Table2[[#This Row],[hum]]&gt;=0.8,"High Humid"))</f>
        <v>Humid</v>
      </c>
      <c r="O187">
        <v>0.3881</v>
      </c>
      <c r="P187">
        <v>1</v>
      </c>
      <c r="Q187">
        <v>24</v>
      </c>
      <c r="R187">
        <v>25</v>
      </c>
    </row>
    <row r="188" spans="1:18" x14ac:dyDescent="0.25">
      <c r="A188">
        <v>187</v>
      </c>
      <c r="B188" s="2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 t="str">
        <f>CHOOSE(H188+1,"Monday","Tuesday","Wednesday","Thursday","Friday","Saturday","Sunday")</f>
        <v>Monday</v>
      </c>
      <c r="J188">
        <v>1</v>
      </c>
      <c r="K188">
        <v>0.1</v>
      </c>
      <c r="L188">
        <v>6.0600000000000001E-2</v>
      </c>
      <c r="M188">
        <v>0.42</v>
      </c>
      <c r="N188" s="1" t="str">
        <f>IF(Table2[[#This Row],[hum]]&lt;=0.8,"Humid",IF(Table2[[#This Row],[hum]]&gt;=0.8,"High Humid"))</f>
        <v>Humid</v>
      </c>
      <c r="O188">
        <v>0.4627</v>
      </c>
      <c r="P188">
        <v>0</v>
      </c>
      <c r="Q188">
        <v>12</v>
      </c>
      <c r="R188">
        <v>12</v>
      </c>
    </row>
    <row r="189" spans="1:18" x14ac:dyDescent="0.25">
      <c r="A189">
        <v>188</v>
      </c>
      <c r="B189" s="2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 t="str">
        <f>CHOOSE(H189+1,"Monday","Tuesday","Wednesday","Thursday","Friday","Saturday","Sunday")</f>
        <v>Monday</v>
      </c>
      <c r="J189">
        <v>1</v>
      </c>
      <c r="K189">
        <v>0.1</v>
      </c>
      <c r="L189">
        <v>6.0600000000000001E-2</v>
      </c>
      <c r="M189">
        <v>0.46</v>
      </c>
      <c r="N189" s="1" t="str">
        <f>IF(Table2[[#This Row],[hum]]&lt;=0.8,"Humid",IF(Table2[[#This Row],[hum]]&gt;=0.8,"High Humid"))</f>
        <v>Humid</v>
      </c>
      <c r="O189">
        <v>0.4627</v>
      </c>
      <c r="P189">
        <v>0</v>
      </c>
      <c r="Q189">
        <v>11</v>
      </c>
      <c r="R189">
        <v>11</v>
      </c>
    </row>
    <row r="190" spans="1:18" x14ac:dyDescent="0.25">
      <c r="A190">
        <v>189</v>
      </c>
      <c r="B190" s="2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 t="str">
        <f>CHOOSE(H190+1,"Monday","Tuesday","Wednesday","Thursday","Friday","Saturday","Sunday")</f>
        <v>Monday</v>
      </c>
      <c r="J190">
        <v>1</v>
      </c>
      <c r="K190">
        <v>0.1</v>
      </c>
      <c r="L190">
        <v>7.5800000000000006E-2</v>
      </c>
      <c r="M190">
        <v>0.46</v>
      </c>
      <c r="N190" s="1" t="str">
        <f>IF(Table2[[#This Row],[hum]]&lt;=0.8,"Humid",IF(Table2[[#This Row],[hum]]&gt;=0.8,"High Humid"))</f>
        <v>Humid</v>
      </c>
      <c r="O190">
        <v>0.41789999999999999</v>
      </c>
      <c r="P190">
        <v>0</v>
      </c>
      <c r="Q190">
        <v>4</v>
      </c>
      <c r="R190">
        <v>4</v>
      </c>
    </row>
    <row r="191" spans="1:18" x14ac:dyDescent="0.25">
      <c r="A191">
        <v>190</v>
      </c>
      <c r="B191" s="2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 t="str">
        <f>CHOOSE(H191+1,"Monday","Tuesday","Wednesday","Thursday","Friday","Saturday","Sunday")</f>
        <v>Monday</v>
      </c>
      <c r="J191">
        <v>1</v>
      </c>
      <c r="K191">
        <v>0.08</v>
      </c>
      <c r="L191">
        <v>9.0899999999999995E-2</v>
      </c>
      <c r="M191">
        <v>0.53</v>
      </c>
      <c r="N191" s="1" t="str">
        <f>IF(Table2[[#This Row],[hum]]&lt;=0.8,"Humid",IF(Table2[[#This Row],[hum]]&gt;=0.8,"High Humid"))</f>
        <v>Humid</v>
      </c>
      <c r="O191">
        <v>0.19400000000000001</v>
      </c>
      <c r="P191">
        <v>0</v>
      </c>
      <c r="Q191">
        <v>1</v>
      </c>
      <c r="R191">
        <v>1</v>
      </c>
    </row>
    <row r="192" spans="1:18" x14ac:dyDescent="0.25">
      <c r="A192">
        <v>191</v>
      </c>
      <c r="B192" s="2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 t="str">
        <f>CHOOSE(H192+1,"Monday","Tuesday","Wednesday","Thursday","Friday","Saturday","Sunday")</f>
        <v>Monday</v>
      </c>
      <c r="J192">
        <v>1</v>
      </c>
      <c r="K192">
        <v>0.08</v>
      </c>
      <c r="L192">
        <v>9.0899999999999995E-2</v>
      </c>
      <c r="M192">
        <v>0.53</v>
      </c>
      <c r="N192" s="1" t="str">
        <f>IF(Table2[[#This Row],[hum]]&lt;=0.8,"Humid",IF(Table2[[#This Row],[hum]]&gt;=0.8,"High Humid"))</f>
        <v>Humid</v>
      </c>
      <c r="O192">
        <v>0.19400000000000001</v>
      </c>
      <c r="P192">
        <v>0</v>
      </c>
      <c r="Q192">
        <v>1</v>
      </c>
      <c r="R192">
        <v>1</v>
      </c>
    </row>
    <row r="193" spans="1:18" x14ac:dyDescent="0.25">
      <c r="A193">
        <v>192</v>
      </c>
      <c r="B193" s="2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 t="str">
        <f>CHOOSE(H193+1,"Monday","Tuesday","Wednesday","Thursday","Friday","Saturday","Sunday")</f>
        <v>Monday</v>
      </c>
      <c r="J193">
        <v>1</v>
      </c>
      <c r="K193">
        <v>0.1</v>
      </c>
      <c r="L193">
        <v>9.0899999999999995E-2</v>
      </c>
      <c r="M193">
        <v>0.49</v>
      </c>
      <c r="N193" s="1" t="str">
        <f>IF(Table2[[#This Row],[hum]]&lt;=0.8,"Humid",IF(Table2[[#This Row],[hum]]&gt;=0.8,"High Humid"))</f>
        <v>Humid</v>
      </c>
      <c r="O193">
        <v>0.28360000000000002</v>
      </c>
      <c r="P193">
        <v>0</v>
      </c>
      <c r="Q193">
        <v>1</v>
      </c>
      <c r="R193">
        <v>1</v>
      </c>
    </row>
    <row r="194" spans="1:18" x14ac:dyDescent="0.25">
      <c r="A194">
        <v>193</v>
      </c>
      <c r="B194" s="2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 t="str">
        <f>CHOOSE(H194+1,"Monday","Tuesday","Wednesday","Thursday","Friday","Saturday","Sunday")</f>
        <v>Monday</v>
      </c>
      <c r="J194">
        <v>1</v>
      </c>
      <c r="K194">
        <v>0.08</v>
      </c>
      <c r="L194">
        <v>9.0899999999999995E-2</v>
      </c>
      <c r="M194">
        <v>0.53</v>
      </c>
      <c r="N194" s="1" t="str">
        <f>IF(Table2[[#This Row],[hum]]&lt;=0.8,"Humid",IF(Table2[[#This Row],[hum]]&gt;=0.8,"High Humid"))</f>
        <v>Humid</v>
      </c>
      <c r="O194">
        <v>0.19400000000000001</v>
      </c>
      <c r="P194">
        <v>1</v>
      </c>
      <c r="Q194">
        <v>5</v>
      </c>
      <c r="R194">
        <v>6</v>
      </c>
    </row>
    <row r="195" spans="1:18" x14ac:dyDescent="0.25">
      <c r="A195">
        <v>194</v>
      </c>
      <c r="B195" s="2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 t="str">
        <f>CHOOSE(H195+1,"Monday","Tuesday","Wednesday","Thursday","Friday","Saturday","Sunday")</f>
        <v>Monday</v>
      </c>
      <c r="J195">
        <v>1</v>
      </c>
      <c r="K195">
        <v>0.1</v>
      </c>
      <c r="L195">
        <v>9.0899999999999995E-2</v>
      </c>
      <c r="M195">
        <v>0.49</v>
      </c>
      <c r="N195" s="1" t="str">
        <f>IF(Table2[[#This Row],[hum]]&lt;=0.8,"Humid",IF(Table2[[#This Row],[hum]]&gt;=0.8,"High Humid"))</f>
        <v>Humid</v>
      </c>
      <c r="O195">
        <v>0.28360000000000002</v>
      </c>
      <c r="P195">
        <v>0</v>
      </c>
      <c r="Q195">
        <v>10</v>
      </c>
      <c r="R195">
        <v>10</v>
      </c>
    </row>
    <row r="196" spans="1:18" x14ac:dyDescent="0.25">
      <c r="A196">
        <v>195</v>
      </c>
      <c r="B196" s="2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 t="str">
        <f>CHOOSE(H196+1,"Monday","Tuesday","Wednesday","Thursday","Friday","Saturday","Sunday")</f>
        <v>Monday</v>
      </c>
      <c r="J196">
        <v>1</v>
      </c>
      <c r="K196">
        <v>0.12</v>
      </c>
      <c r="L196">
        <v>7.5800000000000006E-2</v>
      </c>
      <c r="M196">
        <v>0.46</v>
      </c>
      <c r="N196" s="1" t="str">
        <f>IF(Table2[[#This Row],[hum]]&lt;=0.8,"Humid",IF(Table2[[#This Row],[hum]]&gt;=0.8,"High Humid"))</f>
        <v>Humid</v>
      </c>
      <c r="O196">
        <v>0.52239999999999998</v>
      </c>
      <c r="P196">
        <v>0</v>
      </c>
      <c r="Q196">
        <v>19</v>
      </c>
      <c r="R196">
        <v>19</v>
      </c>
    </row>
    <row r="197" spans="1:18" x14ac:dyDescent="0.25">
      <c r="A197">
        <v>196</v>
      </c>
      <c r="B197" s="2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 t="str">
        <f>CHOOSE(H197+1,"Monday","Tuesday","Wednesday","Thursday","Friday","Saturday","Sunday")</f>
        <v>Monday</v>
      </c>
      <c r="J197">
        <v>1</v>
      </c>
      <c r="K197">
        <v>0.14000000000000001</v>
      </c>
      <c r="L197">
        <v>0.1061</v>
      </c>
      <c r="M197">
        <v>0.43</v>
      </c>
      <c r="N197" s="1" t="str">
        <f>IF(Table2[[#This Row],[hum]]&lt;=0.8,"Humid",IF(Table2[[#This Row],[hum]]&gt;=0.8,"High Humid"))</f>
        <v>Humid</v>
      </c>
      <c r="O197">
        <v>0.3881</v>
      </c>
      <c r="P197">
        <v>0</v>
      </c>
      <c r="Q197">
        <v>49</v>
      </c>
      <c r="R197">
        <v>49</v>
      </c>
    </row>
    <row r="198" spans="1:18" x14ac:dyDescent="0.25">
      <c r="A198">
        <v>197</v>
      </c>
      <c r="B198" s="2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 t="str">
        <f>CHOOSE(H198+1,"Monday","Tuesday","Wednesday","Thursday","Friday","Saturday","Sunday")</f>
        <v>Monday</v>
      </c>
      <c r="J198">
        <v>1</v>
      </c>
      <c r="K198">
        <v>0.16</v>
      </c>
      <c r="L198">
        <v>0.1212</v>
      </c>
      <c r="M198">
        <v>0.4</v>
      </c>
      <c r="N198" s="1" t="str">
        <f>IF(Table2[[#This Row],[hum]]&lt;=0.8,"Humid",IF(Table2[[#This Row],[hum]]&gt;=0.8,"High Humid"))</f>
        <v>Humid</v>
      </c>
      <c r="O198">
        <v>0.52239999999999998</v>
      </c>
      <c r="P198">
        <v>2</v>
      </c>
      <c r="Q198">
        <v>47</v>
      </c>
      <c r="R198">
        <v>49</v>
      </c>
    </row>
    <row r="199" spans="1:18" x14ac:dyDescent="0.25">
      <c r="A199">
        <v>198</v>
      </c>
      <c r="B199" s="2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 t="str">
        <f>CHOOSE(H199+1,"Monday","Tuesday","Wednesday","Thursday","Friday","Saturday","Sunday")</f>
        <v>Monday</v>
      </c>
      <c r="J199">
        <v>1</v>
      </c>
      <c r="K199">
        <v>0.18</v>
      </c>
      <c r="L199">
        <v>0.13639999999999999</v>
      </c>
      <c r="M199">
        <v>0.37</v>
      </c>
      <c r="N199" s="1" t="str">
        <f>IF(Table2[[#This Row],[hum]]&lt;=0.8,"Humid",IF(Table2[[#This Row],[hum]]&gt;=0.8,"High Humid"))</f>
        <v>Humid</v>
      </c>
      <c r="O199">
        <v>0.44779999999999998</v>
      </c>
      <c r="P199">
        <v>4</v>
      </c>
      <c r="Q199">
        <v>79</v>
      </c>
      <c r="R199">
        <v>83</v>
      </c>
    </row>
    <row r="200" spans="1:18" x14ac:dyDescent="0.25">
      <c r="A200">
        <v>199</v>
      </c>
      <c r="B200" s="2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 t="str">
        <f>CHOOSE(H200+1,"Monday","Tuesday","Wednesday","Thursday","Friday","Saturday","Sunday")</f>
        <v>Monday</v>
      </c>
      <c r="J200">
        <v>1</v>
      </c>
      <c r="K200">
        <v>0.2</v>
      </c>
      <c r="L200">
        <v>0.16669999999999999</v>
      </c>
      <c r="M200">
        <v>0.34</v>
      </c>
      <c r="N200" s="1" t="str">
        <f>IF(Table2[[#This Row],[hum]]&lt;=0.8,"Humid",IF(Table2[[#This Row],[hum]]&gt;=0.8,"High Humid"))</f>
        <v>Humid</v>
      </c>
      <c r="O200">
        <v>0.44779999999999998</v>
      </c>
      <c r="P200">
        <v>6</v>
      </c>
      <c r="Q200">
        <v>69</v>
      </c>
      <c r="R200">
        <v>75</v>
      </c>
    </row>
    <row r="201" spans="1:18" x14ac:dyDescent="0.25">
      <c r="A201">
        <v>200</v>
      </c>
      <c r="B201" s="2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 t="str">
        <f>CHOOSE(H201+1,"Monday","Tuesday","Wednesday","Thursday","Friday","Saturday","Sunday")</f>
        <v>Monday</v>
      </c>
      <c r="J201">
        <v>1</v>
      </c>
      <c r="K201">
        <v>0.22</v>
      </c>
      <c r="L201">
        <v>0.18179999999999999</v>
      </c>
      <c r="M201">
        <v>0.32</v>
      </c>
      <c r="N201" s="1" t="str">
        <f>IF(Table2[[#This Row],[hum]]&lt;=0.8,"Humid",IF(Table2[[#This Row],[hum]]&gt;=0.8,"High Humid"))</f>
        <v>Humid</v>
      </c>
      <c r="O201">
        <v>0.4627</v>
      </c>
      <c r="P201">
        <v>8</v>
      </c>
      <c r="Q201">
        <v>64</v>
      </c>
      <c r="R201">
        <v>72</v>
      </c>
    </row>
    <row r="202" spans="1:18" x14ac:dyDescent="0.25">
      <c r="A202">
        <v>201</v>
      </c>
      <c r="B202" s="2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 t="str">
        <f>CHOOSE(H202+1,"Monday","Tuesday","Wednesday","Thursday","Friday","Saturday","Sunday")</f>
        <v>Monday</v>
      </c>
      <c r="J202">
        <v>1</v>
      </c>
      <c r="K202">
        <v>0.22</v>
      </c>
      <c r="L202">
        <v>0.19700000000000001</v>
      </c>
      <c r="M202">
        <v>0.35</v>
      </c>
      <c r="N202" s="1" t="str">
        <f>IF(Table2[[#This Row],[hum]]&lt;=0.8,"Humid",IF(Table2[[#This Row],[hum]]&gt;=0.8,"High Humid"))</f>
        <v>Humid</v>
      </c>
      <c r="O202">
        <v>0.35820000000000002</v>
      </c>
      <c r="P202">
        <v>5</v>
      </c>
      <c r="Q202">
        <v>77</v>
      </c>
      <c r="R202">
        <v>82</v>
      </c>
    </row>
    <row r="203" spans="1:18" x14ac:dyDescent="0.25">
      <c r="A203">
        <v>202</v>
      </c>
      <c r="B203" s="2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 t="str">
        <f>CHOOSE(H203+1,"Monday","Tuesday","Wednesday","Thursday","Friday","Saturday","Sunday")</f>
        <v>Monday</v>
      </c>
      <c r="J203">
        <v>1</v>
      </c>
      <c r="K203">
        <v>0.2</v>
      </c>
      <c r="L203">
        <v>0.16669999999999999</v>
      </c>
      <c r="M203">
        <v>0.34</v>
      </c>
      <c r="N203" s="1" t="str">
        <f>IF(Table2[[#This Row],[hum]]&lt;=0.8,"Humid",IF(Table2[[#This Row],[hum]]&gt;=0.8,"High Humid"))</f>
        <v>Humid</v>
      </c>
      <c r="O203">
        <v>0.44779999999999998</v>
      </c>
      <c r="P203">
        <v>13</v>
      </c>
      <c r="Q203">
        <v>79</v>
      </c>
      <c r="R203">
        <v>92</v>
      </c>
    </row>
    <row r="204" spans="1:18" x14ac:dyDescent="0.25">
      <c r="A204">
        <v>203</v>
      </c>
      <c r="B204" s="2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 t="str">
        <f>CHOOSE(H204+1,"Monday","Tuesday","Wednesday","Thursday","Friday","Saturday","Sunday")</f>
        <v>Monday</v>
      </c>
      <c r="J204">
        <v>1</v>
      </c>
      <c r="K204">
        <v>0.18</v>
      </c>
      <c r="L204">
        <v>0.1515</v>
      </c>
      <c r="M204">
        <v>0.37</v>
      </c>
      <c r="N204" s="1" t="str">
        <f>IF(Table2[[#This Row],[hum]]&lt;=0.8,"Humid",IF(Table2[[#This Row],[hum]]&gt;=0.8,"High Humid"))</f>
        <v>Humid</v>
      </c>
      <c r="O204">
        <v>0.3881</v>
      </c>
      <c r="P204">
        <v>3</v>
      </c>
      <c r="Q204">
        <v>59</v>
      </c>
      <c r="R204">
        <v>62</v>
      </c>
    </row>
    <row r="205" spans="1:18" x14ac:dyDescent="0.25">
      <c r="A205">
        <v>204</v>
      </c>
      <c r="B205" s="2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 t="str">
        <f>CHOOSE(H205+1,"Monday","Tuesday","Wednesday","Thursday","Friday","Saturday","Sunday")</f>
        <v>Monday</v>
      </c>
      <c r="J205">
        <v>1</v>
      </c>
      <c r="K205">
        <v>0.16</v>
      </c>
      <c r="L205">
        <v>0.13639999999999999</v>
      </c>
      <c r="M205">
        <v>0.4</v>
      </c>
      <c r="N205" s="1" t="str">
        <f>IF(Table2[[#This Row],[hum]]&lt;=0.8,"Humid",IF(Table2[[#This Row],[hum]]&gt;=0.8,"High Humid"))</f>
        <v>Humid</v>
      </c>
      <c r="O205">
        <v>0.32840000000000003</v>
      </c>
      <c r="P205">
        <v>4</v>
      </c>
      <c r="Q205">
        <v>44</v>
      </c>
      <c r="R205">
        <v>48</v>
      </c>
    </row>
    <row r="206" spans="1:18" x14ac:dyDescent="0.25">
      <c r="A206">
        <v>205</v>
      </c>
      <c r="B206" s="2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 t="str">
        <f>CHOOSE(H206+1,"Monday","Tuesday","Wednesday","Thursday","Friday","Saturday","Sunday")</f>
        <v>Monday</v>
      </c>
      <c r="J206">
        <v>1</v>
      </c>
      <c r="K206">
        <v>0.16</v>
      </c>
      <c r="L206">
        <v>0.13639999999999999</v>
      </c>
      <c r="M206">
        <v>0.43</v>
      </c>
      <c r="N206" s="1" t="str">
        <f>IF(Table2[[#This Row],[hum]]&lt;=0.8,"Humid",IF(Table2[[#This Row],[hum]]&gt;=0.8,"High Humid"))</f>
        <v>Humid</v>
      </c>
      <c r="O206">
        <v>0.32840000000000003</v>
      </c>
      <c r="P206">
        <v>1</v>
      </c>
      <c r="Q206">
        <v>40</v>
      </c>
      <c r="R206">
        <v>41</v>
      </c>
    </row>
    <row r="207" spans="1:18" x14ac:dyDescent="0.25">
      <c r="A207">
        <v>206</v>
      </c>
      <c r="B207" s="2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 t="str">
        <f>CHOOSE(H207+1,"Monday","Tuesday","Wednesday","Thursday","Friday","Saturday","Sunday")</f>
        <v>Monday</v>
      </c>
      <c r="J207">
        <v>1</v>
      </c>
      <c r="K207">
        <v>0.14000000000000001</v>
      </c>
      <c r="L207">
        <v>0.1212</v>
      </c>
      <c r="M207">
        <v>0.46</v>
      </c>
      <c r="N207" s="1" t="str">
        <f>IF(Table2[[#This Row],[hum]]&lt;=0.8,"Humid",IF(Table2[[#This Row],[hum]]&gt;=0.8,"High Humid"))</f>
        <v>Humid</v>
      </c>
      <c r="O207">
        <v>0.25369999999999998</v>
      </c>
      <c r="P207">
        <v>0</v>
      </c>
      <c r="Q207">
        <v>38</v>
      </c>
      <c r="R207">
        <v>38</v>
      </c>
    </row>
    <row r="208" spans="1:18" x14ac:dyDescent="0.25">
      <c r="A208">
        <v>207</v>
      </c>
      <c r="B208" s="2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 t="str">
        <f>CHOOSE(H208+1,"Monday","Tuesday","Wednesday","Thursday","Friday","Saturday","Sunday")</f>
        <v>Monday</v>
      </c>
      <c r="J208">
        <v>1</v>
      </c>
      <c r="K208">
        <v>0.14000000000000001</v>
      </c>
      <c r="L208">
        <v>0.1061</v>
      </c>
      <c r="M208">
        <v>0.46</v>
      </c>
      <c r="N208" s="1" t="str">
        <f>IF(Table2[[#This Row],[hum]]&lt;=0.8,"Humid",IF(Table2[[#This Row],[hum]]&gt;=0.8,"High Humid"))</f>
        <v>Humid</v>
      </c>
      <c r="O208">
        <v>0.41789999999999999</v>
      </c>
      <c r="P208">
        <v>1</v>
      </c>
      <c r="Q208">
        <v>19</v>
      </c>
      <c r="R208">
        <v>20</v>
      </c>
    </row>
    <row r="209" spans="1:18" x14ac:dyDescent="0.25">
      <c r="A209">
        <v>208</v>
      </c>
      <c r="B209" s="2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 t="str">
        <f>CHOOSE(H209+1,"Monday","Tuesday","Wednesday","Thursday","Friday","Saturday","Sunday")</f>
        <v>Monday</v>
      </c>
      <c r="J209">
        <v>1</v>
      </c>
      <c r="K209">
        <v>0.14000000000000001</v>
      </c>
      <c r="L209">
        <v>0.1212</v>
      </c>
      <c r="M209">
        <v>0.46</v>
      </c>
      <c r="N209" s="1" t="str">
        <f>IF(Table2[[#This Row],[hum]]&lt;=0.8,"Humid",IF(Table2[[#This Row],[hum]]&gt;=0.8,"High Humid"))</f>
        <v>Humid</v>
      </c>
      <c r="O209">
        <v>0.29849999999999999</v>
      </c>
      <c r="P209">
        <v>5</v>
      </c>
      <c r="Q209">
        <v>10</v>
      </c>
      <c r="R209">
        <v>15</v>
      </c>
    </row>
    <row r="210" spans="1:18" x14ac:dyDescent="0.25">
      <c r="A210">
        <v>209</v>
      </c>
      <c r="B210" s="2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 t="str">
        <f>CHOOSE(H210+1,"Monday","Tuesday","Wednesday","Thursday","Friday","Saturday","Sunday")</f>
        <v>Monday</v>
      </c>
      <c r="J210">
        <v>1</v>
      </c>
      <c r="K210">
        <v>0.12</v>
      </c>
      <c r="L210">
        <v>0.13639999999999999</v>
      </c>
      <c r="M210">
        <v>0.5</v>
      </c>
      <c r="N210" s="1" t="str">
        <f>IF(Table2[[#This Row],[hum]]&lt;=0.8,"Humid",IF(Table2[[#This Row],[hum]]&gt;=0.8,"High Humid"))</f>
        <v>Humid</v>
      </c>
      <c r="O210">
        <v>0.19400000000000001</v>
      </c>
      <c r="P210">
        <v>0</v>
      </c>
      <c r="Q210">
        <v>6</v>
      </c>
      <c r="R210">
        <v>6</v>
      </c>
    </row>
    <row r="211" spans="1:18" x14ac:dyDescent="0.25">
      <c r="A211">
        <v>210</v>
      </c>
      <c r="B211" s="2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 t="str">
        <f>CHOOSE(H211+1,"Monday","Tuesday","Wednesday","Thursday","Friday","Saturday","Sunday")</f>
        <v>Tuesday</v>
      </c>
      <c r="J211">
        <v>1</v>
      </c>
      <c r="K211">
        <v>0.12</v>
      </c>
      <c r="L211">
        <v>0.1212</v>
      </c>
      <c r="M211">
        <v>0.5</v>
      </c>
      <c r="N211" s="1" t="str">
        <f>IF(Table2[[#This Row],[hum]]&lt;=0.8,"Humid",IF(Table2[[#This Row],[hum]]&gt;=0.8,"High Humid"))</f>
        <v>Humid</v>
      </c>
      <c r="O211">
        <v>0.28360000000000002</v>
      </c>
      <c r="P211">
        <v>2</v>
      </c>
      <c r="Q211">
        <v>3</v>
      </c>
      <c r="R211">
        <v>5</v>
      </c>
    </row>
    <row r="212" spans="1:18" x14ac:dyDescent="0.25">
      <c r="A212">
        <v>211</v>
      </c>
      <c r="B212" s="2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 t="str">
        <f>CHOOSE(H212+1,"Monday","Tuesday","Wednesday","Thursday","Friday","Saturday","Sunday")</f>
        <v>Tuesday</v>
      </c>
      <c r="J212">
        <v>1</v>
      </c>
      <c r="K212">
        <v>0.12</v>
      </c>
      <c r="L212">
        <v>0.1212</v>
      </c>
      <c r="M212">
        <v>0.5</v>
      </c>
      <c r="N212" s="1" t="str">
        <f>IF(Table2[[#This Row],[hum]]&lt;=0.8,"Humid",IF(Table2[[#This Row],[hum]]&gt;=0.8,"High Humid"))</f>
        <v>Humid</v>
      </c>
      <c r="O212">
        <v>0.28360000000000002</v>
      </c>
      <c r="P212">
        <v>1</v>
      </c>
      <c r="Q212">
        <v>0</v>
      </c>
      <c r="R212">
        <v>1</v>
      </c>
    </row>
    <row r="213" spans="1:18" x14ac:dyDescent="0.25">
      <c r="A213">
        <v>212</v>
      </c>
      <c r="B213" s="2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 t="str">
        <f>CHOOSE(H213+1,"Monday","Tuesday","Wednesday","Thursday","Friday","Saturday","Sunday")</f>
        <v>Tuesday</v>
      </c>
      <c r="J213">
        <v>1</v>
      </c>
      <c r="K213">
        <v>0.12</v>
      </c>
      <c r="L213">
        <v>0.1212</v>
      </c>
      <c r="M213">
        <v>0.5</v>
      </c>
      <c r="N213" s="1" t="str">
        <f>IF(Table2[[#This Row],[hum]]&lt;=0.8,"Humid",IF(Table2[[#This Row],[hum]]&gt;=0.8,"High Humid"))</f>
        <v>Humid</v>
      </c>
      <c r="O213">
        <v>0.22389999999999999</v>
      </c>
      <c r="P213">
        <v>0</v>
      </c>
      <c r="Q213">
        <v>3</v>
      </c>
      <c r="R213">
        <v>3</v>
      </c>
    </row>
    <row r="214" spans="1:18" x14ac:dyDescent="0.25">
      <c r="A214">
        <v>213</v>
      </c>
      <c r="B214" s="2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 t="str">
        <f>CHOOSE(H214+1,"Monday","Tuesday","Wednesday","Thursday","Friday","Saturday","Sunday")</f>
        <v>Tuesday</v>
      </c>
      <c r="J214">
        <v>1</v>
      </c>
      <c r="K214">
        <v>0.12</v>
      </c>
      <c r="L214">
        <v>0.1212</v>
      </c>
      <c r="M214">
        <v>0.5</v>
      </c>
      <c r="N214" s="1" t="str">
        <f>IF(Table2[[#This Row],[hum]]&lt;=0.8,"Humid",IF(Table2[[#This Row],[hum]]&gt;=0.8,"High Humid"))</f>
        <v>Humid</v>
      </c>
      <c r="O214">
        <v>0.22389999999999999</v>
      </c>
      <c r="P214">
        <v>0</v>
      </c>
      <c r="Q214">
        <v>1</v>
      </c>
      <c r="R214">
        <v>1</v>
      </c>
    </row>
    <row r="215" spans="1:18" x14ac:dyDescent="0.25">
      <c r="A215">
        <v>214</v>
      </c>
      <c r="B215" s="2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 t="str">
        <f>CHOOSE(H215+1,"Monday","Tuesday","Wednesday","Thursday","Friday","Saturday","Sunday")</f>
        <v>Tuesday</v>
      </c>
      <c r="J215">
        <v>1</v>
      </c>
      <c r="K215">
        <v>0.1</v>
      </c>
      <c r="L215">
        <v>0.1212</v>
      </c>
      <c r="M215">
        <v>0.54</v>
      </c>
      <c r="N215" s="1" t="str">
        <f>IF(Table2[[#This Row],[hum]]&lt;=0.8,"Humid",IF(Table2[[#This Row],[hum]]&gt;=0.8,"High Humid"))</f>
        <v>Humid</v>
      </c>
      <c r="O215">
        <v>0.1343</v>
      </c>
      <c r="P215">
        <v>1</v>
      </c>
      <c r="Q215">
        <v>2</v>
      </c>
      <c r="R215">
        <v>3</v>
      </c>
    </row>
    <row r="216" spans="1:18" x14ac:dyDescent="0.25">
      <c r="A216">
        <v>215</v>
      </c>
      <c r="B216" s="2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 t="str">
        <f>CHOOSE(H216+1,"Monday","Tuesday","Wednesday","Thursday","Friday","Saturday","Sunday")</f>
        <v>Tuesday</v>
      </c>
      <c r="J216">
        <v>1</v>
      </c>
      <c r="K216">
        <v>0.1</v>
      </c>
      <c r="L216">
        <v>0.1061</v>
      </c>
      <c r="M216">
        <v>0.54</v>
      </c>
      <c r="N216" s="1" t="str">
        <f>IF(Table2[[#This Row],[hum]]&lt;=0.8,"Humid",IF(Table2[[#This Row],[hum]]&gt;=0.8,"High Humid"))</f>
        <v>Humid</v>
      </c>
      <c r="O216">
        <v>0.25369999999999998</v>
      </c>
      <c r="P216">
        <v>0</v>
      </c>
      <c r="Q216">
        <v>3</v>
      </c>
      <c r="R216">
        <v>3</v>
      </c>
    </row>
    <row r="217" spans="1:18" x14ac:dyDescent="0.25">
      <c r="A217">
        <v>216</v>
      </c>
      <c r="B217" s="2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 t="str">
        <f>CHOOSE(H217+1,"Monday","Tuesday","Wednesday","Thursday","Friday","Saturday","Sunday")</f>
        <v>Tuesday</v>
      </c>
      <c r="J217">
        <v>1</v>
      </c>
      <c r="K217">
        <v>0.12</v>
      </c>
      <c r="L217">
        <v>0.1212</v>
      </c>
      <c r="M217">
        <v>0.5</v>
      </c>
      <c r="N217" s="1" t="str">
        <f>IF(Table2[[#This Row],[hum]]&lt;=0.8,"Humid",IF(Table2[[#This Row],[hum]]&gt;=0.8,"High Humid"))</f>
        <v>Humid</v>
      </c>
      <c r="O217">
        <v>0.28360000000000002</v>
      </c>
      <c r="P217">
        <v>0</v>
      </c>
      <c r="Q217">
        <v>31</v>
      </c>
      <c r="R217">
        <v>31</v>
      </c>
    </row>
    <row r="218" spans="1:18" x14ac:dyDescent="0.25">
      <c r="A218">
        <v>217</v>
      </c>
      <c r="B218" s="2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 t="str">
        <f>CHOOSE(H218+1,"Monday","Tuesday","Wednesday","Thursday","Friday","Saturday","Sunday")</f>
        <v>Tuesday</v>
      </c>
      <c r="J218">
        <v>1</v>
      </c>
      <c r="K218">
        <v>0.12</v>
      </c>
      <c r="L218">
        <v>0.1212</v>
      </c>
      <c r="M218">
        <v>0.5</v>
      </c>
      <c r="N218" s="1" t="str">
        <f>IF(Table2[[#This Row],[hum]]&lt;=0.8,"Humid",IF(Table2[[#This Row],[hum]]&gt;=0.8,"High Humid"))</f>
        <v>Humid</v>
      </c>
      <c r="O218">
        <v>0.22389999999999999</v>
      </c>
      <c r="P218">
        <v>2</v>
      </c>
      <c r="Q218">
        <v>75</v>
      </c>
      <c r="R218">
        <v>77</v>
      </c>
    </row>
    <row r="219" spans="1:18" x14ac:dyDescent="0.25">
      <c r="A219">
        <v>218</v>
      </c>
      <c r="B219" s="2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 t="str">
        <f>CHOOSE(H219+1,"Monday","Tuesday","Wednesday","Thursday","Friday","Saturday","Sunday")</f>
        <v>Tuesday</v>
      </c>
      <c r="J219">
        <v>2</v>
      </c>
      <c r="K219">
        <v>0.12</v>
      </c>
      <c r="L219">
        <v>0.1212</v>
      </c>
      <c r="M219">
        <v>0.5</v>
      </c>
      <c r="N219" s="1" t="str">
        <f>IF(Table2[[#This Row],[hum]]&lt;=0.8,"Humid",IF(Table2[[#This Row],[hum]]&gt;=0.8,"High Humid"))</f>
        <v>Humid</v>
      </c>
      <c r="O219">
        <v>0.28360000000000002</v>
      </c>
      <c r="P219">
        <v>4</v>
      </c>
      <c r="Q219">
        <v>184</v>
      </c>
      <c r="R219">
        <v>188</v>
      </c>
    </row>
    <row r="220" spans="1:18" x14ac:dyDescent="0.25">
      <c r="A220">
        <v>219</v>
      </c>
      <c r="B220" s="2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 t="str">
        <f>CHOOSE(H220+1,"Monday","Tuesday","Wednesday","Thursday","Friday","Saturday","Sunday")</f>
        <v>Tuesday</v>
      </c>
      <c r="J220">
        <v>2</v>
      </c>
      <c r="K220">
        <v>0.14000000000000001</v>
      </c>
      <c r="L220">
        <v>0.1212</v>
      </c>
      <c r="M220">
        <v>0.5</v>
      </c>
      <c r="N220" s="1" t="str">
        <f>IF(Table2[[#This Row],[hum]]&lt;=0.8,"Humid",IF(Table2[[#This Row],[hum]]&gt;=0.8,"High Humid"))</f>
        <v>Humid</v>
      </c>
      <c r="O220">
        <v>0.25369999999999998</v>
      </c>
      <c r="P220">
        <v>2</v>
      </c>
      <c r="Q220">
        <v>92</v>
      </c>
      <c r="R220">
        <v>94</v>
      </c>
    </row>
    <row r="221" spans="1:18" x14ac:dyDescent="0.25">
      <c r="A221">
        <v>220</v>
      </c>
      <c r="B221" s="2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 t="str">
        <f>CHOOSE(H221+1,"Monday","Tuesday","Wednesday","Thursday","Friday","Saturday","Sunday")</f>
        <v>Tuesday</v>
      </c>
      <c r="J221">
        <v>2</v>
      </c>
      <c r="K221">
        <v>0.14000000000000001</v>
      </c>
      <c r="L221">
        <v>0.1212</v>
      </c>
      <c r="M221">
        <v>0.5</v>
      </c>
      <c r="N221" s="1" t="str">
        <f>IF(Table2[[#This Row],[hum]]&lt;=0.8,"Humid",IF(Table2[[#This Row],[hum]]&gt;=0.8,"High Humid"))</f>
        <v>Humid</v>
      </c>
      <c r="O221">
        <v>0.29849999999999999</v>
      </c>
      <c r="P221">
        <v>0</v>
      </c>
      <c r="Q221">
        <v>31</v>
      </c>
      <c r="R221">
        <v>31</v>
      </c>
    </row>
    <row r="222" spans="1:18" x14ac:dyDescent="0.25">
      <c r="A222">
        <v>221</v>
      </c>
      <c r="B222" s="2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 t="str">
        <f>CHOOSE(H222+1,"Monday","Tuesday","Wednesday","Thursday","Friday","Saturday","Sunday")</f>
        <v>Tuesday</v>
      </c>
      <c r="J222">
        <v>2</v>
      </c>
      <c r="K222">
        <v>0.16</v>
      </c>
      <c r="L222">
        <v>0.13639999999999999</v>
      </c>
      <c r="M222">
        <v>0.47</v>
      </c>
      <c r="N222" s="1" t="str">
        <f>IF(Table2[[#This Row],[hum]]&lt;=0.8,"Humid",IF(Table2[[#This Row],[hum]]&gt;=0.8,"High Humid"))</f>
        <v>Humid</v>
      </c>
      <c r="O222">
        <v>0.28360000000000002</v>
      </c>
      <c r="P222">
        <v>2</v>
      </c>
      <c r="Q222">
        <v>28</v>
      </c>
      <c r="R222">
        <v>30</v>
      </c>
    </row>
    <row r="223" spans="1:18" x14ac:dyDescent="0.25">
      <c r="A223">
        <v>222</v>
      </c>
      <c r="B223" s="2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 t="str">
        <f>CHOOSE(H223+1,"Monday","Tuesday","Wednesday","Thursday","Friday","Saturday","Sunday")</f>
        <v>Tuesday</v>
      </c>
      <c r="J223">
        <v>2</v>
      </c>
      <c r="K223">
        <v>0.2</v>
      </c>
      <c r="L223">
        <v>0.18179999999999999</v>
      </c>
      <c r="M223">
        <v>0.4</v>
      </c>
      <c r="N223" s="1" t="str">
        <f>IF(Table2[[#This Row],[hum]]&lt;=0.8,"Humid",IF(Table2[[#This Row],[hum]]&gt;=0.8,"High Humid"))</f>
        <v>Humid</v>
      </c>
      <c r="O223">
        <v>0.28360000000000002</v>
      </c>
      <c r="P223">
        <v>5</v>
      </c>
      <c r="Q223">
        <v>47</v>
      </c>
      <c r="R223">
        <v>52</v>
      </c>
    </row>
    <row r="224" spans="1:18" x14ac:dyDescent="0.25">
      <c r="A224">
        <v>223</v>
      </c>
      <c r="B224" s="2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 t="str">
        <f>CHOOSE(H224+1,"Monday","Tuesday","Wednesday","Thursday","Friday","Saturday","Sunday")</f>
        <v>Tuesday</v>
      </c>
      <c r="J224">
        <v>2</v>
      </c>
      <c r="K224">
        <v>0.2</v>
      </c>
      <c r="L224">
        <v>0.18179999999999999</v>
      </c>
      <c r="M224">
        <v>0.4</v>
      </c>
      <c r="N224" s="1" t="str">
        <f>IF(Table2[[#This Row],[hum]]&lt;=0.8,"Humid",IF(Table2[[#This Row],[hum]]&gt;=0.8,"High Humid"))</f>
        <v>Humid</v>
      </c>
      <c r="O224">
        <v>0.28360000000000002</v>
      </c>
      <c r="P224">
        <v>4</v>
      </c>
      <c r="Q224">
        <v>50</v>
      </c>
      <c r="R224">
        <v>54</v>
      </c>
    </row>
    <row r="225" spans="1:18" x14ac:dyDescent="0.25">
      <c r="A225">
        <v>224</v>
      </c>
      <c r="B225" s="2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 t="str">
        <f>CHOOSE(H225+1,"Monday","Tuesday","Wednesday","Thursday","Friday","Saturday","Sunday")</f>
        <v>Tuesday</v>
      </c>
      <c r="J225">
        <v>2</v>
      </c>
      <c r="K225">
        <v>0.2</v>
      </c>
      <c r="L225">
        <v>0.19700000000000001</v>
      </c>
      <c r="M225">
        <v>0.4</v>
      </c>
      <c r="N225" s="1" t="str">
        <f>IF(Table2[[#This Row],[hum]]&lt;=0.8,"Humid",IF(Table2[[#This Row],[hum]]&gt;=0.8,"High Humid"))</f>
        <v>Humid</v>
      </c>
      <c r="O225">
        <v>0.22389999999999999</v>
      </c>
      <c r="P225">
        <v>0</v>
      </c>
      <c r="Q225">
        <v>47</v>
      </c>
      <c r="R225">
        <v>47</v>
      </c>
    </row>
    <row r="226" spans="1:18" x14ac:dyDescent="0.25">
      <c r="A226">
        <v>225</v>
      </c>
      <c r="B226" s="2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 t="str">
        <f>CHOOSE(H226+1,"Monday","Tuesday","Wednesday","Thursday","Friday","Saturday","Sunday")</f>
        <v>Tuesday</v>
      </c>
      <c r="J226">
        <v>2</v>
      </c>
      <c r="K226">
        <v>0.2</v>
      </c>
      <c r="L226">
        <v>0.19700000000000001</v>
      </c>
      <c r="M226">
        <v>0.4</v>
      </c>
      <c r="N226" s="1" t="str">
        <f>IF(Table2[[#This Row],[hum]]&lt;=0.8,"Humid",IF(Table2[[#This Row],[hum]]&gt;=0.8,"High Humid"))</f>
        <v>Humid</v>
      </c>
      <c r="O226">
        <v>0.22389999999999999</v>
      </c>
      <c r="P226">
        <v>2</v>
      </c>
      <c r="Q226">
        <v>43</v>
      </c>
      <c r="R226">
        <v>45</v>
      </c>
    </row>
    <row r="227" spans="1:18" x14ac:dyDescent="0.25">
      <c r="A227">
        <v>226</v>
      </c>
      <c r="B227" s="2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 t="str">
        <f>CHOOSE(H227+1,"Monday","Tuesday","Wednesday","Thursday","Friday","Saturday","Sunday")</f>
        <v>Tuesday</v>
      </c>
      <c r="J227">
        <v>1</v>
      </c>
      <c r="K227">
        <v>0.2</v>
      </c>
      <c r="L227">
        <v>0.21210000000000001</v>
      </c>
      <c r="M227">
        <v>0.4</v>
      </c>
      <c r="N227" s="1" t="str">
        <f>IF(Table2[[#This Row],[hum]]&lt;=0.8,"Humid",IF(Table2[[#This Row],[hum]]&gt;=0.8,"High Humid"))</f>
        <v>Humid</v>
      </c>
      <c r="O227">
        <v>0.1343</v>
      </c>
      <c r="P227">
        <v>4</v>
      </c>
      <c r="Q227">
        <v>70</v>
      </c>
      <c r="R227">
        <v>74</v>
      </c>
    </row>
    <row r="228" spans="1:18" x14ac:dyDescent="0.25">
      <c r="A228">
        <v>227</v>
      </c>
      <c r="B228" s="2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 t="str">
        <f>CHOOSE(H228+1,"Monday","Tuesday","Wednesday","Thursday","Friday","Saturday","Sunday")</f>
        <v>Tuesday</v>
      </c>
      <c r="J228">
        <v>1</v>
      </c>
      <c r="K228">
        <v>0.2</v>
      </c>
      <c r="L228">
        <v>0.2273</v>
      </c>
      <c r="M228">
        <v>0.4</v>
      </c>
      <c r="N228" s="1" t="str">
        <f>IF(Table2[[#This Row],[hum]]&lt;=0.8,"Humid",IF(Table2[[#This Row],[hum]]&gt;=0.8,"High Humid"))</f>
        <v>Humid</v>
      </c>
      <c r="O228">
        <v>0.1045</v>
      </c>
      <c r="P228">
        <v>4</v>
      </c>
      <c r="Q228">
        <v>174</v>
      </c>
      <c r="R228">
        <v>178</v>
      </c>
    </row>
    <row r="229" spans="1:18" x14ac:dyDescent="0.25">
      <c r="A229">
        <v>228</v>
      </c>
      <c r="B229" s="2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 t="str">
        <f>CHOOSE(H229+1,"Monday","Tuesday","Wednesday","Thursday","Friday","Saturday","Sunday")</f>
        <v>Tuesday</v>
      </c>
      <c r="J229">
        <v>1</v>
      </c>
      <c r="K229">
        <v>0.2</v>
      </c>
      <c r="L229">
        <v>0.19700000000000001</v>
      </c>
      <c r="M229">
        <v>0.4</v>
      </c>
      <c r="N229" s="1" t="str">
        <f>IF(Table2[[#This Row],[hum]]&lt;=0.8,"Humid",IF(Table2[[#This Row],[hum]]&gt;=0.8,"High Humid"))</f>
        <v>Humid</v>
      </c>
      <c r="O229">
        <v>0.22389999999999999</v>
      </c>
      <c r="P229">
        <v>1</v>
      </c>
      <c r="Q229">
        <v>154</v>
      </c>
      <c r="R229">
        <v>155</v>
      </c>
    </row>
    <row r="230" spans="1:18" x14ac:dyDescent="0.25">
      <c r="A230">
        <v>229</v>
      </c>
      <c r="B230" s="2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 t="str">
        <f>CHOOSE(H230+1,"Monday","Tuesday","Wednesday","Thursday","Friday","Saturday","Sunday")</f>
        <v>Tuesday</v>
      </c>
      <c r="J230">
        <v>1</v>
      </c>
      <c r="K230">
        <v>0.16</v>
      </c>
      <c r="L230">
        <v>0.16669999999999999</v>
      </c>
      <c r="M230">
        <v>0.47</v>
      </c>
      <c r="N230" s="1" t="str">
        <f>IF(Table2[[#This Row],[hum]]&lt;=0.8,"Humid",IF(Table2[[#This Row],[hum]]&gt;=0.8,"High Humid"))</f>
        <v>Humid</v>
      </c>
      <c r="O230">
        <v>0.16420000000000001</v>
      </c>
      <c r="P230">
        <v>3</v>
      </c>
      <c r="Q230">
        <v>92</v>
      </c>
      <c r="R230">
        <v>95</v>
      </c>
    </row>
    <row r="231" spans="1:18" x14ac:dyDescent="0.25">
      <c r="A231">
        <v>230</v>
      </c>
      <c r="B231" s="2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 t="str">
        <f>CHOOSE(H231+1,"Monday","Tuesday","Wednesday","Thursday","Friday","Saturday","Sunday")</f>
        <v>Tuesday</v>
      </c>
      <c r="J231">
        <v>1</v>
      </c>
      <c r="K231">
        <v>0.16</v>
      </c>
      <c r="L231">
        <v>0.16669999999999999</v>
      </c>
      <c r="M231">
        <v>0.5</v>
      </c>
      <c r="N231" s="1" t="str">
        <f>IF(Table2[[#This Row],[hum]]&lt;=0.8,"Humid",IF(Table2[[#This Row],[hum]]&gt;=0.8,"High Humid"))</f>
        <v>Humid</v>
      </c>
      <c r="O231">
        <v>0.16420000000000001</v>
      </c>
      <c r="P231">
        <v>1</v>
      </c>
      <c r="Q231">
        <v>73</v>
      </c>
      <c r="R231">
        <v>74</v>
      </c>
    </row>
    <row r="232" spans="1:18" x14ac:dyDescent="0.25">
      <c r="A232">
        <v>231</v>
      </c>
      <c r="B232" s="2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 t="str">
        <f>CHOOSE(H232+1,"Monday","Tuesday","Wednesday","Thursday","Friday","Saturday","Sunday")</f>
        <v>Tuesday</v>
      </c>
      <c r="J232">
        <v>1</v>
      </c>
      <c r="K232">
        <v>0.14000000000000001</v>
      </c>
      <c r="L232">
        <v>0.13639999999999999</v>
      </c>
      <c r="M232">
        <v>0.59</v>
      </c>
      <c r="N232" s="1" t="str">
        <f>IF(Table2[[#This Row],[hum]]&lt;=0.8,"Humid",IF(Table2[[#This Row],[hum]]&gt;=0.8,"High Humid"))</f>
        <v>Humid</v>
      </c>
      <c r="O232">
        <v>0.19400000000000001</v>
      </c>
      <c r="P232">
        <v>1</v>
      </c>
      <c r="Q232">
        <v>37</v>
      </c>
      <c r="R232">
        <v>38</v>
      </c>
    </row>
    <row r="233" spans="1:18" x14ac:dyDescent="0.25">
      <c r="A233">
        <v>232</v>
      </c>
      <c r="B233" s="2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 t="str">
        <f>CHOOSE(H233+1,"Monday","Tuesday","Wednesday","Thursday","Friday","Saturday","Sunday")</f>
        <v>Tuesday</v>
      </c>
      <c r="J233">
        <v>1</v>
      </c>
      <c r="K233">
        <v>0.14000000000000001</v>
      </c>
      <c r="L233">
        <v>0.1515</v>
      </c>
      <c r="M233">
        <v>0.59</v>
      </c>
      <c r="N233" s="1" t="str">
        <f>IF(Table2[[#This Row],[hum]]&lt;=0.8,"Humid",IF(Table2[[#This Row],[hum]]&gt;=0.8,"High Humid"))</f>
        <v>Humid</v>
      </c>
      <c r="O233">
        <v>0.16420000000000001</v>
      </c>
      <c r="P233">
        <v>2</v>
      </c>
      <c r="Q233">
        <v>22</v>
      </c>
      <c r="R233">
        <v>24</v>
      </c>
    </row>
    <row r="234" spans="1:18" x14ac:dyDescent="0.25">
      <c r="A234">
        <v>233</v>
      </c>
      <c r="B234" s="2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 t="str">
        <f>CHOOSE(H234+1,"Monday","Tuesday","Wednesday","Thursday","Friday","Saturday","Sunday")</f>
        <v>Tuesday</v>
      </c>
      <c r="J234">
        <v>1</v>
      </c>
      <c r="K234">
        <v>0.14000000000000001</v>
      </c>
      <c r="L234">
        <v>0.1515</v>
      </c>
      <c r="M234">
        <v>0.59</v>
      </c>
      <c r="N234" s="1" t="str">
        <f>IF(Table2[[#This Row],[hum]]&lt;=0.8,"Humid",IF(Table2[[#This Row],[hum]]&gt;=0.8,"High Humid"))</f>
        <v>Humid</v>
      </c>
      <c r="O234">
        <v>0.16420000000000001</v>
      </c>
      <c r="P234">
        <v>0</v>
      </c>
      <c r="Q234">
        <v>18</v>
      </c>
      <c r="R234">
        <v>18</v>
      </c>
    </row>
    <row r="235" spans="1:18" x14ac:dyDescent="0.25">
      <c r="A235">
        <v>234</v>
      </c>
      <c r="B235" s="2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 t="str">
        <f>CHOOSE(H235+1,"Monday","Tuesday","Wednesday","Thursday","Friday","Saturday","Sunday")</f>
        <v>Wednesday</v>
      </c>
      <c r="J235">
        <v>1</v>
      </c>
      <c r="K235">
        <v>0.14000000000000001</v>
      </c>
      <c r="L235">
        <v>0.16669999999999999</v>
      </c>
      <c r="M235">
        <v>0.59</v>
      </c>
      <c r="N235" s="1" t="str">
        <f>IF(Table2[[#This Row],[hum]]&lt;=0.8,"Humid",IF(Table2[[#This Row],[hum]]&gt;=0.8,"High Humid"))</f>
        <v>Humid</v>
      </c>
      <c r="O235">
        <v>0.1045</v>
      </c>
      <c r="P235">
        <v>2</v>
      </c>
      <c r="Q235">
        <v>10</v>
      </c>
      <c r="R235">
        <v>12</v>
      </c>
    </row>
    <row r="236" spans="1:18" x14ac:dyDescent="0.25">
      <c r="A236">
        <v>235</v>
      </c>
      <c r="B236" s="2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 t="str">
        <f>CHOOSE(H236+1,"Monday","Tuesday","Wednesday","Thursday","Friday","Saturday","Sunday")</f>
        <v>Wednesday</v>
      </c>
      <c r="J236">
        <v>1</v>
      </c>
      <c r="K236">
        <v>0.14000000000000001</v>
      </c>
      <c r="L236">
        <v>0.1515</v>
      </c>
      <c r="M236">
        <v>0.59</v>
      </c>
      <c r="N236" s="1" t="str">
        <f>IF(Table2[[#This Row],[hum]]&lt;=0.8,"Humid",IF(Table2[[#This Row],[hum]]&gt;=0.8,"High Humid"))</f>
        <v>Humid</v>
      </c>
      <c r="O236">
        <v>0.16420000000000001</v>
      </c>
      <c r="P236">
        <v>0</v>
      </c>
      <c r="Q236">
        <v>3</v>
      </c>
      <c r="R236">
        <v>3</v>
      </c>
    </row>
    <row r="237" spans="1:18" x14ac:dyDescent="0.25">
      <c r="A237">
        <v>236</v>
      </c>
      <c r="B237" s="2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 t="str">
        <f>CHOOSE(H237+1,"Monday","Tuesday","Wednesday","Thursday","Friday","Saturday","Sunday")</f>
        <v>Wednesday</v>
      </c>
      <c r="J237">
        <v>2</v>
      </c>
      <c r="K237">
        <v>0.16</v>
      </c>
      <c r="L237">
        <v>0.1515</v>
      </c>
      <c r="M237">
        <v>0.55000000000000004</v>
      </c>
      <c r="N237" s="1" t="str">
        <f>IF(Table2[[#This Row],[hum]]&lt;=0.8,"Humid",IF(Table2[[#This Row],[hum]]&gt;=0.8,"High Humid"))</f>
        <v>Humid</v>
      </c>
      <c r="O237">
        <v>0.19400000000000001</v>
      </c>
      <c r="P237">
        <v>0</v>
      </c>
      <c r="Q237">
        <v>3</v>
      </c>
      <c r="R237">
        <v>3</v>
      </c>
    </row>
    <row r="238" spans="1:18" x14ac:dyDescent="0.25">
      <c r="A238">
        <v>237</v>
      </c>
      <c r="B238" s="2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 t="str">
        <f>CHOOSE(H238+1,"Monday","Tuesday","Wednesday","Thursday","Friday","Saturday","Sunday")</f>
        <v>Wednesday</v>
      </c>
      <c r="J238">
        <v>2</v>
      </c>
      <c r="K238">
        <v>0.16</v>
      </c>
      <c r="L238">
        <v>0.18179999999999999</v>
      </c>
      <c r="M238">
        <v>0.55000000000000004</v>
      </c>
      <c r="N238" s="1" t="str">
        <f>IF(Table2[[#This Row],[hum]]&lt;=0.8,"Humid",IF(Table2[[#This Row],[hum]]&gt;=0.8,"High Humid"))</f>
        <v>Humid</v>
      </c>
      <c r="O238">
        <v>0.1343</v>
      </c>
      <c r="P238">
        <v>0</v>
      </c>
      <c r="Q238">
        <v>6</v>
      </c>
      <c r="R238">
        <v>6</v>
      </c>
    </row>
    <row r="239" spans="1:18" x14ac:dyDescent="0.25">
      <c r="A239">
        <v>238</v>
      </c>
      <c r="B239" s="2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 t="str">
        <f>CHOOSE(H239+1,"Monday","Tuesday","Wednesday","Thursday","Friday","Saturday","Sunday")</f>
        <v>Wednesday</v>
      </c>
      <c r="J239">
        <v>2</v>
      </c>
      <c r="K239">
        <v>0.16</v>
      </c>
      <c r="L239">
        <v>0.18179999999999999</v>
      </c>
      <c r="M239">
        <v>0.55000000000000004</v>
      </c>
      <c r="N239" s="1" t="str">
        <f>IF(Table2[[#This Row],[hum]]&lt;=0.8,"Humid",IF(Table2[[#This Row],[hum]]&gt;=0.8,"High Humid"))</f>
        <v>Humid</v>
      </c>
      <c r="O239">
        <v>0.1343</v>
      </c>
      <c r="P239">
        <v>0</v>
      </c>
      <c r="Q239">
        <v>27</v>
      </c>
      <c r="R239">
        <v>27</v>
      </c>
    </row>
    <row r="240" spans="1:18" x14ac:dyDescent="0.25">
      <c r="A240">
        <v>239</v>
      </c>
      <c r="B240" s="2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 t="str">
        <f>CHOOSE(H240+1,"Monday","Tuesday","Wednesday","Thursday","Friday","Saturday","Sunday")</f>
        <v>Wednesday</v>
      </c>
      <c r="J240">
        <v>2</v>
      </c>
      <c r="K240">
        <v>0.16</v>
      </c>
      <c r="L240">
        <v>0.2273</v>
      </c>
      <c r="M240">
        <v>0.55000000000000004</v>
      </c>
      <c r="N240" s="1" t="str">
        <f>IF(Table2[[#This Row],[hum]]&lt;=0.8,"Humid",IF(Table2[[#This Row],[hum]]&gt;=0.8,"High Humid"))</f>
        <v>Humid</v>
      </c>
      <c r="O240">
        <v>0</v>
      </c>
      <c r="P240">
        <v>2</v>
      </c>
      <c r="Q240">
        <v>97</v>
      </c>
      <c r="R240">
        <v>99</v>
      </c>
    </row>
    <row r="241" spans="1:18" x14ac:dyDescent="0.25">
      <c r="A241">
        <v>240</v>
      </c>
      <c r="B241" s="2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 t="str">
        <f>CHOOSE(H241+1,"Monday","Tuesday","Wednesday","Thursday","Friday","Saturday","Sunday")</f>
        <v>Wednesday</v>
      </c>
      <c r="J241">
        <v>2</v>
      </c>
      <c r="K241">
        <v>0.18</v>
      </c>
      <c r="L241">
        <v>0.21210000000000001</v>
      </c>
      <c r="M241">
        <v>0.51</v>
      </c>
      <c r="N241" s="1" t="str">
        <f>IF(Table2[[#This Row],[hum]]&lt;=0.8,"Humid",IF(Table2[[#This Row],[hum]]&gt;=0.8,"High Humid"))</f>
        <v>Humid</v>
      </c>
      <c r="O241">
        <v>8.9599999999999999E-2</v>
      </c>
      <c r="P241">
        <v>3</v>
      </c>
      <c r="Q241">
        <v>214</v>
      </c>
      <c r="R241">
        <v>217</v>
      </c>
    </row>
    <row r="242" spans="1:18" x14ac:dyDescent="0.25">
      <c r="A242">
        <v>241</v>
      </c>
      <c r="B242" s="2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 t="str">
        <f>CHOOSE(H242+1,"Monday","Tuesday","Wednesday","Thursday","Friday","Saturday","Sunday")</f>
        <v>Wednesday</v>
      </c>
      <c r="J242">
        <v>2</v>
      </c>
      <c r="K242">
        <v>0.18</v>
      </c>
      <c r="L242">
        <v>0.19700000000000001</v>
      </c>
      <c r="M242">
        <v>0.51</v>
      </c>
      <c r="N242" s="1" t="str">
        <f>IF(Table2[[#This Row],[hum]]&lt;=0.8,"Humid",IF(Table2[[#This Row],[hum]]&gt;=0.8,"High Humid"))</f>
        <v>Humid</v>
      </c>
      <c r="O242">
        <v>0.16420000000000001</v>
      </c>
      <c r="P242">
        <v>3</v>
      </c>
      <c r="Q242">
        <v>127</v>
      </c>
      <c r="R242">
        <v>130</v>
      </c>
    </row>
    <row r="243" spans="1:18" x14ac:dyDescent="0.25">
      <c r="A243">
        <v>242</v>
      </c>
      <c r="B243" s="2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 t="str">
        <f>CHOOSE(H243+1,"Monday","Tuesday","Wednesday","Thursday","Friday","Saturday","Sunday")</f>
        <v>Wednesday</v>
      </c>
      <c r="J243">
        <v>2</v>
      </c>
      <c r="K243">
        <v>0.2</v>
      </c>
      <c r="L243">
        <v>0.21210000000000001</v>
      </c>
      <c r="M243">
        <v>0.51</v>
      </c>
      <c r="N243" s="1" t="str">
        <f>IF(Table2[[#This Row],[hum]]&lt;=0.8,"Humid",IF(Table2[[#This Row],[hum]]&gt;=0.8,"High Humid"))</f>
        <v>Humid</v>
      </c>
      <c r="O243">
        <v>0.16420000000000001</v>
      </c>
      <c r="P243">
        <v>3</v>
      </c>
      <c r="Q243">
        <v>51</v>
      </c>
      <c r="R243">
        <v>54</v>
      </c>
    </row>
    <row r="244" spans="1:18" x14ac:dyDescent="0.25">
      <c r="A244">
        <v>243</v>
      </c>
      <c r="B244" s="2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 t="str">
        <f>CHOOSE(H244+1,"Monday","Tuesday","Wednesday","Thursday","Friday","Saturday","Sunday")</f>
        <v>Wednesday</v>
      </c>
      <c r="J244">
        <v>2</v>
      </c>
      <c r="K244">
        <v>0.2</v>
      </c>
      <c r="L244">
        <v>0.21210000000000001</v>
      </c>
      <c r="M244">
        <v>0.47</v>
      </c>
      <c r="N244" s="1" t="str">
        <f>IF(Table2[[#This Row],[hum]]&lt;=0.8,"Humid",IF(Table2[[#This Row],[hum]]&gt;=0.8,"High Humid"))</f>
        <v>Humid</v>
      </c>
      <c r="O244">
        <v>0.1343</v>
      </c>
      <c r="P244">
        <v>4</v>
      </c>
      <c r="Q244">
        <v>31</v>
      </c>
      <c r="R244">
        <v>35</v>
      </c>
    </row>
    <row r="245" spans="1:18" x14ac:dyDescent="0.25">
      <c r="A245">
        <v>244</v>
      </c>
      <c r="B245" s="2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 t="str">
        <f>CHOOSE(H245+1,"Monday","Tuesday","Wednesday","Thursday","Friday","Saturday","Sunday")</f>
        <v>Wednesday</v>
      </c>
      <c r="J245">
        <v>2</v>
      </c>
      <c r="K245">
        <v>0.2</v>
      </c>
      <c r="L245">
        <v>0.2273</v>
      </c>
      <c r="M245">
        <v>0.51</v>
      </c>
      <c r="N245" s="1" t="str">
        <f>IF(Table2[[#This Row],[hum]]&lt;=0.8,"Humid",IF(Table2[[#This Row],[hum]]&gt;=0.8,"High Humid"))</f>
        <v>Humid</v>
      </c>
      <c r="O245">
        <v>0.1045</v>
      </c>
      <c r="P245">
        <v>2</v>
      </c>
      <c r="Q245">
        <v>55</v>
      </c>
      <c r="R245">
        <v>57</v>
      </c>
    </row>
    <row r="246" spans="1:18" x14ac:dyDescent="0.25">
      <c r="A246">
        <v>245</v>
      </c>
      <c r="B246" s="2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 t="str">
        <f>CHOOSE(H246+1,"Monday","Tuesday","Wednesday","Thursday","Friday","Saturday","Sunday")</f>
        <v>Wednesday</v>
      </c>
      <c r="J246">
        <v>2</v>
      </c>
      <c r="K246">
        <v>0.2</v>
      </c>
      <c r="L246">
        <v>0.2273</v>
      </c>
      <c r="M246">
        <v>0.59</v>
      </c>
      <c r="N246" s="1" t="str">
        <f>IF(Table2[[#This Row],[hum]]&lt;=0.8,"Humid",IF(Table2[[#This Row],[hum]]&gt;=0.8,"High Humid"))</f>
        <v>Humid</v>
      </c>
      <c r="O246">
        <v>8.9599999999999999E-2</v>
      </c>
      <c r="P246">
        <v>6</v>
      </c>
      <c r="Q246">
        <v>46</v>
      </c>
      <c r="R246">
        <v>52</v>
      </c>
    </row>
    <row r="247" spans="1:18" x14ac:dyDescent="0.25">
      <c r="A247">
        <v>246</v>
      </c>
      <c r="B247" s="2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 t="str">
        <f>CHOOSE(H247+1,"Monday","Tuesday","Wednesday","Thursday","Friday","Saturday","Sunday")</f>
        <v>Wednesday</v>
      </c>
      <c r="J247">
        <v>2</v>
      </c>
      <c r="K247">
        <v>0.2</v>
      </c>
      <c r="L247">
        <v>0.2273</v>
      </c>
      <c r="M247">
        <v>0.59</v>
      </c>
      <c r="N247" s="1" t="str">
        <f>IF(Table2[[#This Row],[hum]]&lt;=0.8,"Humid",IF(Table2[[#This Row],[hum]]&gt;=0.8,"High Humid"))</f>
        <v>Humid</v>
      </c>
      <c r="O247">
        <v>8.9599999999999999E-2</v>
      </c>
      <c r="P247">
        <v>3</v>
      </c>
      <c r="Q247">
        <v>60</v>
      </c>
      <c r="R247">
        <v>63</v>
      </c>
    </row>
    <row r="248" spans="1:18" x14ac:dyDescent="0.25">
      <c r="A248">
        <v>247</v>
      </c>
      <c r="B248" s="2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 t="str">
        <f>CHOOSE(H248+1,"Monday","Tuesday","Wednesday","Thursday","Friday","Saturday","Sunday")</f>
        <v>Wednesday</v>
      </c>
      <c r="J248">
        <v>2</v>
      </c>
      <c r="K248">
        <v>0.16</v>
      </c>
      <c r="L248">
        <v>0.19700000000000001</v>
      </c>
      <c r="M248">
        <v>0.8</v>
      </c>
      <c r="N248" s="1" t="str">
        <f>IF(Table2[[#This Row],[hum]]&lt;=0.8,"Humid",IF(Table2[[#This Row],[hum]]&gt;=0.8,"High Humid"))</f>
        <v>Humid</v>
      </c>
      <c r="O248">
        <v>8.9599999999999999E-2</v>
      </c>
      <c r="P248">
        <v>2</v>
      </c>
      <c r="Q248">
        <v>45</v>
      </c>
      <c r="R248">
        <v>47</v>
      </c>
    </row>
    <row r="249" spans="1:18" x14ac:dyDescent="0.25">
      <c r="A249">
        <v>248</v>
      </c>
      <c r="B249" s="2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 t="str">
        <f>CHOOSE(H249+1,"Monday","Tuesday","Wednesday","Thursday","Friday","Saturday","Sunday")</f>
        <v>Wednesday</v>
      </c>
      <c r="J249">
        <v>2</v>
      </c>
      <c r="K249">
        <v>0.16</v>
      </c>
      <c r="L249">
        <v>0.1515</v>
      </c>
      <c r="M249">
        <v>0.86</v>
      </c>
      <c r="N249" s="1" t="str">
        <f>IF(Table2[[#This Row],[hum]]&lt;=0.8,"Humid",IF(Table2[[#This Row],[hum]]&gt;=0.8,"High Humid"))</f>
        <v>High Humid</v>
      </c>
      <c r="O249">
        <v>0.22389999999999999</v>
      </c>
      <c r="P249">
        <v>4</v>
      </c>
      <c r="Q249">
        <v>72</v>
      </c>
      <c r="R249">
        <v>76</v>
      </c>
    </row>
    <row r="250" spans="1:18" x14ac:dyDescent="0.25">
      <c r="A250">
        <v>249</v>
      </c>
      <c r="B250" s="2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 t="str">
        <f>CHOOSE(H250+1,"Monday","Tuesday","Wednesday","Thursday","Friday","Saturday","Sunday")</f>
        <v>Wednesday</v>
      </c>
      <c r="J250">
        <v>2</v>
      </c>
      <c r="K250">
        <v>0.16</v>
      </c>
      <c r="L250">
        <v>0.1515</v>
      </c>
      <c r="M250">
        <v>0.86</v>
      </c>
      <c r="N250" s="1" t="str">
        <f>IF(Table2[[#This Row],[hum]]&lt;=0.8,"Humid",IF(Table2[[#This Row],[hum]]&gt;=0.8,"High Humid"))</f>
        <v>High Humid</v>
      </c>
      <c r="O250">
        <v>0.22389999999999999</v>
      </c>
      <c r="P250">
        <v>6</v>
      </c>
      <c r="Q250">
        <v>130</v>
      </c>
      <c r="R250">
        <v>136</v>
      </c>
    </row>
    <row r="251" spans="1:18" x14ac:dyDescent="0.25">
      <c r="A251">
        <v>250</v>
      </c>
      <c r="B251" s="2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 t="str">
        <f>CHOOSE(H251+1,"Monday","Tuesday","Wednesday","Thursday","Friday","Saturday","Sunday")</f>
        <v>Wednesday</v>
      </c>
      <c r="J251">
        <v>3</v>
      </c>
      <c r="K251">
        <v>0.16</v>
      </c>
      <c r="L251">
        <v>0.18179999999999999</v>
      </c>
      <c r="M251">
        <v>0.93</v>
      </c>
      <c r="N251" s="1" t="str">
        <f>IF(Table2[[#This Row],[hum]]&lt;=0.8,"Humid",IF(Table2[[#This Row],[hum]]&gt;=0.8,"High Humid"))</f>
        <v>High Humid</v>
      </c>
      <c r="O251">
        <v>0.1045</v>
      </c>
      <c r="P251">
        <v>1</v>
      </c>
      <c r="Q251">
        <v>94</v>
      </c>
      <c r="R251">
        <v>95</v>
      </c>
    </row>
    <row r="252" spans="1:18" x14ac:dyDescent="0.25">
      <c r="A252">
        <v>251</v>
      </c>
      <c r="B252" s="2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 t="str">
        <f>CHOOSE(H252+1,"Monday","Tuesday","Wednesday","Thursday","Friday","Saturday","Sunday")</f>
        <v>Wednesday</v>
      </c>
      <c r="J252">
        <v>3</v>
      </c>
      <c r="K252">
        <v>0.16</v>
      </c>
      <c r="L252">
        <v>0.2273</v>
      </c>
      <c r="M252">
        <v>0.93</v>
      </c>
      <c r="N252" s="1" t="str">
        <f>IF(Table2[[#This Row],[hum]]&lt;=0.8,"Humid",IF(Table2[[#This Row],[hum]]&gt;=0.8,"High Humid"))</f>
        <v>High Humid</v>
      </c>
      <c r="O252">
        <v>0</v>
      </c>
      <c r="P252">
        <v>0</v>
      </c>
      <c r="Q252">
        <v>51</v>
      </c>
      <c r="R252">
        <v>51</v>
      </c>
    </row>
    <row r="253" spans="1:18" x14ac:dyDescent="0.25">
      <c r="A253">
        <v>252</v>
      </c>
      <c r="B253" s="2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 t="str">
        <f>CHOOSE(H253+1,"Monday","Tuesday","Wednesday","Thursday","Friday","Saturday","Sunday")</f>
        <v>Wednesday</v>
      </c>
      <c r="J253">
        <v>3</v>
      </c>
      <c r="K253">
        <v>0.16</v>
      </c>
      <c r="L253">
        <v>0.1515</v>
      </c>
      <c r="M253">
        <v>0.93</v>
      </c>
      <c r="N253" s="1" t="str">
        <f>IF(Table2[[#This Row],[hum]]&lt;=0.8,"Humid",IF(Table2[[#This Row],[hum]]&gt;=0.8,"High Humid"))</f>
        <v>High Humid</v>
      </c>
      <c r="O253">
        <v>0.19400000000000001</v>
      </c>
      <c r="P253">
        <v>0</v>
      </c>
      <c r="Q253">
        <v>32</v>
      </c>
      <c r="R253">
        <v>32</v>
      </c>
    </row>
    <row r="254" spans="1:18" x14ac:dyDescent="0.25">
      <c r="A254">
        <v>253</v>
      </c>
      <c r="B254" s="2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 t="str">
        <f>CHOOSE(H254+1,"Monday","Tuesday","Wednesday","Thursday","Friday","Saturday","Sunday")</f>
        <v>Wednesday</v>
      </c>
      <c r="J254">
        <v>3</v>
      </c>
      <c r="K254">
        <v>0.16</v>
      </c>
      <c r="L254">
        <v>0.19700000000000001</v>
      </c>
      <c r="M254">
        <v>0.86</v>
      </c>
      <c r="N254" s="1" t="str">
        <f>IF(Table2[[#This Row],[hum]]&lt;=0.8,"Humid",IF(Table2[[#This Row],[hum]]&gt;=0.8,"High Humid"))</f>
        <v>High Humid</v>
      </c>
      <c r="O254">
        <v>8.9599999999999999E-2</v>
      </c>
      <c r="P254">
        <v>0</v>
      </c>
      <c r="Q254">
        <v>20</v>
      </c>
      <c r="R254">
        <v>20</v>
      </c>
    </row>
    <row r="255" spans="1:18" x14ac:dyDescent="0.25">
      <c r="A255">
        <v>254</v>
      </c>
      <c r="B255" s="2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 t="str">
        <f>CHOOSE(H255+1,"Monday","Tuesday","Wednesday","Thursday","Friday","Saturday","Sunday")</f>
        <v>Wednesday</v>
      </c>
      <c r="J255">
        <v>3</v>
      </c>
      <c r="K255">
        <v>0.16</v>
      </c>
      <c r="L255">
        <v>0.18179999999999999</v>
      </c>
      <c r="M255">
        <v>0.93</v>
      </c>
      <c r="N255" s="1" t="str">
        <f>IF(Table2[[#This Row],[hum]]&lt;=0.8,"Humid",IF(Table2[[#This Row],[hum]]&gt;=0.8,"High Humid"))</f>
        <v>High Humid</v>
      </c>
      <c r="O255">
        <v>0.1045</v>
      </c>
      <c r="P255">
        <v>1</v>
      </c>
      <c r="Q255">
        <v>28</v>
      </c>
      <c r="R255">
        <v>29</v>
      </c>
    </row>
    <row r="256" spans="1:18" x14ac:dyDescent="0.25">
      <c r="A256">
        <v>255</v>
      </c>
      <c r="B256" s="2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 t="str">
        <f>CHOOSE(H256+1,"Monday","Tuesday","Wednesday","Thursday","Friday","Saturday","Sunday")</f>
        <v>Wednesday</v>
      </c>
      <c r="J256">
        <v>3</v>
      </c>
      <c r="K256">
        <v>0.16</v>
      </c>
      <c r="L256">
        <v>0.19700000000000001</v>
      </c>
      <c r="M256">
        <v>0.93</v>
      </c>
      <c r="N256" s="1" t="str">
        <f>IF(Table2[[#This Row],[hum]]&lt;=0.8,"Humid",IF(Table2[[#This Row],[hum]]&gt;=0.8,"High Humid"))</f>
        <v>High Humid</v>
      </c>
      <c r="O256">
        <v>8.9599999999999999E-2</v>
      </c>
      <c r="P256">
        <v>1</v>
      </c>
      <c r="Q256">
        <v>18</v>
      </c>
      <c r="R256">
        <v>19</v>
      </c>
    </row>
    <row r="257" spans="1:18" x14ac:dyDescent="0.25">
      <c r="A257">
        <v>256</v>
      </c>
      <c r="B257" s="2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 t="str">
        <f>CHOOSE(H257+1,"Monday","Tuesday","Wednesday","Thursday","Friday","Saturday","Sunday")</f>
        <v>Thursday</v>
      </c>
      <c r="J257">
        <v>2</v>
      </c>
      <c r="K257">
        <v>0.16</v>
      </c>
      <c r="L257">
        <v>0.19700000000000001</v>
      </c>
      <c r="M257">
        <v>0.86</v>
      </c>
      <c r="N257" s="1" t="str">
        <f>IF(Table2[[#This Row],[hum]]&lt;=0.8,"Humid",IF(Table2[[#This Row],[hum]]&gt;=0.8,"High Humid"))</f>
        <v>High Humid</v>
      </c>
      <c r="O257">
        <v>8.9599999999999999E-2</v>
      </c>
      <c r="P257">
        <v>0</v>
      </c>
      <c r="Q257">
        <v>7</v>
      </c>
      <c r="R257">
        <v>7</v>
      </c>
    </row>
    <row r="258" spans="1:18" x14ac:dyDescent="0.25">
      <c r="A258">
        <v>257</v>
      </c>
      <c r="B258" s="2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 t="str">
        <f>CHOOSE(H258+1,"Monday","Tuesday","Wednesday","Thursday","Friday","Saturday","Sunday")</f>
        <v>Thursday</v>
      </c>
      <c r="J258">
        <v>2</v>
      </c>
      <c r="K258">
        <v>0.16</v>
      </c>
      <c r="L258">
        <v>0.18179999999999999</v>
      </c>
      <c r="M258">
        <v>0.86</v>
      </c>
      <c r="N258" s="1" t="str">
        <f>IF(Table2[[#This Row],[hum]]&lt;=0.8,"Humid",IF(Table2[[#This Row],[hum]]&gt;=0.8,"High Humid"))</f>
        <v>High Humid</v>
      </c>
      <c r="O258">
        <v>0.1045</v>
      </c>
      <c r="P258">
        <v>0</v>
      </c>
      <c r="Q258">
        <v>6</v>
      </c>
      <c r="R258">
        <v>6</v>
      </c>
    </row>
    <row r="259" spans="1:18" x14ac:dyDescent="0.25">
      <c r="A259">
        <v>258</v>
      </c>
      <c r="B259" s="2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 t="str">
        <f>CHOOSE(H259+1,"Monday","Tuesday","Wednesday","Thursday","Friday","Saturday","Sunday")</f>
        <v>Thursday</v>
      </c>
      <c r="J259">
        <v>1</v>
      </c>
      <c r="K259">
        <v>0.14000000000000001</v>
      </c>
      <c r="L259">
        <v>0.1515</v>
      </c>
      <c r="M259">
        <v>0.86</v>
      </c>
      <c r="N259" s="1" t="str">
        <f>IF(Table2[[#This Row],[hum]]&lt;=0.8,"Humid",IF(Table2[[#This Row],[hum]]&gt;=0.8,"High Humid"))</f>
        <v>High Humid</v>
      </c>
      <c r="O259">
        <v>0.1343</v>
      </c>
      <c r="P259">
        <v>0</v>
      </c>
      <c r="Q259">
        <v>1</v>
      </c>
      <c r="R259">
        <v>1</v>
      </c>
    </row>
    <row r="260" spans="1:18" x14ac:dyDescent="0.25">
      <c r="A260">
        <v>259</v>
      </c>
      <c r="B260" s="2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 t="str">
        <f>CHOOSE(H260+1,"Monday","Tuesday","Wednesday","Thursday","Friday","Saturday","Sunday")</f>
        <v>Thursday</v>
      </c>
      <c r="J260">
        <v>1</v>
      </c>
      <c r="K260">
        <v>0.14000000000000001</v>
      </c>
      <c r="L260">
        <v>0.1515</v>
      </c>
      <c r="M260">
        <v>0.86</v>
      </c>
      <c r="N260" s="1" t="str">
        <f>IF(Table2[[#This Row],[hum]]&lt;=0.8,"Humid",IF(Table2[[#This Row],[hum]]&gt;=0.8,"High Humid"))</f>
        <v>High Humid</v>
      </c>
      <c r="O260">
        <v>0.16420000000000001</v>
      </c>
      <c r="P260">
        <v>0</v>
      </c>
      <c r="Q260">
        <v>5</v>
      </c>
      <c r="R260">
        <v>5</v>
      </c>
    </row>
    <row r="261" spans="1:18" x14ac:dyDescent="0.25">
      <c r="A261">
        <v>260</v>
      </c>
      <c r="B261" s="2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 t="str">
        <f>CHOOSE(H261+1,"Monday","Tuesday","Wednesday","Thursday","Friday","Saturday","Sunday")</f>
        <v>Thursday</v>
      </c>
      <c r="J261">
        <v>1</v>
      </c>
      <c r="K261">
        <v>0.12</v>
      </c>
      <c r="L261">
        <v>0.1515</v>
      </c>
      <c r="M261">
        <v>0.93</v>
      </c>
      <c r="N261" s="1" t="str">
        <f>IF(Table2[[#This Row],[hum]]&lt;=0.8,"Humid",IF(Table2[[#This Row],[hum]]&gt;=0.8,"High Humid"))</f>
        <v>High Humid</v>
      </c>
      <c r="O261">
        <v>0.1343</v>
      </c>
      <c r="P261">
        <v>0</v>
      </c>
      <c r="Q261">
        <v>16</v>
      </c>
      <c r="R261">
        <v>16</v>
      </c>
    </row>
    <row r="262" spans="1:18" x14ac:dyDescent="0.25">
      <c r="A262">
        <v>261</v>
      </c>
      <c r="B262" s="2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 t="str">
        <f>CHOOSE(H262+1,"Monday","Tuesday","Wednesday","Thursday","Friday","Saturday","Sunday")</f>
        <v>Thursday</v>
      </c>
      <c r="J262">
        <v>1</v>
      </c>
      <c r="K262">
        <v>0.14000000000000001</v>
      </c>
      <c r="L262">
        <v>0.1515</v>
      </c>
      <c r="M262">
        <v>0.69</v>
      </c>
      <c r="N262" s="1" t="str">
        <f>IF(Table2[[#This Row],[hum]]&lt;=0.8,"Humid",IF(Table2[[#This Row],[hum]]&gt;=0.8,"High Humid"))</f>
        <v>Humid</v>
      </c>
      <c r="O262">
        <v>0.1343</v>
      </c>
      <c r="P262">
        <v>0</v>
      </c>
      <c r="Q262">
        <v>54</v>
      </c>
      <c r="R262">
        <v>54</v>
      </c>
    </row>
    <row r="263" spans="1:18" x14ac:dyDescent="0.25">
      <c r="A263">
        <v>262</v>
      </c>
      <c r="B263" s="2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 t="str">
        <f>CHOOSE(H263+1,"Monday","Tuesday","Wednesday","Thursday","Friday","Saturday","Sunday")</f>
        <v>Thursday</v>
      </c>
      <c r="J263">
        <v>1</v>
      </c>
      <c r="K263">
        <v>0.16</v>
      </c>
      <c r="L263">
        <v>0.16669999999999999</v>
      </c>
      <c r="M263">
        <v>0.59</v>
      </c>
      <c r="N263" s="1" t="str">
        <f>IF(Table2[[#This Row],[hum]]&lt;=0.8,"Humid",IF(Table2[[#This Row],[hum]]&gt;=0.8,"High Humid"))</f>
        <v>Humid</v>
      </c>
      <c r="O263">
        <v>0.16420000000000001</v>
      </c>
      <c r="P263">
        <v>3</v>
      </c>
      <c r="Q263">
        <v>125</v>
      </c>
      <c r="R263">
        <v>128</v>
      </c>
    </row>
    <row r="264" spans="1:18" x14ac:dyDescent="0.25">
      <c r="A264">
        <v>263</v>
      </c>
      <c r="B264" s="2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 t="str">
        <f>CHOOSE(H264+1,"Monday","Tuesday","Wednesday","Thursday","Friday","Saturday","Sunday")</f>
        <v>Thursday</v>
      </c>
      <c r="J264">
        <v>1</v>
      </c>
      <c r="K264">
        <v>0.16</v>
      </c>
      <c r="L264">
        <v>0.13639999999999999</v>
      </c>
      <c r="M264">
        <v>0.59</v>
      </c>
      <c r="N264" s="1" t="str">
        <f>IF(Table2[[#This Row],[hum]]&lt;=0.8,"Humid",IF(Table2[[#This Row],[hum]]&gt;=0.8,"High Humid"))</f>
        <v>Humid</v>
      </c>
      <c r="O264">
        <v>0.32840000000000003</v>
      </c>
      <c r="P264">
        <v>3</v>
      </c>
      <c r="Q264">
        <v>78</v>
      </c>
      <c r="R264">
        <v>81</v>
      </c>
    </row>
    <row r="265" spans="1:18" x14ac:dyDescent="0.25">
      <c r="A265">
        <v>264</v>
      </c>
      <c r="B265" s="2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 t="str">
        <f>CHOOSE(H265+1,"Monday","Tuesday","Wednesday","Thursday","Friday","Saturday","Sunday")</f>
        <v>Thursday</v>
      </c>
      <c r="J265">
        <v>1</v>
      </c>
      <c r="K265">
        <v>0.18</v>
      </c>
      <c r="L265">
        <v>0.18179999999999999</v>
      </c>
      <c r="M265">
        <v>0.55000000000000004</v>
      </c>
      <c r="N265" s="1" t="str">
        <f>IF(Table2[[#This Row],[hum]]&lt;=0.8,"Humid",IF(Table2[[#This Row],[hum]]&gt;=0.8,"High Humid"))</f>
        <v>Humid</v>
      </c>
      <c r="O265">
        <v>0.22389999999999999</v>
      </c>
      <c r="P265">
        <v>0</v>
      </c>
      <c r="Q265">
        <v>39</v>
      </c>
      <c r="R265">
        <v>39</v>
      </c>
    </row>
    <row r="266" spans="1:18" x14ac:dyDescent="0.25">
      <c r="A266">
        <v>265</v>
      </c>
      <c r="B266" s="2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 t="str">
        <f>CHOOSE(H266+1,"Monday","Tuesday","Wednesday","Thursday","Friday","Saturday","Sunday")</f>
        <v>Thursday</v>
      </c>
      <c r="J266">
        <v>1</v>
      </c>
      <c r="K266">
        <v>0.2</v>
      </c>
      <c r="L266">
        <v>0.18179999999999999</v>
      </c>
      <c r="M266">
        <v>0.51</v>
      </c>
      <c r="N266" s="1" t="str">
        <f>IF(Table2[[#This Row],[hum]]&lt;=0.8,"Humid",IF(Table2[[#This Row],[hum]]&gt;=0.8,"High Humid"))</f>
        <v>Humid</v>
      </c>
      <c r="O266">
        <v>0.3881</v>
      </c>
      <c r="P266">
        <v>3</v>
      </c>
      <c r="Q266">
        <v>32</v>
      </c>
      <c r="R266">
        <v>35</v>
      </c>
    </row>
    <row r="267" spans="1:18" x14ac:dyDescent="0.25">
      <c r="A267">
        <v>266</v>
      </c>
      <c r="B267" s="2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 t="str">
        <f>CHOOSE(H267+1,"Monday","Tuesday","Wednesday","Thursday","Friday","Saturday","Sunday")</f>
        <v>Thursday</v>
      </c>
      <c r="J267">
        <v>1</v>
      </c>
      <c r="K267">
        <v>0.2</v>
      </c>
      <c r="L267">
        <v>0.1515</v>
      </c>
      <c r="M267">
        <v>0.47</v>
      </c>
      <c r="N267" s="1" t="str">
        <f>IF(Table2[[#This Row],[hum]]&lt;=0.8,"Humid",IF(Table2[[#This Row],[hum]]&gt;=0.8,"High Humid"))</f>
        <v>Humid</v>
      </c>
      <c r="O267">
        <v>0.58209999999999995</v>
      </c>
      <c r="P267">
        <v>3</v>
      </c>
      <c r="Q267">
        <v>52</v>
      </c>
      <c r="R267">
        <v>55</v>
      </c>
    </row>
    <row r="268" spans="1:18" x14ac:dyDescent="0.25">
      <c r="A268">
        <v>267</v>
      </c>
      <c r="B268" s="2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 t="str">
        <f>CHOOSE(H268+1,"Monday","Tuesday","Wednesday","Thursday","Friday","Saturday","Sunday")</f>
        <v>Thursday</v>
      </c>
      <c r="J268">
        <v>1</v>
      </c>
      <c r="K268">
        <v>0.22</v>
      </c>
      <c r="L268">
        <v>0.19700000000000001</v>
      </c>
      <c r="M268">
        <v>0.44</v>
      </c>
      <c r="N268" s="1" t="str">
        <f>IF(Table2[[#This Row],[hum]]&lt;=0.8,"Humid",IF(Table2[[#This Row],[hum]]&gt;=0.8,"High Humid"))</f>
        <v>Humid</v>
      </c>
      <c r="O268">
        <v>0.35820000000000002</v>
      </c>
      <c r="P268">
        <v>0</v>
      </c>
      <c r="Q268">
        <v>49</v>
      </c>
      <c r="R268">
        <v>49</v>
      </c>
    </row>
    <row r="269" spans="1:18" x14ac:dyDescent="0.25">
      <c r="A269">
        <v>268</v>
      </c>
      <c r="B269" s="2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 t="str">
        <f>CHOOSE(H269+1,"Monday","Tuesday","Wednesday","Thursday","Friday","Saturday","Sunday")</f>
        <v>Thursday</v>
      </c>
      <c r="J269">
        <v>1</v>
      </c>
      <c r="K269">
        <v>0.2</v>
      </c>
      <c r="L269">
        <v>0.18179999999999999</v>
      </c>
      <c r="M269">
        <v>0.47</v>
      </c>
      <c r="N269" s="1" t="str">
        <f>IF(Table2[[#This Row],[hum]]&lt;=0.8,"Humid",IF(Table2[[#This Row],[hum]]&gt;=0.8,"High Humid"))</f>
        <v>Humid</v>
      </c>
      <c r="O269">
        <v>0.32840000000000003</v>
      </c>
      <c r="P269">
        <v>0</v>
      </c>
      <c r="Q269">
        <v>44</v>
      </c>
      <c r="R269">
        <v>44</v>
      </c>
    </row>
    <row r="270" spans="1:18" x14ac:dyDescent="0.25">
      <c r="A270">
        <v>269</v>
      </c>
      <c r="B270" s="2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 t="str">
        <f>CHOOSE(H270+1,"Monday","Tuesday","Wednesday","Thursday","Friday","Saturday","Sunday")</f>
        <v>Thursday</v>
      </c>
      <c r="J270">
        <v>1</v>
      </c>
      <c r="K270">
        <v>0.2</v>
      </c>
      <c r="L270">
        <v>0.16669999999999999</v>
      </c>
      <c r="M270">
        <v>0.47</v>
      </c>
      <c r="N270" s="1" t="str">
        <f>IF(Table2[[#This Row],[hum]]&lt;=0.8,"Humid",IF(Table2[[#This Row],[hum]]&gt;=0.8,"High Humid"))</f>
        <v>Humid</v>
      </c>
      <c r="O270">
        <v>0.41789999999999999</v>
      </c>
      <c r="P270">
        <v>1</v>
      </c>
      <c r="Q270">
        <v>48</v>
      </c>
      <c r="R270">
        <v>49</v>
      </c>
    </row>
    <row r="271" spans="1:18" x14ac:dyDescent="0.25">
      <c r="A271">
        <v>270</v>
      </c>
      <c r="B271" s="2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 t="str">
        <f>CHOOSE(H271+1,"Monday","Tuesday","Wednesday","Thursday","Friday","Saturday","Sunday")</f>
        <v>Thursday</v>
      </c>
      <c r="J271">
        <v>1</v>
      </c>
      <c r="K271">
        <v>0.22</v>
      </c>
      <c r="L271">
        <v>0.19700000000000001</v>
      </c>
      <c r="M271">
        <v>0.44</v>
      </c>
      <c r="N271" s="1" t="str">
        <f>IF(Table2[[#This Row],[hum]]&lt;=0.8,"Humid",IF(Table2[[#This Row],[hum]]&gt;=0.8,"High Humid"))</f>
        <v>Humid</v>
      </c>
      <c r="O271">
        <v>0.32840000000000003</v>
      </c>
      <c r="P271">
        <v>5</v>
      </c>
      <c r="Q271">
        <v>63</v>
      </c>
      <c r="R271">
        <v>68</v>
      </c>
    </row>
    <row r="272" spans="1:18" x14ac:dyDescent="0.25">
      <c r="A272">
        <v>271</v>
      </c>
      <c r="B272" s="2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 t="str">
        <f>CHOOSE(H272+1,"Monday","Tuesday","Wednesday","Thursday","Friday","Saturday","Sunday")</f>
        <v>Thursday</v>
      </c>
      <c r="J272">
        <v>1</v>
      </c>
      <c r="K272">
        <v>0.2</v>
      </c>
      <c r="L272">
        <v>0.18179999999999999</v>
      </c>
      <c r="M272">
        <v>0.47</v>
      </c>
      <c r="N272" s="1" t="str">
        <f>IF(Table2[[#This Row],[hum]]&lt;=0.8,"Humid",IF(Table2[[#This Row],[hum]]&gt;=0.8,"High Humid"))</f>
        <v>Humid</v>
      </c>
      <c r="O272">
        <v>0.35820000000000002</v>
      </c>
      <c r="P272">
        <v>0</v>
      </c>
      <c r="Q272">
        <v>139</v>
      </c>
      <c r="R272">
        <v>139</v>
      </c>
    </row>
    <row r="273" spans="1:18" x14ac:dyDescent="0.25">
      <c r="A273">
        <v>272</v>
      </c>
      <c r="B273" s="2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 t="str">
        <f>CHOOSE(H273+1,"Monday","Tuesday","Wednesday","Thursday","Friday","Saturday","Sunday")</f>
        <v>Thursday</v>
      </c>
      <c r="J273">
        <v>1</v>
      </c>
      <c r="K273">
        <v>0.2</v>
      </c>
      <c r="L273">
        <v>0.1515</v>
      </c>
      <c r="M273">
        <v>0.47</v>
      </c>
      <c r="N273" s="1" t="str">
        <f>IF(Table2[[#This Row],[hum]]&lt;=0.8,"Humid",IF(Table2[[#This Row],[hum]]&gt;=0.8,"High Humid"))</f>
        <v>Humid</v>
      </c>
      <c r="O273">
        <v>0.52239999999999998</v>
      </c>
      <c r="P273">
        <v>2</v>
      </c>
      <c r="Q273">
        <v>135</v>
      </c>
      <c r="R273">
        <v>137</v>
      </c>
    </row>
    <row r="274" spans="1:18" x14ac:dyDescent="0.25">
      <c r="A274">
        <v>273</v>
      </c>
      <c r="B274" s="2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 t="str">
        <f>CHOOSE(H274+1,"Monday","Tuesday","Wednesday","Thursday","Friday","Saturday","Sunday")</f>
        <v>Thursday</v>
      </c>
      <c r="J274">
        <v>1</v>
      </c>
      <c r="K274">
        <v>0.18</v>
      </c>
      <c r="L274">
        <v>0.1515</v>
      </c>
      <c r="M274">
        <v>0.47</v>
      </c>
      <c r="N274" s="1" t="str">
        <f>IF(Table2[[#This Row],[hum]]&lt;=0.8,"Humid",IF(Table2[[#This Row],[hum]]&gt;=0.8,"High Humid"))</f>
        <v>Humid</v>
      </c>
      <c r="O274">
        <v>0.41789999999999999</v>
      </c>
      <c r="P274">
        <v>1</v>
      </c>
      <c r="Q274">
        <v>82</v>
      </c>
      <c r="R274">
        <v>83</v>
      </c>
    </row>
    <row r="275" spans="1:18" x14ac:dyDescent="0.25">
      <c r="A275">
        <v>274</v>
      </c>
      <c r="B275" s="2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 t="str">
        <f>CHOOSE(H275+1,"Monday","Tuesday","Wednesday","Thursday","Friday","Saturday","Sunday")</f>
        <v>Thursday</v>
      </c>
      <c r="J275">
        <v>1</v>
      </c>
      <c r="K275">
        <v>0.16</v>
      </c>
      <c r="L275">
        <v>0.13639999999999999</v>
      </c>
      <c r="M275">
        <v>0.5</v>
      </c>
      <c r="N275" s="1" t="str">
        <f>IF(Table2[[#This Row],[hum]]&lt;=0.8,"Humid",IF(Table2[[#This Row],[hum]]&gt;=0.8,"High Humid"))</f>
        <v>Humid</v>
      </c>
      <c r="O275">
        <v>0.32840000000000003</v>
      </c>
      <c r="P275">
        <v>2</v>
      </c>
      <c r="Q275">
        <v>54</v>
      </c>
      <c r="R275">
        <v>56</v>
      </c>
    </row>
    <row r="276" spans="1:18" x14ac:dyDescent="0.25">
      <c r="A276">
        <v>275</v>
      </c>
      <c r="B276" s="2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 t="str">
        <f>CHOOSE(H276+1,"Monday","Tuesday","Wednesday","Thursday","Friday","Saturday","Sunday")</f>
        <v>Thursday</v>
      </c>
      <c r="J276">
        <v>1</v>
      </c>
      <c r="K276">
        <v>0.16</v>
      </c>
      <c r="L276">
        <v>0.13639999999999999</v>
      </c>
      <c r="M276">
        <v>0.55000000000000004</v>
      </c>
      <c r="N276" s="1" t="str">
        <f>IF(Table2[[#This Row],[hum]]&lt;=0.8,"Humid",IF(Table2[[#This Row],[hum]]&gt;=0.8,"High Humid"))</f>
        <v>Humid</v>
      </c>
      <c r="O276">
        <v>0.32840000000000003</v>
      </c>
      <c r="P276">
        <v>0</v>
      </c>
      <c r="Q276">
        <v>57</v>
      </c>
      <c r="R276">
        <v>57</v>
      </c>
    </row>
    <row r="277" spans="1:18" x14ac:dyDescent="0.25">
      <c r="A277">
        <v>276</v>
      </c>
      <c r="B277" s="2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 t="str">
        <f>CHOOSE(H277+1,"Monday","Tuesday","Wednesday","Thursday","Friday","Saturday","Sunday")</f>
        <v>Thursday</v>
      </c>
      <c r="J277">
        <v>1</v>
      </c>
      <c r="K277">
        <v>0.16</v>
      </c>
      <c r="L277">
        <v>0.1212</v>
      </c>
      <c r="M277">
        <v>0.55000000000000004</v>
      </c>
      <c r="N277" s="1" t="str">
        <f>IF(Table2[[#This Row],[hum]]&lt;=0.8,"Humid",IF(Table2[[#This Row],[hum]]&gt;=0.8,"High Humid"))</f>
        <v>Humid</v>
      </c>
      <c r="O277">
        <v>0.44779999999999998</v>
      </c>
      <c r="P277">
        <v>1</v>
      </c>
      <c r="Q277">
        <v>32</v>
      </c>
      <c r="R277">
        <v>33</v>
      </c>
    </row>
    <row r="278" spans="1:18" x14ac:dyDescent="0.25">
      <c r="A278">
        <v>277</v>
      </c>
      <c r="B278" s="2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 t="str">
        <f>CHOOSE(H278+1,"Monday","Tuesday","Wednesday","Thursday","Friday","Saturday","Sunday")</f>
        <v>Thursday</v>
      </c>
      <c r="J278">
        <v>1</v>
      </c>
      <c r="K278">
        <v>0.14000000000000001</v>
      </c>
      <c r="L278">
        <v>0.1061</v>
      </c>
      <c r="M278">
        <v>0.59</v>
      </c>
      <c r="N278" s="1" t="str">
        <f>IF(Table2[[#This Row],[hum]]&lt;=0.8,"Humid",IF(Table2[[#This Row],[hum]]&gt;=0.8,"High Humid"))</f>
        <v>Humid</v>
      </c>
      <c r="O278">
        <v>0.41789999999999999</v>
      </c>
      <c r="P278">
        <v>1</v>
      </c>
      <c r="Q278">
        <v>19</v>
      </c>
      <c r="R278">
        <v>20</v>
      </c>
    </row>
    <row r="279" spans="1:18" x14ac:dyDescent="0.25">
      <c r="A279">
        <v>278</v>
      </c>
      <c r="B279" s="2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 t="str">
        <f>CHOOSE(H279+1,"Monday","Tuesday","Wednesday","Thursday","Friday","Saturday","Sunday")</f>
        <v>Friday</v>
      </c>
      <c r="J279">
        <v>1</v>
      </c>
      <c r="K279">
        <v>0.14000000000000001</v>
      </c>
      <c r="L279">
        <v>0.1212</v>
      </c>
      <c r="M279">
        <v>0.59</v>
      </c>
      <c r="N279" s="1" t="str">
        <f>IF(Table2[[#This Row],[hum]]&lt;=0.8,"Humid",IF(Table2[[#This Row],[hum]]&gt;=0.8,"High Humid"))</f>
        <v>Humid</v>
      </c>
      <c r="O279">
        <v>0.28360000000000002</v>
      </c>
      <c r="P279">
        <v>1</v>
      </c>
      <c r="Q279">
        <v>6</v>
      </c>
      <c r="R279">
        <v>7</v>
      </c>
    </row>
    <row r="280" spans="1:18" x14ac:dyDescent="0.25">
      <c r="A280">
        <v>279</v>
      </c>
      <c r="B280" s="2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 t="str">
        <f>CHOOSE(H280+1,"Monday","Tuesday","Wednesday","Thursday","Friday","Saturday","Sunday")</f>
        <v>Friday</v>
      </c>
      <c r="J280">
        <v>1</v>
      </c>
      <c r="K280">
        <v>0.14000000000000001</v>
      </c>
      <c r="L280">
        <v>0.1212</v>
      </c>
      <c r="M280">
        <v>0.5</v>
      </c>
      <c r="N280" s="1" t="str">
        <f>IF(Table2[[#This Row],[hum]]&lt;=0.8,"Humid",IF(Table2[[#This Row],[hum]]&gt;=0.8,"High Humid"))</f>
        <v>Humid</v>
      </c>
      <c r="O280">
        <v>0.28360000000000002</v>
      </c>
      <c r="P280">
        <v>0</v>
      </c>
      <c r="Q280">
        <v>2</v>
      </c>
      <c r="R280">
        <v>2</v>
      </c>
    </row>
    <row r="281" spans="1:18" x14ac:dyDescent="0.25">
      <c r="A281">
        <v>280</v>
      </c>
      <c r="B281" s="2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 t="str">
        <f>CHOOSE(H281+1,"Monday","Tuesday","Wednesday","Thursday","Friday","Saturday","Sunday")</f>
        <v>Friday</v>
      </c>
      <c r="J281">
        <v>1</v>
      </c>
      <c r="K281">
        <v>0.14000000000000001</v>
      </c>
      <c r="L281">
        <v>0.1212</v>
      </c>
      <c r="M281">
        <v>0.5</v>
      </c>
      <c r="N281" s="1" t="str">
        <f>IF(Table2[[#This Row],[hum]]&lt;=0.8,"Humid",IF(Table2[[#This Row],[hum]]&gt;=0.8,"High Humid"))</f>
        <v>Humid</v>
      </c>
      <c r="O281">
        <v>0.35820000000000002</v>
      </c>
      <c r="P281">
        <v>0</v>
      </c>
      <c r="Q281">
        <v>2</v>
      </c>
      <c r="R281">
        <v>2</v>
      </c>
    </row>
    <row r="282" spans="1:18" x14ac:dyDescent="0.25">
      <c r="A282">
        <v>281</v>
      </c>
      <c r="B282" s="2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 t="str">
        <f>CHOOSE(H282+1,"Monday","Tuesday","Wednesday","Thursday","Friday","Saturday","Sunday")</f>
        <v>Friday</v>
      </c>
      <c r="J282">
        <v>1</v>
      </c>
      <c r="K282">
        <v>0.14000000000000001</v>
      </c>
      <c r="L282">
        <v>0.1212</v>
      </c>
      <c r="M282">
        <v>0.5</v>
      </c>
      <c r="N282" s="1" t="str">
        <f>IF(Table2[[#This Row],[hum]]&lt;=0.8,"Humid",IF(Table2[[#This Row],[hum]]&gt;=0.8,"High Humid"))</f>
        <v>Humid</v>
      </c>
      <c r="O282">
        <v>0.32840000000000003</v>
      </c>
      <c r="P282">
        <v>0</v>
      </c>
      <c r="Q282">
        <v>3</v>
      </c>
      <c r="R282">
        <v>3</v>
      </c>
    </row>
    <row r="283" spans="1:18" x14ac:dyDescent="0.25">
      <c r="A283">
        <v>282</v>
      </c>
      <c r="B283" s="2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 t="str">
        <f>CHOOSE(H283+1,"Monday","Tuesday","Wednesday","Thursday","Friday","Saturday","Sunday")</f>
        <v>Friday</v>
      </c>
      <c r="J283">
        <v>1</v>
      </c>
      <c r="K283">
        <v>0.14000000000000001</v>
      </c>
      <c r="L283">
        <v>0.1212</v>
      </c>
      <c r="M283">
        <v>0.5</v>
      </c>
      <c r="N283" s="1" t="str">
        <f>IF(Table2[[#This Row],[hum]]&lt;=0.8,"Humid",IF(Table2[[#This Row],[hum]]&gt;=0.8,"High Humid"))</f>
        <v>Humid</v>
      </c>
      <c r="O283">
        <v>0.25369999999999998</v>
      </c>
      <c r="P283">
        <v>0</v>
      </c>
      <c r="Q283">
        <v>4</v>
      </c>
      <c r="R283">
        <v>4</v>
      </c>
    </row>
    <row r="284" spans="1:18" x14ac:dyDescent="0.25">
      <c r="A284">
        <v>283</v>
      </c>
      <c r="B284" s="2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 t="str">
        <f>CHOOSE(H284+1,"Monday","Tuesday","Wednesday","Thursday","Friday","Saturday","Sunday")</f>
        <v>Friday</v>
      </c>
      <c r="J284">
        <v>1</v>
      </c>
      <c r="K284">
        <v>0.14000000000000001</v>
      </c>
      <c r="L284">
        <v>0.1212</v>
      </c>
      <c r="M284">
        <v>0.5</v>
      </c>
      <c r="N284" s="1" t="str">
        <f>IF(Table2[[#This Row],[hum]]&lt;=0.8,"Humid",IF(Table2[[#This Row],[hum]]&gt;=0.8,"High Humid"))</f>
        <v>Humid</v>
      </c>
      <c r="O284">
        <v>0.29849999999999999</v>
      </c>
      <c r="P284">
        <v>0</v>
      </c>
      <c r="Q284">
        <v>3</v>
      </c>
      <c r="R284">
        <v>3</v>
      </c>
    </row>
    <row r="285" spans="1:18" x14ac:dyDescent="0.25">
      <c r="A285">
        <v>284</v>
      </c>
      <c r="B285" s="2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 t="str">
        <f>CHOOSE(H285+1,"Monday","Tuesday","Wednesday","Thursday","Friday","Saturday","Sunday")</f>
        <v>Friday</v>
      </c>
      <c r="J285">
        <v>1</v>
      </c>
      <c r="K285">
        <v>0.12</v>
      </c>
      <c r="L285">
        <v>0.1515</v>
      </c>
      <c r="M285">
        <v>0.54</v>
      </c>
      <c r="N285" s="1" t="str">
        <f>IF(Table2[[#This Row],[hum]]&lt;=0.8,"Humid",IF(Table2[[#This Row],[hum]]&gt;=0.8,"High Humid"))</f>
        <v>Humid</v>
      </c>
      <c r="O285">
        <v>0.1343</v>
      </c>
      <c r="P285">
        <v>0</v>
      </c>
      <c r="Q285">
        <v>28</v>
      </c>
      <c r="R285">
        <v>28</v>
      </c>
    </row>
    <row r="286" spans="1:18" x14ac:dyDescent="0.25">
      <c r="A286">
        <v>285</v>
      </c>
      <c r="B286" s="2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 t="str">
        <f>CHOOSE(H286+1,"Monday","Tuesday","Wednesday","Thursday","Friday","Saturday","Sunday")</f>
        <v>Friday</v>
      </c>
      <c r="J286">
        <v>1</v>
      </c>
      <c r="K286">
        <v>0.12</v>
      </c>
      <c r="L286">
        <v>0.1515</v>
      </c>
      <c r="M286">
        <v>0.54</v>
      </c>
      <c r="N286" s="1" t="str">
        <f>IF(Table2[[#This Row],[hum]]&lt;=0.8,"Humid",IF(Table2[[#This Row],[hum]]&gt;=0.8,"High Humid"))</f>
        <v>Humid</v>
      </c>
      <c r="O286">
        <v>0.1343</v>
      </c>
      <c r="P286">
        <v>0</v>
      </c>
      <c r="Q286">
        <v>72</v>
      </c>
      <c r="R286">
        <v>72</v>
      </c>
    </row>
    <row r="287" spans="1:18" x14ac:dyDescent="0.25">
      <c r="A287">
        <v>286</v>
      </c>
      <c r="B287" s="2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 t="str">
        <f>CHOOSE(H287+1,"Monday","Tuesday","Wednesday","Thursday","Friday","Saturday","Sunday")</f>
        <v>Friday</v>
      </c>
      <c r="J287">
        <v>1</v>
      </c>
      <c r="K287">
        <v>0.14000000000000001</v>
      </c>
      <c r="L287">
        <v>0.13639999999999999</v>
      </c>
      <c r="M287">
        <v>0.5</v>
      </c>
      <c r="N287" s="1" t="str">
        <f>IF(Table2[[#This Row],[hum]]&lt;=0.8,"Humid",IF(Table2[[#This Row],[hum]]&gt;=0.8,"High Humid"))</f>
        <v>Humid</v>
      </c>
      <c r="O287">
        <v>0.19400000000000001</v>
      </c>
      <c r="P287">
        <v>5</v>
      </c>
      <c r="Q287">
        <v>197</v>
      </c>
      <c r="R287">
        <v>202</v>
      </c>
    </row>
    <row r="288" spans="1:18" x14ac:dyDescent="0.25">
      <c r="A288">
        <v>287</v>
      </c>
      <c r="B288" s="2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 t="str">
        <f>CHOOSE(H288+1,"Monday","Tuesday","Wednesday","Thursday","Friday","Saturday","Sunday")</f>
        <v>Friday</v>
      </c>
      <c r="J288">
        <v>1</v>
      </c>
      <c r="K288">
        <v>0.14000000000000001</v>
      </c>
      <c r="L288">
        <v>0.1212</v>
      </c>
      <c r="M288">
        <v>0.5</v>
      </c>
      <c r="N288" s="1" t="str">
        <f>IF(Table2[[#This Row],[hum]]&lt;=0.8,"Humid",IF(Table2[[#This Row],[hum]]&gt;=0.8,"High Humid"))</f>
        <v>Humid</v>
      </c>
      <c r="O288">
        <v>0.32840000000000003</v>
      </c>
      <c r="P288">
        <v>2</v>
      </c>
      <c r="Q288">
        <v>137</v>
      </c>
      <c r="R288">
        <v>139</v>
      </c>
    </row>
    <row r="289" spans="1:18" x14ac:dyDescent="0.25">
      <c r="A289">
        <v>288</v>
      </c>
      <c r="B289" s="2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 t="str">
        <f>CHOOSE(H289+1,"Monday","Tuesday","Wednesday","Thursday","Friday","Saturday","Sunday")</f>
        <v>Friday</v>
      </c>
      <c r="J289">
        <v>2</v>
      </c>
      <c r="K289">
        <v>0.16</v>
      </c>
      <c r="L289">
        <v>0.13639999999999999</v>
      </c>
      <c r="M289">
        <v>0.5</v>
      </c>
      <c r="N289" s="1" t="str">
        <f>IF(Table2[[#This Row],[hum]]&lt;=0.8,"Humid",IF(Table2[[#This Row],[hum]]&gt;=0.8,"High Humid"))</f>
        <v>Humid</v>
      </c>
      <c r="O289">
        <v>0.35820000000000002</v>
      </c>
      <c r="P289">
        <v>2</v>
      </c>
      <c r="Q289">
        <v>36</v>
      </c>
      <c r="R289">
        <v>38</v>
      </c>
    </row>
    <row r="290" spans="1:18" x14ac:dyDescent="0.25">
      <c r="A290">
        <v>289</v>
      </c>
      <c r="B290" s="2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 t="str">
        <f>CHOOSE(H290+1,"Monday","Tuesday","Wednesday","Thursday","Friday","Saturday","Sunday")</f>
        <v>Friday</v>
      </c>
      <c r="J290">
        <v>2</v>
      </c>
      <c r="K290">
        <v>0.2</v>
      </c>
      <c r="L290">
        <v>0.16669999999999999</v>
      </c>
      <c r="M290">
        <v>0.44</v>
      </c>
      <c r="N290" s="1" t="str">
        <f>IF(Table2[[#This Row],[hum]]&lt;=0.8,"Humid",IF(Table2[[#This Row],[hum]]&gt;=0.8,"High Humid"))</f>
        <v>Humid</v>
      </c>
      <c r="O290">
        <v>0.44779999999999998</v>
      </c>
      <c r="P290">
        <v>4</v>
      </c>
      <c r="Q290">
        <v>33</v>
      </c>
      <c r="R290">
        <v>37</v>
      </c>
    </row>
    <row r="291" spans="1:18" x14ac:dyDescent="0.25">
      <c r="A291">
        <v>290</v>
      </c>
      <c r="B291" s="2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 t="str">
        <f>CHOOSE(H291+1,"Monday","Tuesday","Wednesday","Thursday","Friday","Saturday","Sunday")</f>
        <v>Friday</v>
      </c>
      <c r="J291">
        <v>1</v>
      </c>
      <c r="K291">
        <v>0.2</v>
      </c>
      <c r="L291">
        <v>0.16669999999999999</v>
      </c>
      <c r="M291">
        <v>0.44</v>
      </c>
      <c r="N291" s="1" t="str">
        <f>IF(Table2[[#This Row],[hum]]&lt;=0.8,"Humid",IF(Table2[[#This Row],[hum]]&gt;=0.8,"High Humid"))</f>
        <v>Humid</v>
      </c>
      <c r="O291">
        <v>0.41789999999999999</v>
      </c>
      <c r="P291">
        <v>3</v>
      </c>
      <c r="Q291">
        <v>49</v>
      </c>
      <c r="R291">
        <v>52</v>
      </c>
    </row>
    <row r="292" spans="1:18" x14ac:dyDescent="0.25">
      <c r="A292">
        <v>291</v>
      </c>
      <c r="B292" s="2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 t="str">
        <f>CHOOSE(H292+1,"Monday","Tuesday","Wednesday","Thursday","Friday","Saturday","Sunday")</f>
        <v>Friday</v>
      </c>
      <c r="J292">
        <v>1</v>
      </c>
      <c r="K292">
        <v>0.22</v>
      </c>
      <c r="L292">
        <v>0.19700000000000001</v>
      </c>
      <c r="M292">
        <v>0.41</v>
      </c>
      <c r="N292" s="1" t="str">
        <f>IF(Table2[[#This Row],[hum]]&lt;=0.8,"Humid",IF(Table2[[#This Row],[hum]]&gt;=0.8,"High Humid"))</f>
        <v>Humid</v>
      </c>
      <c r="O292">
        <v>0.44779999999999998</v>
      </c>
      <c r="P292">
        <v>2</v>
      </c>
      <c r="Q292">
        <v>81</v>
      </c>
      <c r="R292">
        <v>83</v>
      </c>
    </row>
    <row r="293" spans="1:18" x14ac:dyDescent="0.25">
      <c r="A293">
        <v>292</v>
      </c>
      <c r="B293" s="2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 t="str">
        <f>CHOOSE(H293+1,"Monday","Tuesday","Wednesday","Thursday","Friday","Saturday","Sunday")</f>
        <v>Friday</v>
      </c>
      <c r="J293">
        <v>1</v>
      </c>
      <c r="K293">
        <v>0.22</v>
      </c>
      <c r="L293">
        <v>0.19700000000000001</v>
      </c>
      <c r="M293">
        <v>0.41</v>
      </c>
      <c r="N293" s="1" t="str">
        <f>IF(Table2[[#This Row],[hum]]&lt;=0.8,"Humid",IF(Table2[[#This Row],[hum]]&gt;=0.8,"High Humid"))</f>
        <v>Humid</v>
      </c>
      <c r="O293">
        <v>0.3881</v>
      </c>
      <c r="P293">
        <v>3</v>
      </c>
      <c r="Q293">
        <v>39</v>
      </c>
      <c r="R293">
        <v>42</v>
      </c>
    </row>
    <row r="294" spans="1:18" x14ac:dyDescent="0.25">
      <c r="A294">
        <v>293</v>
      </c>
      <c r="B294" s="2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 t="str">
        <f>CHOOSE(H294+1,"Monday","Tuesday","Wednesday","Thursday","Friday","Saturday","Sunday")</f>
        <v>Friday</v>
      </c>
      <c r="J294">
        <v>1</v>
      </c>
      <c r="K294">
        <v>0.24</v>
      </c>
      <c r="L294">
        <v>0.21210000000000001</v>
      </c>
      <c r="M294">
        <v>0.38</v>
      </c>
      <c r="N294" s="1" t="str">
        <f>IF(Table2[[#This Row],[hum]]&lt;=0.8,"Humid",IF(Table2[[#This Row],[hum]]&gt;=0.8,"High Humid"))</f>
        <v>Humid</v>
      </c>
      <c r="O294">
        <v>0.29849999999999999</v>
      </c>
      <c r="P294">
        <v>5</v>
      </c>
      <c r="Q294">
        <v>55</v>
      </c>
      <c r="R294">
        <v>60</v>
      </c>
    </row>
    <row r="295" spans="1:18" x14ac:dyDescent="0.25">
      <c r="A295">
        <v>294</v>
      </c>
      <c r="B295" s="2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 t="str">
        <f>CHOOSE(H295+1,"Monday","Tuesday","Wednesday","Thursday","Friday","Saturday","Sunday")</f>
        <v>Friday</v>
      </c>
      <c r="J295">
        <v>1</v>
      </c>
      <c r="K295">
        <v>0.24</v>
      </c>
      <c r="L295">
        <v>0.21210000000000001</v>
      </c>
      <c r="M295">
        <v>0.38</v>
      </c>
      <c r="N295" s="1" t="str">
        <f>IF(Table2[[#This Row],[hum]]&lt;=0.8,"Humid",IF(Table2[[#This Row],[hum]]&gt;=0.8,"High Humid"))</f>
        <v>Humid</v>
      </c>
      <c r="O295">
        <v>0.35820000000000002</v>
      </c>
      <c r="P295">
        <v>2</v>
      </c>
      <c r="Q295">
        <v>76</v>
      </c>
      <c r="R295">
        <v>78</v>
      </c>
    </row>
    <row r="296" spans="1:18" x14ac:dyDescent="0.25">
      <c r="A296">
        <v>295</v>
      </c>
      <c r="B296" s="2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 t="str">
        <f>CHOOSE(H296+1,"Monday","Tuesday","Wednesday","Thursday","Friday","Saturday","Sunday")</f>
        <v>Friday</v>
      </c>
      <c r="J296">
        <v>1</v>
      </c>
      <c r="K296">
        <v>0.2</v>
      </c>
      <c r="L296">
        <v>0.18179999999999999</v>
      </c>
      <c r="M296">
        <v>0.4</v>
      </c>
      <c r="N296" s="1" t="str">
        <f>IF(Table2[[#This Row],[hum]]&lt;=0.8,"Humid",IF(Table2[[#This Row],[hum]]&gt;=0.8,"High Humid"))</f>
        <v>Humid</v>
      </c>
      <c r="O296">
        <v>0.28360000000000002</v>
      </c>
      <c r="P296">
        <v>4</v>
      </c>
      <c r="Q296">
        <v>158</v>
      </c>
      <c r="R296">
        <v>162</v>
      </c>
    </row>
    <row r="297" spans="1:18" x14ac:dyDescent="0.25">
      <c r="A297">
        <v>296</v>
      </c>
      <c r="B297" s="2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 t="str">
        <f>CHOOSE(H297+1,"Monday","Tuesday","Wednesday","Thursday","Friday","Saturday","Sunday")</f>
        <v>Friday</v>
      </c>
      <c r="J297">
        <v>1</v>
      </c>
      <c r="K297">
        <v>0.2</v>
      </c>
      <c r="L297">
        <v>0.18179999999999999</v>
      </c>
      <c r="M297">
        <v>0.4</v>
      </c>
      <c r="N297" s="1" t="str">
        <f>IF(Table2[[#This Row],[hum]]&lt;=0.8,"Humid",IF(Table2[[#This Row],[hum]]&gt;=0.8,"High Humid"))</f>
        <v>Humid</v>
      </c>
      <c r="O297">
        <v>0.32840000000000003</v>
      </c>
      <c r="P297">
        <v>3</v>
      </c>
      <c r="Q297">
        <v>141</v>
      </c>
      <c r="R297">
        <v>144</v>
      </c>
    </row>
    <row r="298" spans="1:18" x14ac:dyDescent="0.25">
      <c r="A298">
        <v>297</v>
      </c>
      <c r="B298" s="2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 t="str">
        <f>CHOOSE(H298+1,"Monday","Tuesday","Wednesday","Thursday","Friday","Saturday","Sunday")</f>
        <v>Friday</v>
      </c>
      <c r="J298">
        <v>1</v>
      </c>
      <c r="K298">
        <v>0.16</v>
      </c>
      <c r="L298">
        <v>0.1515</v>
      </c>
      <c r="M298">
        <v>0.47</v>
      </c>
      <c r="N298" s="1" t="str">
        <f>IF(Table2[[#This Row],[hum]]&lt;=0.8,"Humid",IF(Table2[[#This Row],[hum]]&gt;=0.8,"High Humid"))</f>
        <v>Humid</v>
      </c>
      <c r="O298">
        <v>0.25369999999999998</v>
      </c>
      <c r="P298">
        <v>1</v>
      </c>
      <c r="Q298">
        <v>98</v>
      </c>
      <c r="R298">
        <v>99</v>
      </c>
    </row>
    <row r="299" spans="1:18" x14ac:dyDescent="0.25">
      <c r="A299">
        <v>298</v>
      </c>
      <c r="B299" s="2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 t="str">
        <f>CHOOSE(H299+1,"Monday","Tuesday","Wednesday","Thursday","Friday","Saturday","Sunday")</f>
        <v>Friday</v>
      </c>
      <c r="J299">
        <v>1</v>
      </c>
      <c r="K299">
        <v>0.16</v>
      </c>
      <c r="L299">
        <v>0.1515</v>
      </c>
      <c r="M299">
        <v>0.47</v>
      </c>
      <c r="N299" s="1" t="str">
        <f>IF(Table2[[#This Row],[hum]]&lt;=0.8,"Humid",IF(Table2[[#This Row],[hum]]&gt;=0.8,"High Humid"))</f>
        <v>Humid</v>
      </c>
      <c r="O299">
        <v>0.22389999999999999</v>
      </c>
      <c r="P299">
        <v>0</v>
      </c>
      <c r="Q299">
        <v>64</v>
      </c>
      <c r="R299">
        <v>64</v>
      </c>
    </row>
    <row r="300" spans="1:18" x14ac:dyDescent="0.25">
      <c r="A300">
        <v>299</v>
      </c>
      <c r="B300" s="2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 t="str">
        <f>CHOOSE(H300+1,"Monday","Tuesday","Wednesday","Thursday","Friday","Saturday","Sunday")</f>
        <v>Friday</v>
      </c>
      <c r="J300">
        <v>1</v>
      </c>
      <c r="K300">
        <v>0.14000000000000001</v>
      </c>
      <c r="L300">
        <v>0.1212</v>
      </c>
      <c r="M300">
        <v>0.46</v>
      </c>
      <c r="N300" s="1" t="str">
        <f>IF(Table2[[#This Row],[hum]]&lt;=0.8,"Humid",IF(Table2[[#This Row],[hum]]&gt;=0.8,"High Humid"))</f>
        <v>Humid</v>
      </c>
      <c r="O300">
        <v>0.29849999999999999</v>
      </c>
      <c r="P300">
        <v>0</v>
      </c>
      <c r="Q300">
        <v>40</v>
      </c>
      <c r="R300">
        <v>40</v>
      </c>
    </row>
    <row r="301" spans="1:18" x14ac:dyDescent="0.25">
      <c r="A301">
        <v>300</v>
      </c>
      <c r="B301" s="2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 t="str">
        <f>CHOOSE(H301+1,"Monday","Tuesday","Wednesday","Thursday","Friday","Saturday","Sunday")</f>
        <v>Friday</v>
      </c>
      <c r="J301">
        <v>1</v>
      </c>
      <c r="K301">
        <v>0.14000000000000001</v>
      </c>
      <c r="L301">
        <v>0.1212</v>
      </c>
      <c r="M301">
        <v>0.46</v>
      </c>
      <c r="N301" s="1" t="str">
        <f>IF(Table2[[#This Row],[hum]]&lt;=0.8,"Humid",IF(Table2[[#This Row],[hum]]&gt;=0.8,"High Humid"))</f>
        <v>Humid</v>
      </c>
      <c r="O301">
        <v>0.32840000000000003</v>
      </c>
      <c r="P301">
        <v>0</v>
      </c>
      <c r="Q301">
        <v>30</v>
      </c>
      <c r="R301">
        <v>30</v>
      </c>
    </row>
    <row r="302" spans="1:18" x14ac:dyDescent="0.25">
      <c r="A302">
        <v>301</v>
      </c>
      <c r="B302" s="2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 t="str">
        <f>CHOOSE(H302+1,"Monday","Tuesday","Wednesday","Thursday","Friday","Saturday","Sunday")</f>
        <v>Friday</v>
      </c>
      <c r="J302">
        <v>1</v>
      </c>
      <c r="K302">
        <v>0.12</v>
      </c>
      <c r="L302">
        <v>0.13639999999999999</v>
      </c>
      <c r="M302">
        <v>0.5</v>
      </c>
      <c r="N302" s="1" t="str">
        <f>IF(Table2[[#This Row],[hum]]&lt;=0.8,"Humid",IF(Table2[[#This Row],[hum]]&gt;=0.8,"High Humid"))</f>
        <v>Humid</v>
      </c>
      <c r="O302">
        <v>0.19400000000000001</v>
      </c>
      <c r="P302">
        <v>1</v>
      </c>
      <c r="Q302">
        <v>14</v>
      </c>
      <c r="R302">
        <v>15</v>
      </c>
    </row>
    <row r="303" spans="1:18" x14ac:dyDescent="0.25">
      <c r="A303">
        <v>302</v>
      </c>
      <c r="B303" s="2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 t="str">
        <f>CHOOSE(H303+1,"Monday","Tuesday","Wednesday","Thursday","Friday","Saturday","Sunday")</f>
        <v>Saturday</v>
      </c>
      <c r="J303">
        <v>1</v>
      </c>
      <c r="K303">
        <v>0.12</v>
      </c>
      <c r="L303">
        <v>0.13639999999999999</v>
      </c>
      <c r="M303">
        <v>0.5</v>
      </c>
      <c r="N303" s="1" t="str">
        <f>IF(Table2[[#This Row],[hum]]&lt;=0.8,"Humid",IF(Table2[[#This Row],[hum]]&gt;=0.8,"High Humid"))</f>
        <v>Humid</v>
      </c>
      <c r="O303">
        <v>0.19400000000000001</v>
      </c>
      <c r="P303">
        <v>0</v>
      </c>
      <c r="Q303">
        <v>14</v>
      </c>
      <c r="R303">
        <v>14</v>
      </c>
    </row>
    <row r="304" spans="1:18" x14ac:dyDescent="0.25">
      <c r="A304">
        <v>303</v>
      </c>
      <c r="B304" s="2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 t="str">
        <f>CHOOSE(H304+1,"Monday","Tuesday","Wednesday","Thursday","Friday","Saturday","Sunday")</f>
        <v>Saturday</v>
      </c>
      <c r="J304">
        <v>1</v>
      </c>
      <c r="K304">
        <v>0.1</v>
      </c>
      <c r="L304">
        <v>0.1212</v>
      </c>
      <c r="M304">
        <v>0.54</v>
      </c>
      <c r="N304" s="1" t="str">
        <f>IF(Table2[[#This Row],[hum]]&lt;=0.8,"Humid",IF(Table2[[#This Row],[hum]]&gt;=0.8,"High Humid"))</f>
        <v>Humid</v>
      </c>
      <c r="O304">
        <v>0.16420000000000001</v>
      </c>
      <c r="P304">
        <v>0</v>
      </c>
      <c r="Q304">
        <v>5</v>
      </c>
      <c r="R304">
        <v>5</v>
      </c>
    </row>
    <row r="305" spans="1:18" x14ac:dyDescent="0.25">
      <c r="A305">
        <v>304</v>
      </c>
      <c r="B305" s="2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 t="str">
        <f>CHOOSE(H305+1,"Monday","Tuesday","Wednesday","Thursday","Friday","Saturday","Sunday")</f>
        <v>Saturday</v>
      </c>
      <c r="J305">
        <v>1</v>
      </c>
      <c r="K305">
        <v>0.1</v>
      </c>
      <c r="L305">
        <v>0.1212</v>
      </c>
      <c r="M305">
        <v>0.54</v>
      </c>
      <c r="N305" s="1" t="str">
        <f>IF(Table2[[#This Row],[hum]]&lt;=0.8,"Humid",IF(Table2[[#This Row],[hum]]&gt;=0.8,"High Humid"))</f>
        <v>Humid</v>
      </c>
      <c r="O305">
        <v>0.1343</v>
      </c>
      <c r="P305">
        <v>0</v>
      </c>
      <c r="Q305">
        <v>1</v>
      </c>
      <c r="R305">
        <v>1</v>
      </c>
    </row>
    <row r="306" spans="1:18" x14ac:dyDescent="0.25">
      <c r="A306">
        <v>305</v>
      </c>
      <c r="B306" s="2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 t="str">
        <f>CHOOSE(H306+1,"Monday","Tuesday","Wednesday","Thursday","Friday","Saturday","Sunday")</f>
        <v>Saturday</v>
      </c>
      <c r="J306">
        <v>1</v>
      </c>
      <c r="K306">
        <v>0.1</v>
      </c>
      <c r="L306">
        <v>0.13639999999999999</v>
      </c>
      <c r="M306">
        <v>0.54</v>
      </c>
      <c r="N306" s="1" t="str">
        <f>IF(Table2[[#This Row],[hum]]&lt;=0.8,"Humid",IF(Table2[[#This Row],[hum]]&gt;=0.8,"High Humid"))</f>
        <v>Humid</v>
      </c>
      <c r="O306">
        <v>0.1045</v>
      </c>
      <c r="P306">
        <v>0</v>
      </c>
      <c r="Q306">
        <v>1</v>
      </c>
      <c r="R306">
        <v>1</v>
      </c>
    </row>
    <row r="307" spans="1:18" x14ac:dyDescent="0.25">
      <c r="A307">
        <v>306</v>
      </c>
      <c r="B307" s="2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 t="str">
        <f>CHOOSE(H307+1,"Monday","Tuesday","Wednesday","Thursday","Friday","Saturday","Sunday")</f>
        <v>Saturday</v>
      </c>
      <c r="J307">
        <v>1</v>
      </c>
      <c r="K307">
        <v>0.1</v>
      </c>
      <c r="L307">
        <v>0.13639999999999999</v>
      </c>
      <c r="M307">
        <v>0.54</v>
      </c>
      <c r="N307" s="1" t="str">
        <f>IF(Table2[[#This Row],[hum]]&lt;=0.8,"Humid",IF(Table2[[#This Row],[hum]]&gt;=0.8,"High Humid"))</f>
        <v>Humid</v>
      </c>
      <c r="O307">
        <v>8.9599999999999999E-2</v>
      </c>
      <c r="P307">
        <v>0</v>
      </c>
      <c r="Q307">
        <v>8</v>
      </c>
      <c r="R307">
        <v>8</v>
      </c>
    </row>
    <row r="308" spans="1:18" x14ac:dyDescent="0.25">
      <c r="A308">
        <v>307</v>
      </c>
      <c r="B308" s="2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 t="str">
        <f>CHOOSE(H308+1,"Monday","Tuesday","Wednesday","Thursday","Friday","Saturday","Sunday")</f>
        <v>Saturday</v>
      </c>
      <c r="J308">
        <v>1</v>
      </c>
      <c r="K308">
        <v>0.1</v>
      </c>
      <c r="L308">
        <v>0.18179999999999999</v>
      </c>
      <c r="M308">
        <v>0.54</v>
      </c>
      <c r="N308" s="1" t="str">
        <f>IF(Table2[[#This Row],[hum]]&lt;=0.8,"Humid",IF(Table2[[#This Row],[hum]]&gt;=0.8,"High Humid"))</f>
        <v>Humid</v>
      </c>
      <c r="O308">
        <v>0</v>
      </c>
      <c r="P308">
        <v>0</v>
      </c>
      <c r="Q308">
        <v>17</v>
      </c>
      <c r="R308">
        <v>17</v>
      </c>
    </row>
    <row r="309" spans="1:18" x14ac:dyDescent="0.25">
      <c r="A309">
        <v>308</v>
      </c>
      <c r="B309" s="2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 t="str">
        <f>CHOOSE(H309+1,"Monday","Tuesday","Wednesday","Thursday","Friday","Saturday","Sunday")</f>
        <v>Saturday</v>
      </c>
      <c r="J309">
        <v>1</v>
      </c>
      <c r="K309">
        <v>0.1</v>
      </c>
      <c r="L309">
        <v>0.1212</v>
      </c>
      <c r="M309">
        <v>0.74</v>
      </c>
      <c r="N309" s="1" t="str">
        <f>IF(Table2[[#This Row],[hum]]&lt;=0.8,"Humid",IF(Table2[[#This Row],[hum]]&gt;=0.8,"High Humid"))</f>
        <v>Humid</v>
      </c>
      <c r="O309">
        <v>0.16420000000000001</v>
      </c>
      <c r="P309">
        <v>0</v>
      </c>
      <c r="Q309">
        <v>70</v>
      </c>
      <c r="R309">
        <v>70</v>
      </c>
    </row>
    <row r="310" spans="1:18" x14ac:dyDescent="0.25">
      <c r="A310">
        <v>309</v>
      </c>
      <c r="B310" s="2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 t="str">
        <f>CHOOSE(H310+1,"Monday","Tuesday","Wednesday","Thursday","Friday","Saturday","Sunday")</f>
        <v>Saturday</v>
      </c>
      <c r="J310">
        <v>1</v>
      </c>
      <c r="K310">
        <v>0.12</v>
      </c>
      <c r="L310">
        <v>0.16669999999999999</v>
      </c>
      <c r="M310">
        <v>0.68</v>
      </c>
      <c r="N310" s="1" t="str">
        <f>IF(Table2[[#This Row],[hum]]&lt;=0.8,"Humid",IF(Table2[[#This Row],[hum]]&gt;=0.8,"High Humid"))</f>
        <v>Humid</v>
      </c>
      <c r="O310">
        <v>0</v>
      </c>
      <c r="P310">
        <v>2</v>
      </c>
      <c r="Q310">
        <v>156</v>
      </c>
      <c r="R310">
        <v>158</v>
      </c>
    </row>
    <row r="311" spans="1:18" x14ac:dyDescent="0.25">
      <c r="A311">
        <v>310</v>
      </c>
      <c r="B311" s="2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 t="str">
        <f>CHOOSE(H311+1,"Monday","Tuesday","Wednesday","Thursday","Friday","Saturday","Sunday")</f>
        <v>Saturday</v>
      </c>
      <c r="J311">
        <v>1</v>
      </c>
      <c r="K311">
        <v>0.14000000000000001</v>
      </c>
      <c r="L311">
        <v>0.1515</v>
      </c>
      <c r="M311">
        <v>0.69</v>
      </c>
      <c r="N311" s="1" t="str">
        <f>IF(Table2[[#This Row],[hum]]&lt;=0.8,"Humid",IF(Table2[[#This Row],[hum]]&gt;=0.8,"High Humid"))</f>
        <v>Humid</v>
      </c>
      <c r="O311">
        <v>0.1343</v>
      </c>
      <c r="P311">
        <v>0</v>
      </c>
      <c r="Q311">
        <v>117</v>
      </c>
      <c r="R311">
        <v>117</v>
      </c>
    </row>
    <row r="312" spans="1:18" x14ac:dyDescent="0.25">
      <c r="A312">
        <v>311</v>
      </c>
      <c r="B312" s="2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 t="str">
        <f>CHOOSE(H312+1,"Monday","Tuesday","Wednesday","Thursday","Friday","Saturday","Sunday")</f>
        <v>Saturday</v>
      </c>
      <c r="J312">
        <v>1</v>
      </c>
      <c r="K312">
        <v>0.18</v>
      </c>
      <c r="L312">
        <v>0.18179999999999999</v>
      </c>
      <c r="M312">
        <v>0.55000000000000004</v>
      </c>
      <c r="N312" s="1" t="str">
        <f>IF(Table2[[#This Row],[hum]]&lt;=0.8,"Humid",IF(Table2[[#This Row],[hum]]&gt;=0.8,"High Humid"))</f>
        <v>Humid</v>
      </c>
      <c r="O312">
        <v>0.19400000000000001</v>
      </c>
      <c r="P312">
        <v>4</v>
      </c>
      <c r="Q312">
        <v>40</v>
      </c>
      <c r="R312">
        <v>44</v>
      </c>
    </row>
    <row r="313" spans="1:18" x14ac:dyDescent="0.25">
      <c r="A313">
        <v>312</v>
      </c>
      <c r="B313" s="2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 t="str">
        <f>CHOOSE(H313+1,"Monday","Tuesday","Wednesday","Thursday","Friday","Saturday","Sunday")</f>
        <v>Saturday</v>
      </c>
      <c r="J313">
        <v>1</v>
      </c>
      <c r="K313">
        <v>0.18</v>
      </c>
      <c r="L313">
        <v>0.16669999999999999</v>
      </c>
      <c r="M313">
        <v>0.51</v>
      </c>
      <c r="N313" s="1" t="str">
        <f>IF(Table2[[#This Row],[hum]]&lt;=0.8,"Humid",IF(Table2[[#This Row],[hum]]&gt;=0.8,"High Humid"))</f>
        <v>Humid</v>
      </c>
      <c r="O313">
        <v>0.28360000000000002</v>
      </c>
      <c r="P313">
        <v>6</v>
      </c>
      <c r="Q313">
        <v>47</v>
      </c>
      <c r="R313">
        <v>53</v>
      </c>
    </row>
    <row r="314" spans="1:18" x14ac:dyDescent="0.25">
      <c r="A314">
        <v>313</v>
      </c>
      <c r="B314" s="2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 t="str">
        <f>CHOOSE(H314+1,"Monday","Tuesday","Wednesday","Thursday","Friday","Saturday","Sunday")</f>
        <v>Saturday</v>
      </c>
      <c r="J314">
        <v>1</v>
      </c>
      <c r="K314">
        <v>0.2</v>
      </c>
      <c r="L314">
        <v>0.19700000000000001</v>
      </c>
      <c r="M314">
        <v>0.44</v>
      </c>
      <c r="N314" s="1" t="str">
        <f>IF(Table2[[#This Row],[hum]]&lt;=0.8,"Humid",IF(Table2[[#This Row],[hum]]&gt;=0.8,"High Humid"))</f>
        <v>Humid</v>
      </c>
      <c r="O314">
        <v>0.25369999999999998</v>
      </c>
      <c r="P314">
        <v>2</v>
      </c>
      <c r="Q314">
        <v>59</v>
      </c>
      <c r="R314">
        <v>61</v>
      </c>
    </row>
    <row r="315" spans="1:18" x14ac:dyDescent="0.25">
      <c r="A315">
        <v>314</v>
      </c>
      <c r="B315" s="2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 t="str">
        <f>CHOOSE(H315+1,"Monday","Tuesday","Wednesday","Thursday","Friday","Saturday","Sunday")</f>
        <v>Saturday</v>
      </c>
      <c r="J315">
        <v>1</v>
      </c>
      <c r="K315">
        <v>0.22</v>
      </c>
      <c r="L315">
        <v>0.19700000000000001</v>
      </c>
      <c r="M315">
        <v>0.37</v>
      </c>
      <c r="N315" s="1" t="str">
        <f>IF(Table2[[#This Row],[hum]]&lt;=0.8,"Humid",IF(Table2[[#This Row],[hum]]&gt;=0.8,"High Humid"))</f>
        <v>Humid</v>
      </c>
      <c r="O315">
        <v>0.3881</v>
      </c>
      <c r="P315">
        <v>4</v>
      </c>
      <c r="Q315">
        <v>73</v>
      </c>
      <c r="R315">
        <v>77</v>
      </c>
    </row>
    <row r="316" spans="1:18" x14ac:dyDescent="0.25">
      <c r="A316">
        <v>315</v>
      </c>
      <c r="B316" s="2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 t="str">
        <f>CHOOSE(H316+1,"Monday","Tuesday","Wednesday","Thursday","Friday","Saturday","Sunday")</f>
        <v>Saturday</v>
      </c>
      <c r="J316">
        <v>1</v>
      </c>
      <c r="K316">
        <v>0.22</v>
      </c>
      <c r="L316">
        <v>0.21210000000000001</v>
      </c>
      <c r="M316">
        <v>0.41</v>
      </c>
      <c r="N316" s="1" t="str">
        <f>IF(Table2[[#This Row],[hum]]&lt;=0.8,"Humid",IF(Table2[[#This Row],[hum]]&gt;=0.8,"High Humid"))</f>
        <v>Humid</v>
      </c>
      <c r="O316">
        <v>0.28360000000000002</v>
      </c>
      <c r="P316">
        <v>5</v>
      </c>
      <c r="Q316">
        <v>59</v>
      </c>
      <c r="R316">
        <v>64</v>
      </c>
    </row>
    <row r="317" spans="1:18" x14ac:dyDescent="0.25">
      <c r="A317">
        <v>316</v>
      </c>
      <c r="B317" s="2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 t="str">
        <f>CHOOSE(H317+1,"Monday","Tuesday","Wednesday","Thursday","Friday","Saturday","Sunday")</f>
        <v>Saturday</v>
      </c>
      <c r="J317">
        <v>1</v>
      </c>
      <c r="K317">
        <v>0.24</v>
      </c>
      <c r="L317">
        <v>0.2424</v>
      </c>
      <c r="M317">
        <v>0.38</v>
      </c>
      <c r="N317" s="1" t="str">
        <f>IF(Table2[[#This Row],[hum]]&lt;=0.8,"Humid",IF(Table2[[#This Row],[hum]]&gt;=0.8,"High Humid"))</f>
        <v>Humid</v>
      </c>
      <c r="O317">
        <v>0.16420000000000001</v>
      </c>
      <c r="P317">
        <v>9</v>
      </c>
      <c r="Q317">
        <v>59</v>
      </c>
      <c r="R317">
        <v>68</v>
      </c>
    </row>
    <row r="318" spans="1:18" x14ac:dyDescent="0.25">
      <c r="A318">
        <v>317</v>
      </c>
      <c r="B318" s="2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 t="str">
        <f>CHOOSE(H318+1,"Monday","Tuesday","Wednesday","Thursday","Friday","Saturday","Sunday")</f>
        <v>Saturday</v>
      </c>
      <c r="J318">
        <v>1</v>
      </c>
      <c r="K318">
        <v>0.22</v>
      </c>
      <c r="L318">
        <v>0.2424</v>
      </c>
      <c r="M318">
        <v>0.41</v>
      </c>
      <c r="N318" s="1" t="str">
        <f>IF(Table2[[#This Row],[hum]]&lt;=0.8,"Humid",IF(Table2[[#This Row],[hum]]&gt;=0.8,"High Humid"))</f>
        <v>Humid</v>
      </c>
      <c r="O318">
        <v>0.1045</v>
      </c>
      <c r="P318">
        <v>3</v>
      </c>
      <c r="Q318">
        <v>87</v>
      </c>
      <c r="R318">
        <v>90</v>
      </c>
    </row>
    <row r="319" spans="1:18" x14ac:dyDescent="0.25">
      <c r="A319">
        <v>318</v>
      </c>
      <c r="B319" s="2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 t="str">
        <f>CHOOSE(H319+1,"Monday","Tuesday","Wednesday","Thursday","Friday","Saturday","Sunday")</f>
        <v>Saturday</v>
      </c>
      <c r="J319">
        <v>1</v>
      </c>
      <c r="K319">
        <v>0.22</v>
      </c>
      <c r="L319">
        <v>0.2273</v>
      </c>
      <c r="M319">
        <v>0.41</v>
      </c>
      <c r="N319" s="1" t="str">
        <f>IF(Table2[[#This Row],[hum]]&lt;=0.8,"Humid",IF(Table2[[#This Row],[hum]]&gt;=0.8,"High Humid"))</f>
        <v>Humid</v>
      </c>
      <c r="O319">
        <v>0.16420000000000001</v>
      </c>
      <c r="P319">
        <v>4</v>
      </c>
      <c r="Q319">
        <v>155</v>
      </c>
      <c r="R319">
        <v>159</v>
      </c>
    </row>
    <row r="320" spans="1:18" x14ac:dyDescent="0.25">
      <c r="A320">
        <v>319</v>
      </c>
      <c r="B320" s="2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 t="str">
        <f>CHOOSE(H320+1,"Monday","Tuesday","Wednesday","Thursday","Friday","Saturday","Sunday")</f>
        <v>Saturday</v>
      </c>
      <c r="J320">
        <v>1</v>
      </c>
      <c r="K320">
        <v>0.2</v>
      </c>
      <c r="L320">
        <v>0.2576</v>
      </c>
      <c r="M320">
        <v>0.47</v>
      </c>
      <c r="N320" s="1" t="str">
        <f>IF(Table2[[#This Row],[hum]]&lt;=0.8,"Humid",IF(Table2[[#This Row],[hum]]&gt;=0.8,"High Humid"))</f>
        <v>Humid</v>
      </c>
      <c r="O320">
        <v>0</v>
      </c>
      <c r="P320">
        <v>5</v>
      </c>
      <c r="Q320">
        <v>134</v>
      </c>
      <c r="R320">
        <v>139</v>
      </c>
    </row>
    <row r="321" spans="1:18" x14ac:dyDescent="0.25">
      <c r="A321">
        <v>320</v>
      </c>
      <c r="B321" s="2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 t="str">
        <f>CHOOSE(H321+1,"Monday","Tuesday","Wednesday","Thursday","Friday","Saturday","Sunday")</f>
        <v>Saturday</v>
      </c>
      <c r="J321">
        <v>1</v>
      </c>
      <c r="K321">
        <v>0.16</v>
      </c>
      <c r="L321">
        <v>0.19700000000000001</v>
      </c>
      <c r="M321">
        <v>0.59</v>
      </c>
      <c r="N321" s="1" t="str">
        <f>IF(Table2[[#This Row],[hum]]&lt;=0.8,"Humid",IF(Table2[[#This Row],[hum]]&gt;=0.8,"High Humid"))</f>
        <v>Humid</v>
      </c>
      <c r="O321">
        <v>8.9599999999999999E-2</v>
      </c>
      <c r="P321">
        <v>3</v>
      </c>
      <c r="Q321">
        <v>89</v>
      </c>
      <c r="R321">
        <v>92</v>
      </c>
    </row>
    <row r="322" spans="1:18" x14ac:dyDescent="0.25">
      <c r="A322">
        <v>321</v>
      </c>
      <c r="B322" s="2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 t="str">
        <f>CHOOSE(H322+1,"Monday","Tuesday","Wednesday","Thursday","Friday","Saturday","Sunday")</f>
        <v>Saturday</v>
      </c>
      <c r="J322">
        <v>1</v>
      </c>
      <c r="K322">
        <v>0.18</v>
      </c>
      <c r="L322">
        <v>0.2424</v>
      </c>
      <c r="M322">
        <v>0.59</v>
      </c>
      <c r="N322" s="1" t="str">
        <f>IF(Table2[[#This Row],[hum]]&lt;=0.8,"Humid",IF(Table2[[#This Row],[hum]]&gt;=0.8,"High Humid"))</f>
        <v>Humid</v>
      </c>
      <c r="O322">
        <v>0</v>
      </c>
      <c r="P322">
        <v>0</v>
      </c>
      <c r="Q322">
        <v>68</v>
      </c>
      <c r="R322">
        <v>68</v>
      </c>
    </row>
    <row r="323" spans="1:18" x14ac:dyDescent="0.25">
      <c r="A323">
        <v>322</v>
      </c>
      <c r="B323" s="2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 t="str">
        <f>CHOOSE(H323+1,"Monday","Tuesday","Wednesday","Thursday","Friday","Saturday","Sunday")</f>
        <v>Saturday</v>
      </c>
      <c r="J323">
        <v>1</v>
      </c>
      <c r="K323">
        <v>0.16</v>
      </c>
      <c r="L323">
        <v>0.2273</v>
      </c>
      <c r="M323">
        <v>0.69</v>
      </c>
      <c r="N323" s="1" t="str">
        <f>IF(Table2[[#This Row],[hum]]&lt;=0.8,"Humid",IF(Table2[[#This Row],[hum]]&gt;=0.8,"High Humid"))</f>
        <v>Humid</v>
      </c>
      <c r="O323">
        <v>0</v>
      </c>
      <c r="P323">
        <v>4</v>
      </c>
      <c r="Q323">
        <v>48</v>
      </c>
      <c r="R323">
        <v>52</v>
      </c>
    </row>
    <row r="324" spans="1:18" x14ac:dyDescent="0.25">
      <c r="A324">
        <v>323</v>
      </c>
      <c r="B324" s="2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 t="str">
        <f>CHOOSE(H324+1,"Monday","Tuesday","Wednesday","Thursday","Friday","Saturday","Sunday")</f>
        <v>Saturday</v>
      </c>
      <c r="J324">
        <v>2</v>
      </c>
      <c r="K324">
        <v>0.16</v>
      </c>
      <c r="L324">
        <v>0.2273</v>
      </c>
      <c r="M324">
        <v>0.69</v>
      </c>
      <c r="N324" s="1" t="str">
        <f>IF(Table2[[#This Row],[hum]]&lt;=0.8,"Humid",IF(Table2[[#This Row],[hum]]&gt;=0.8,"High Humid"))</f>
        <v>Humid</v>
      </c>
      <c r="O324">
        <v>0</v>
      </c>
      <c r="P324">
        <v>2</v>
      </c>
      <c r="Q324">
        <v>34</v>
      </c>
      <c r="R324">
        <v>36</v>
      </c>
    </row>
    <row r="325" spans="1:18" x14ac:dyDescent="0.25">
      <c r="A325">
        <v>324</v>
      </c>
      <c r="B325" s="2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 t="str">
        <f>CHOOSE(H325+1,"Monday","Tuesday","Wednesday","Thursday","Friday","Saturday","Sunday")</f>
        <v>Saturday</v>
      </c>
      <c r="J325">
        <v>2</v>
      </c>
      <c r="K325">
        <v>0.18</v>
      </c>
      <c r="L325">
        <v>0.2424</v>
      </c>
      <c r="M325">
        <v>0.55000000000000004</v>
      </c>
      <c r="N325" s="1" t="str">
        <f>IF(Table2[[#This Row],[hum]]&lt;=0.8,"Humid",IF(Table2[[#This Row],[hum]]&gt;=0.8,"High Humid"))</f>
        <v>Humid</v>
      </c>
      <c r="O325">
        <v>0</v>
      </c>
      <c r="P325">
        <v>1</v>
      </c>
      <c r="Q325">
        <v>26</v>
      </c>
      <c r="R325">
        <v>27</v>
      </c>
    </row>
    <row r="326" spans="1:18" x14ac:dyDescent="0.25">
      <c r="A326">
        <v>325</v>
      </c>
      <c r="B326" s="2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 t="str">
        <f>CHOOSE(H326+1,"Monday","Tuesday","Wednesday","Thursday","Friday","Saturday","Sunday")</f>
        <v>Sunday</v>
      </c>
      <c r="J326">
        <v>1</v>
      </c>
      <c r="K326">
        <v>0.18</v>
      </c>
      <c r="L326">
        <v>0.2424</v>
      </c>
      <c r="M326">
        <v>0.55000000000000004</v>
      </c>
      <c r="N326" s="1" t="str">
        <f>IF(Table2[[#This Row],[hum]]&lt;=0.8,"Humid",IF(Table2[[#This Row],[hum]]&gt;=0.8,"High Humid"))</f>
        <v>Humid</v>
      </c>
      <c r="O326">
        <v>0</v>
      </c>
      <c r="P326">
        <v>3</v>
      </c>
      <c r="Q326">
        <v>25</v>
      </c>
      <c r="R326">
        <v>28</v>
      </c>
    </row>
    <row r="327" spans="1:18" x14ac:dyDescent="0.25">
      <c r="A327">
        <v>326</v>
      </c>
      <c r="B327" s="2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 t="str">
        <f>CHOOSE(H327+1,"Monday","Tuesday","Wednesday","Thursday","Friday","Saturday","Sunday")</f>
        <v>Sunday</v>
      </c>
      <c r="J327">
        <v>2</v>
      </c>
      <c r="K327">
        <v>0.16</v>
      </c>
      <c r="L327">
        <v>0.19700000000000001</v>
      </c>
      <c r="M327">
        <v>0.59</v>
      </c>
      <c r="N327" s="1" t="str">
        <f>IF(Table2[[#This Row],[hum]]&lt;=0.8,"Humid",IF(Table2[[#This Row],[hum]]&gt;=0.8,"High Humid"))</f>
        <v>Humid</v>
      </c>
      <c r="O327">
        <v>8.9599999999999999E-2</v>
      </c>
      <c r="P327">
        <v>2</v>
      </c>
      <c r="Q327">
        <v>18</v>
      </c>
      <c r="R327">
        <v>20</v>
      </c>
    </row>
    <row r="328" spans="1:18" x14ac:dyDescent="0.25">
      <c r="A328">
        <v>327</v>
      </c>
      <c r="B328" s="2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 t="str">
        <f>CHOOSE(H328+1,"Monday","Tuesday","Wednesday","Thursday","Friday","Saturday","Sunday")</f>
        <v>Sunday</v>
      </c>
      <c r="J328">
        <v>2</v>
      </c>
      <c r="K328">
        <v>0.16</v>
      </c>
      <c r="L328">
        <v>0.19700000000000001</v>
      </c>
      <c r="M328">
        <v>0.59</v>
      </c>
      <c r="N328" s="1" t="str">
        <f>IF(Table2[[#This Row],[hum]]&lt;=0.8,"Humid",IF(Table2[[#This Row],[hum]]&gt;=0.8,"High Humid"))</f>
        <v>Humid</v>
      </c>
      <c r="O328">
        <v>8.9599999999999999E-2</v>
      </c>
      <c r="P328">
        <v>0</v>
      </c>
      <c r="Q328">
        <v>12</v>
      </c>
      <c r="R328">
        <v>12</v>
      </c>
    </row>
    <row r="329" spans="1:18" x14ac:dyDescent="0.25">
      <c r="A329">
        <v>328</v>
      </c>
      <c r="B329" s="2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 t="str">
        <f>CHOOSE(H329+1,"Monday","Tuesday","Wednesday","Thursday","Friday","Saturday","Sunday")</f>
        <v>Sunday</v>
      </c>
      <c r="J329">
        <v>2</v>
      </c>
      <c r="K329">
        <v>0.16</v>
      </c>
      <c r="L329">
        <v>0.2273</v>
      </c>
      <c r="M329">
        <v>0.59</v>
      </c>
      <c r="N329" s="1" t="str">
        <f>IF(Table2[[#This Row],[hum]]&lt;=0.8,"Humid",IF(Table2[[#This Row],[hum]]&gt;=0.8,"High Humid"))</f>
        <v>Humid</v>
      </c>
      <c r="O329">
        <v>0</v>
      </c>
      <c r="P329">
        <v>1</v>
      </c>
      <c r="Q329">
        <v>7</v>
      </c>
      <c r="R329">
        <v>8</v>
      </c>
    </row>
    <row r="330" spans="1:18" x14ac:dyDescent="0.25">
      <c r="A330">
        <v>329</v>
      </c>
      <c r="B330" s="2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 t="str">
        <f>CHOOSE(H330+1,"Monday","Tuesday","Wednesday","Thursday","Friday","Saturday","Sunday")</f>
        <v>Sunday</v>
      </c>
      <c r="J330">
        <v>2</v>
      </c>
      <c r="K330">
        <v>0.16</v>
      </c>
      <c r="L330">
        <v>0.2273</v>
      </c>
      <c r="M330">
        <v>0.59</v>
      </c>
      <c r="N330" s="1" t="str">
        <f>IF(Table2[[#This Row],[hum]]&lt;=0.8,"Humid",IF(Table2[[#This Row],[hum]]&gt;=0.8,"High Humid"))</f>
        <v>Humid</v>
      </c>
      <c r="O330">
        <v>0</v>
      </c>
      <c r="P330">
        <v>0</v>
      </c>
      <c r="Q330">
        <v>5</v>
      </c>
      <c r="R330">
        <v>5</v>
      </c>
    </row>
    <row r="331" spans="1:18" x14ac:dyDescent="0.25">
      <c r="A331">
        <v>330</v>
      </c>
      <c r="B331" s="2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 t="str">
        <f>CHOOSE(H331+1,"Monday","Tuesday","Wednesday","Thursday","Friday","Saturday","Sunday")</f>
        <v>Sunday</v>
      </c>
      <c r="J331">
        <v>1</v>
      </c>
      <c r="K331">
        <v>0.16</v>
      </c>
      <c r="L331">
        <v>0.2273</v>
      </c>
      <c r="M331">
        <v>0.59</v>
      </c>
      <c r="N331" s="1" t="str">
        <f>IF(Table2[[#This Row],[hum]]&lt;=0.8,"Humid",IF(Table2[[#This Row],[hum]]&gt;=0.8,"High Humid"))</f>
        <v>Humid</v>
      </c>
      <c r="O331">
        <v>0</v>
      </c>
      <c r="P331">
        <v>0</v>
      </c>
      <c r="Q331">
        <v>1</v>
      </c>
      <c r="R331">
        <v>1</v>
      </c>
    </row>
    <row r="332" spans="1:18" x14ac:dyDescent="0.25">
      <c r="A332">
        <v>331</v>
      </c>
      <c r="B332" s="2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 t="str">
        <f>CHOOSE(H332+1,"Monday","Tuesday","Wednesday","Thursday","Friday","Saturday","Sunday")</f>
        <v>Sunday</v>
      </c>
      <c r="J332">
        <v>1</v>
      </c>
      <c r="K332">
        <v>0.14000000000000001</v>
      </c>
      <c r="L332">
        <v>0.16669999999999999</v>
      </c>
      <c r="M332">
        <v>0.63</v>
      </c>
      <c r="N332" s="1" t="str">
        <f>IF(Table2[[#This Row],[hum]]&lt;=0.8,"Humid",IF(Table2[[#This Row],[hum]]&gt;=0.8,"High Humid"))</f>
        <v>Humid</v>
      </c>
      <c r="O332">
        <v>0.1045</v>
      </c>
      <c r="P332">
        <v>1</v>
      </c>
      <c r="Q332">
        <v>2</v>
      </c>
      <c r="R332">
        <v>3</v>
      </c>
    </row>
    <row r="333" spans="1:18" x14ac:dyDescent="0.25">
      <c r="A333">
        <v>332</v>
      </c>
      <c r="B333" s="2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 t="str">
        <f>CHOOSE(H333+1,"Monday","Tuesday","Wednesday","Thursday","Friday","Saturday","Sunday")</f>
        <v>Sunday</v>
      </c>
      <c r="J333">
        <v>1</v>
      </c>
      <c r="K333">
        <v>0.14000000000000001</v>
      </c>
      <c r="L333">
        <v>0.21210000000000001</v>
      </c>
      <c r="M333">
        <v>0.63</v>
      </c>
      <c r="N333" s="1" t="str">
        <f>IF(Table2[[#This Row],[hum]]&lt;=0.8,"Humid",IF(Table2[[#This Row],[hum]]&gt;=0.8,"High Humid"))</f>
        <v>Humid</v>
      </c>
      <c r="O333">
        <v>0</v>
      </c>
      <c r="P333">
        <v>1</v>
      </c>
      <c r="Q333">
        <v>9</v>
      </c>
      <c r="R333">
        <v>10</v>
      </c>
    </row>
    <row r="334" spans="1:18" x14ac:dyDescent="0.25">
      <c r="A334">
        <v>333</v>
      </c>
      <c r="B334" s="2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 t="str">
        <f>CHOOSE(H334+1,"Monday","Tuesday","Wednesday","Thursday","Friday","Saturday","Sunday")</f>
        <v>Sunday</v>
      </c>
      <c r="J334">
        <v>1</v>
      </c>
      <c r="K334">
        <v>0.14000000000000001</v>
      </c>
      <c r="L334">
        <v>0.1515</v>
      </c>
      <c r="M334">
        <v>0.63</v>
      </c>
      <c r="N334" s="1" t="str">
        <f>IF(Table2[[#This Row],[hum]]&lt;=0.8,"Humid",IF(Table2[[#This Row],[hum]]&gt;=0.8,"High Humid"))</f>
        <v>Humid</v>
      </c>
      <c r="O334">
        <v>0.1343</v>
      </c>
      <c r="P334">
        <v>1</v>
      </c>
      <c r="Q334">
        <v>22</v>
      </c>
      <c r="R334">
        <v>23</v>
      </c>
    </row>
    <row r="335" spans="1:18" x14ac:dyDescent="0.25">
      <c r="A335">
        <v>334</v>
      </c>
      <c r="B335" s="2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 t="str">
        <f>CHOOSE(H335+1,"Monday","Tuesday","Wednesday","Thursday","Friday","Saturday","Sunday")</f>
        <v>Sunday</v>
      </c>
      <c r="J335">
        <v>1</v>
      </c>
      <c r="K335">
        <v>0.16</v>
      </c>
      <c r="L335">
        <v>0.18179999999999999</v>
      </c>
      <c r="M335">
        <v>0.64</v>
      </c>
      <c r="N335" s="1" t="str">
        <f>IF(Table2[[#This Row],[hum]]&lt;=0.8,"Humid",IF(Table2[[#This Row],[hum]]&gt;=0.8,"High Humid"))</f>
        <v>Humid</v>
      </c>
      <c r="O335">
        <v>0.1343</v>
      </c>
      <c r="P335">
        <v>2</v>
      </c>
      <c r="Q335">
        <v>31</v>
      </c>
      <c r="R335">
        <v>33</v>
      </c>
    </row>
    <row r="336" spans="1:18" x14ac:dyDescent="0.25">
      <c r="A336">
        <v>335</v>
      </c>
      <c r="B336" s="2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 t="str">
        <f>CHOOSE(H336+1,"Monday","Tuesday","Wednesday","Thursday","Friday","Saturday","Sunday")</f>
        <v>Sunday</v>
      </c>
      <c r="J336">
        <v>1</v>
      </c>
      <c r="K336">
        <v>0.18</v>
      </c>
      <c r="L336">
        <v>0.19700000000000001</v>
      </c>
      <c r="M336">
        <v>0.59</v>
      </c>
      <c r="N336" s="1" t="str">
        <f>IF(Table2[[#This Row],[hum]]&lt;=0.8,"Humid",IF(Table2[[#This Row],[hum]]&gt;=0.8,"High Humid"))</f>
        <v>Humid</v>
      </c>
      <c r="O336">
        <v>0.16420000000000001</v>
      </c>
      <c r="P336">
        <v>2</v>
      </c>
      <c r="Q336">
        <v>57</v>
      </c>
      <c r="R336">
        <v>59</v>
      </c>
    </row>
    <row r="337" spans="1:18" x14ac:dyDescent="0.25">
      <c r="A337">
        <v>336</v>
      </c>
      <c r="B337" s="2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 t="str">
        <f>CHOOSE(H337+1,"Monday","Tuesday","Wednesday","Thursday","Friday","Saturday","Sunday")</f>
        <v>Sunday</v>
      </c>
      <c r="J337">
        <v>1</v>
      </c>
      <c r="K337">
        <v>0.2</v>
      </c>
      <c r="L337">
        <v>0.19700000000000001</v>
      </c>
      <c r="M337">
        <v>0.55000000000000004</v>
      </c>
      <c r="N337" s="1" t="str">
        <f>IF(Table2[[#This Row],[hum]]&lt;=0.8,"Humid",IF(Table2[[#This Row],[hum]]&gt;=0.8,"High Humid"))</f>
        <v>Humid</v>
      </c>
      <c r="O337">
        <v>0.22389999999999999</v>
      </c>
      <c r="P337">
        <v>18</v>
      </c>
      <c r="Q337">
        <v>54</v>
      </c>
      <c r="R337">
        <v>72</v>
      </c>
    </row>
    <row r="338" spans="1:18" x14ac:dyDescent="0.25">
      <c r="A338">
        <v>337</v>
      </c>
      <c r="B338" s="2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 t="str">
        <f>CHOOSE(H338+1,"Monday","Tuesday","Wednesday","Thursday","Friday","Saturday","Sunday")</f>
        <v>Sunday</v>
      </c>
      <c r="J338">
        <v>1</v>
      </c>
      <c r="K338">
        <v>0.24</v>
      </c>
      <c r="L338">
        <v>0.2273</v>
      </c>
      <c r="M338">
        <v>0.48</v>
      </c>
      <c r="N338" s="1" t="str">
        <f>IF(Table2[[#This Row],[hum]]&lt;=0.8,"Humid",IF(Table2[[#This Row],[hum]]&gt;=0.8,"High Humid"))</f>
        <v>Humid</v>
      </c>
      <c r="O338">
        <v>0.22389999999999999</v>
      </c>
      <c r="P338">
        <v>15</v>
      </c>
      <c r="Q338">
        <v>74</v>
      </c>
      <c r="R338">
        <v>89</v>
      </c>
    </row>
    <row r="339" spans="1:18" x14ac:dyDescent="0.25">
      <c r="A339">
        <v>338</v>
      </c>
      <c r="B339" s="2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 t="str">
        <f>CHOOSE(H339+1,"Monday","Tuesday","Wednesday","Thursday","Friday","Saturday","Sunday")</f>
        <v>Sunday</v>
      </c>
      <c r="J339">
        <v>1</v>
      </c>
      <c r="K339">
        <v>0.28000000000000003</v>
      </c>
      <c r="L339">
        <v>0.2576</v>
      </c>
      <c r="M339">
        <v>0.38</v>
      </c>
      <c r="N339" s="1" t="str">
        <f>IF(Table2[[#This Row],[hum]]&lt;=0.8,"Humid",IF(Table2[[#This Row],[hum]]&gt;=0.8,"High Humid"))</f>
        <v>Humid</v>
      </c>
      <c r="O339">
        <v>0.29849999999999999</v>
      </c>
      <c r="P339">
        <v>21</v>
      </c>
      <c r="Q339">
        <v>80</v>
      </c>
      <c r="R339">
        <v>101</v>
      </c>
    </row>
    <row r="340" spans="1:18" x14ac:dyDescent="0.25">
      <c r="A340">
        <v>339</v>
      </c>
      <c r="B340" s="2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 t="str">
        <f>CHOOSE(H340+1,"Monday","Tuesday","Wednesday","Thursday","Friday","Saturday","Sunday")</f>
        <v>Sunday</v>
      </c>
      <c r="J340">
        <v>1</v>
      </c>
      <c r="K340">
        <v>0.3</v>
      </c>
      <c r="L340">
        <v>0.28789999999999999</v>
      </c>
      <c r="M340">
        <v>0.39</v>
      </c>
      <c r="N340" s="1" t="str">
        <f>IF(Table2[[#This Row],[hum]]&lt;=0.8,"Humid",IF(Table2[[#This Row],[hum]]&gt;=0.8,"High Humid"))</f>
        <v>Humid</v>
      </c>
      <c r="O340">
        <v>0.28360000000000002</v>
      </c>
      <c r="P340">
        <v>26</v>
      </c>
      <c r="Q340">
        <v>92</v>
      </c>
      <c r="R340">
        <v>118</v>
      </c>
    </row>
    <row r="341" spans="1:18" x14ac:dyDescent="0.25">
      <c r="A341">
        <v>340</v>
      </c>
      <c r="B341" s="2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 t="str">
        <f>CHOOSE(H341+1,"Monday","Tuesday","Wednesday","Thursday","Friday","Saturday","Sunday")</f>
        <v>Sunday</v>
      </c>
      <c r="J341">
        <v>2</v>
      </c>
      <c r="K341">
        <v>0.32</v>
      </c>
      <c r="L341">
        <v>0.31819999999999998</v>
      </c>
      <c r="M341">
        <v>0.36</v>
      </c>
      <c r="N341" s="1" t="str">
        <f>IF(Table2[[#This Row],[hum]]&lt;=0.8,"Humid",IF(Table2[[#This Row],[hum]]&gt;=0.8,"High Humid"))</f>
        <v>Humid</v>
      </c>
      <c r="O341">
        <v>0.19400000000000001</v>
      </c>
      <c r="P341">
        <v>21</v>
      </c>
      <c r="Q341">
        <v>108</v>
      </c>
      <c r="R341">
        <v>129</v>
      </c>
    </row>
    <row r="342" spans="1:18" x14ac:dyDescent="0.25">
      <c r="A342">
        <v>341</v>
      </c>
      <c r="B342" s="2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 t="str">
        <f>CHOOSE(H342+1,"Monday","Tuesday","Wednesday","Thursday","Friday","Saturday","Sunday")</f>
        <v>Sunday</v>
      </c>
      <c r="J342">
        <v>2</v>
      </c>
      <c r="K342">
        <v>0.34</v>
      </c>
      <c r="L342">
        <v>0.33329999999999999</v>
      </c>
      <c r="M342">
        <v>0.34</v>
      </c>
      <c r="N342" s="1" t="str">
        <f>IF(Table2[[#This Row],[hum]]&lt;=0.8,"Humid",IF(Table2[[#This Row],[hum]]&gt;=0.8,"High Humid"))</f>
        <v>Humid</v>
      </c>
      <c r="O342">
        <v>0.19400000000000001</v>
      </c>
      <c r="P342">
        <v>33</v>
      </c>
      <c r="Q342">
        <v>95</v>
      </c>
      <c r="R342">
        <v>128</v>
      </c>
    </row>
    <row r="343" spans="1:18" x14ac:dyDescent="0.25">
      <c r="A343">
        <v>342</v>
      </c>
      <c r="B343" s="2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 t="str">
        <f>CHOOSE(H343+1,"Monday","Tuesday","Wednesday","Thursday","Friday","Saturday","Sunday")</f>
        <v>Sunday</v>
      </c>
      <c r="J343">
        <v>2</v>
      </c>
      <c r="K343">
        <v>0.32</v>
      </c>
      <c r="L343">
        <v>0.30299999999999999</v>
      </c>
      <c r="M343">
        <v>0.36</v>
      </c>
      <c r="N343" s="1" t="str">
        <f>IF(Table2[[#This Row],[hum]]&lt;=0.8,"Humid",IF(Table2[[#This Row],[hum]]&gt;=0.8,"High Humid"))</f>
        <v>Humid</v>
      </c>
      <c r="O343">
        <v>0.28360000000000002</v>
      </c>
      <c r="P343">
        <v>29</v>
      </c>
      <c r="Q343">
        <v>54</v>
      </c>
      <c r="R343">
        <v>83</v>
      </c>
    </row>
    <row r="344" spans="1:18" x14ac:dyDescent="0.25">
      <c r="A344">
        <v>343</v>
      </c>
      <c r="B344" s="2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 t="str">
        <f>CHOOSE(H344+1,"Monday","Tuesday","Wednesday","Thursday","Friday","Saturday","Sunday")</f>
        <v>Sunday</v>
      </c>
      <c r="J344">
        <v>2</v>
      </c>
      <c r="K344">
        <v>0.3</v>
      </c>
      <c r="L344">
        <v>0.28789999999999999</v>
      </c>
      <c r="M344">
        <v>0.45</v>
      </c>
      <c r="N344" s="1" t="str">
        <f>IF(Table2[[#This Row],[hum]]&lt;=0.8,"Humid",IF(Table2[[#This Row],[hum]]&gt;=0.8,"High Humid"))</f>
        <v>Humid</v>
      </c>
      <c r="O344">
        <v>0.25369999999999998</v>
      </c>
      <c r="P344">
        <v>15</v>
      </c>
      <c r="Q344">
        <v>69</v>
      </c>
      <c r="R344">
        <v>84</v>
      </c>
    </row>
    <row r="345" spans="1:18" x14ac:dyDescent="0.25">
      <c r="A345">
        <v>344</v>
      </c>
      <c r="B345" s="2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 t="str">
        <f>CHOOSE(H345+1,"Monday","Tuesday","Wednesday","Thursday","Friday","Saturday","Sunday")</f>
        <v>Sunday</v>
      </c>
      <c r="J345">
        <v>2</v>
      </c>
      <c r="K345">
        <v>0.32</v>
      </c>
      <c r="L345">
        <v>0.30299999999999999</v>
      </c>
      <c r="M345">
        <v>0.39</v>
      </c>
      <c r="N345" s="1" t="str">
        <f>IF(Table2[[#This Row],[hum]]&lt;=0.8,"Humid",IF(Table2[[#This Row],[hum]]&gt;=0.8,"High Humid"))</f>
        <v>Humid</v>
      </c>
      <c r="O345">
        <v>0.25369999999999998</v>
      </c>
      <c r="P345">
        <v>14</v>
      </c>
      <c r="Q345">
        <v>60</v>
      </c>
      <c r="R345">
        <v>74</v>
      </c>
    </row>
    <row r="346" spans="1:18" x14ac:dyDescent="0.25">
      <c r="A346">
        <v>345</v>
      </c>
      <c r="B346" s="2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 t="str">
        <f>CHOOSE(H346+1,"Monday","Tuesday","Wednesday","Thursday","Friday","Saturday","Sunday")</f>
        <v>Sunday</v>
      </c>
      <c r="J346">
        <v>2</v>
      </c>
      <c r="K346">
        <v>0.32</v>
      </c>
      <c r="L346">
        <v>0.30299999999999999</v>
      </c>
      <c r="M346">
        <v>0.39</v>
      </c>
      <c r="N346" s="1" t="str">
        <f>IF(Table2[[#This Row],[hum]]&lt;=0.8,"Humid",IF(Table2[[#This Row],[hum]]&gt;=0.8,"High Humid"))</f>
        <v>Humid</v>
      </c>
      <c r="O346">
        <v>0.25369999999999998</v>
      </c>
      <c r="P346">
        <v>6</v>
      </c>
      <c r="Q346">
        <v>35</v>
      </c>
      <c r="R346">
        <v>41</v>
      </c>
    </row>
    <row r="347" spans="1:18" x14ac:dyDescent="0.25">
      <c r="A347">
        <v>346</v>
      </c>
      <c r="B347" s="2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 t="str">
        <f>CHOOSE(H347+1,"Monday","Tuesday","Wednesday","Thursday","Friday","Saturday","Sunday")</f>
        <v>Sunday</v>
      </c>
      <c r="J347">
        <v>2</v>
      </c>
      <c r="K347">
        <v>0.32</v>
      </c>
      <c r="L347">
        <v>0.30299999999999999</v>
      </c>
      <c r="M347">
        <v>0.39</v>
      </c>
      <c r="N347" s="1" t="str">
        <f>IF(Table2[[#This Row],[hum]]&lt;=0.8,"Humid",IF(Table2[[#This Row],[hum]]&gt;=0.8,"High Humid"))</f>
        <v>Humid</v>
      </c>
      <c r="O347">
        <v>0.22389999999999999</v>
      </c>
      <c r="P347">
        <v>6</v>
      </c>
      <c r="Q347">
        <v>51</v>
      </c>
      <c r="R347">
        <v>57</v>
      </c>
    </row>
    <row r="348" spans="1:18" x14ac:dyDescent="0.25">
      <c r="A348">
        <v>347</v>
      </c>
      <c r="B348" s="2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 t="str">
        <f>CHOOSE(H348+1,"Monday","Tuesday","Wednesday","Thursday","Friday","Saturday","Sunday")</f>
        <v>Sunday</v>
      </c>
      <c r="J348">
        <v>2</v>
      </c>
      <c r="K348">
        <v>0.3</v>
      </c>
      <c r="L348">
        <v>0.31819999999999998</v>
      </c>
      <c r="M348">
        <v>0.42</v>
      </c>
      <c r="N348" s="1" t="str">
        <f>IF(Table2[[#This Row],[hum]]&lt;=0.8,"Humid",IF(Table2[[#This Row],[hum]]&gt;=0.8,"High Humid"))</f>
        <v>Humid</v>
      </c>
      <c r="O348">
        <v>0.1045</v>
      </c>
      <c r="P348">
        <v>0</v>
      </c>
      <c r="Q348">
        <v>26</v>
      </c>
      <c r="R348">
        <v>26</v>
      </c>
    </row>
    <row r="349" spans="1:18" x14ac:dyDescent="0.25">
      <c r="A349">
        <v>348</v>
      </c>
      <c r="B349" s="2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 t="str">
        <f>CHOOSE(H349+1,"Monday","Tuesday","Wednesday","Thursday","Friday","Saturday","Sunday")</f>
        <v>Sunday</v>
      </c>
      <c r="J349">
        <v>1</v>
      </c>
      <c r="K349">
        <v>0.3</v>
      </c>
      <c r="L349">
        <v>0.28789999999999999</v>
      </c>
      <c r="M349">
        <v>0.45</v>
      </c>
      <c r="N349" s="1" t="str">
        <f>IF(Table2[[#This Row],[hum]]&lt;=0.8,"Humid",IF(Table2[[#This Row],[hum]]&gt;=0.8,"High Humid"))</f>
        <v>Humid</v>
      </c>
      <c r="O349">
        <v>0.28360000000000002</v>
      </c>
      <c r="P349">
        <v>5</v>
      </c>
      <c r="Q349">
        <v>39</v>
      </c>
      <c r="R349">
        <v>44</v>
      </c>
    </row>
    <row r="350" spans="1:18" x14ac:dyDescent="0.25">
      <c r="A350">
        <v>349</v>
      </c>
      <c r="B350" s="2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 t="str">
        <f>CHOOSE(H350+1,"Monday","Tuesday","Wednesday","Thursday","Friday","Saturday","Sunday")</f>
        <v>Monday</v>
      </c>
      <c r="J350">
        <v>1</v>
      </c>
      <c r="K350">
        <v>0.26</v>
      </c>
      <c r="L350">
        <v>0.30299999999999999</v>
      </c>
      <c r="M350">
        <v>0.56000000000000005</v>
      </c>
      <c r="N350" s="1" t="str">
        <f>IF(Table2[[#This Row],[hum]]&lt;=0.8,"Humid",IF(Table2[[#This Row],[hum]]&gt;=0.8,"High Humid"))</f>
        <v>Humid</v>
      </c>
      <c r="O350">
        <v>0</v>
      </c>
      <c r="P350">
        <v>6</v>
      </c>
      <c r="Q350">
        <v>33</v>
      </c>
      <c r="R350">
        <v>39</v>
      </c>
    </row>
    <row r="351" spans="1:18" x14ac:dyDescent="0.25">
      <c r="A351">
        <v>350</v>
      </c>
      <c r="B351" s="2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 t="str">
        <f>CHOOSE(H351+1,"Monday","Tuesday","Wednesday","Thursday","Friday","Saturday","Sunday")</f>
        <v>Monday</v>
      </c>
      <c r="J351">
        <v>1</v>
      </c>
      <c r="K351">
        <v>0.26</v>
      </c>
      <c r="L351">
        <v>0.2727</v>
      </c>
      <c r="M351">
        <v>0.56000000000000005</v>
      </c>
      <c r="N351" s="1" t="str">
        <f>IF(Table2[[#This Row],[hum]]&lt;=0.8,"Humid",IF(Table2[[#This Row],[hum]]&gt;=0.8,"High Humid"))</f>
        <v>Humid</v>
      </c>
      <c r="O351">
        <v>0.1343</v>
      </c>
      <c r="P351">
        <v>4</v>
      </c>
      <c r="Q351">
        <v>19</v>
      </c>
      <c r="R351">
        <v>23</v>
      </c>
    </row>
    <row r="352" spans="1:18" x14ac:dyDescent="0.25">
      <c r="A352">
        <v>351</v>
      </c>
      <c r="B352" s="2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 t="str">
        <f>CHOOSE(H352+1,"Monday","Tuesday","Wednesday","Thursday","Friday","Saturday","Sunday")</f>
        <v>Monday</v>
      </c>
      <c r="J352">
        <v>1</v>
      </c>
      <c r="K352">
        <v>0.26</v>
      </c>
      <c r="L352">
        <v>0.28789999999999999</v>
      </c>
      <c r="M352">
        <v>0.56000000000000005</v>
      </c>
      <c r="N352" s="1" t="str">
        <f>IF(Table2[[#This Row],[hum]]&lt;=0.8,"Humid",IF(Table2[[#This Row],[hum]]&gt;=0.8,"High Humid"))</f>
        <v>Humid</v>
      </c>
      <c r="O352">
        <v>8.9599999999999999E-2</v>
      </c>
      <c r="P352">
        <v>3</v>
      </c>
      <c r="Q352">
        <v>13</v>
      </c>
      <c r="R352">
        <v>16</v>
      </c>
    </row>
    <row r="353" spans="1:18" x14ac:dyDescent="0.25">
      <c r="A353">
        <v>352</v>
      </c>
      <c r="B353" s="2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 t="str">
        <f>CHOOSE(H353+1,"Monday","Tuesday","Wednesday","Thursday","Friday","Saturday","Sunday")</f>
        <v>Monday</v>
      </c>
      <c r="J353">
        <v>1</v>
      </c>
      <c r="K353">
        <v>0.22</v>
      </c>
      <c r="L353">
        <v>0.2727</v>
      </c>
      <c r="M353">
        <v>0.69</v>
      </c>
      <c r="N353" s="1" t="str">
        <f>IF(Table2[[#This Row],[hum]]&lt;=0.8,"Humid",IF(Table2[[#This Row],[hum]]&gt;=0.8,"High Humid"))</f>
        <v>Humid</v>
      </c>
      <c r="O353">
        <v>0</v>
      </c>
      <c r="P353">
        <v>9</v>
      </c>
      <c r="Q353">
        <v>6</v>
      </c>
      <c r="R353">
        <v>15</v>
      </c>
    </row>
    <row r="354" spans="1:18" x14ac:dyDescent="0.25">
      <c r="A354">
        <v>353</v>
      </c>
      <c r="B354" s="2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 t="str">
        <f>CHOOSE(H354+1,"Monday","Tuesday","Wednesday","Thursday","Friday","Saturday","Sunday")</f>
        <v>Monday</v>
      </c>
      <c r="J354">
        <v>1</v>
      </c>
      <c r="K354">
        <v>0.26</v>
      </c>
      <c r="L354">
        <v>0.2576</v>
      </c>
      <c r="M354">
        <v>0.56000000000000005</v>
      </c>
      <c r="N354" s="1" t="str">
        <f>IF(Table2[[#This Row],[hum]]&lt;=0.8,"Humid",IF(Table2[[#This Row],[hum]]&gt;=0.8,"High Humid"))</f>
        <v>Humid</v>
      </c>
      <c r="O354">
        <v>0.16420000000000001</v>
      </c>
      <c r="P354">
        <v>0</v>
      </c>
      <c r="Q354">
        <v>1</v>
      </c>
      <c r="R354">
        <v>1</v>
      </c>
    </row>
    <row r="355" spans="1:18" x14ac:dyDescent="0.25">
      <c r="A355">
        <v>354</v>
      </c>
      <c r="B355" s="2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 t="str">
        <f>CHOOSE(H355+1,"Monday","Tuesday","Wednesday","Thursday","Friday","Saturday","Sunday")</f>
        <v>Monday</v>
      </c>
      <c r="J355">
        <v>2</v>
      </c>
      <c r="K355">
        <v>0.26</v>
      </c>
      <c r="L355">
        <v>0.2576</v>
      </c>
      <c r="M355">
        <v>0.56000000000000005</v>
      </c>
      <c r="N355" s="1" t="str">
        <f>IF(Table2[[#This Row],[hum]]&lt;=0.8,"Humid",IF(Table2[[#This Row],[hum]]&gt;=0.8,"High Humid"))</f>
        <v>Humid</v>
      </c>
      <c r="O355">
        <v>0.16420000000000001</v>
      </c>
      <c r="P355">
        <v>1</v>
      </c>
      <c r="Q355">
        <v>1</v>
      </c>
      <c r="R355">
        <v>2</v>
      </c>
    </row>
    <row r="356" spans="1:18" x14ac:dyDescent="0.25">
      <c r="A356">
        <v>355</v>
      </c>
      <c r="B356" s="2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 t="str">
        <f>CHOOSE(H356+1,"Monday","Tuesday","Wednesday","Thursday","Friday","Saturday","Sunday")</f>
        <v>Monday</v>
      </c>
      <c r="J356">
        <v>2</v>
      </c>
      <c r="K356">
        <v>0.26</v>
      </c>
      <c r="L356">
        <v>0.2576</v>
      </c>
      <c r="M356">
        <v>0.56000000000000005</v>
      </c>
      <c r="N356" s="1" t="str">
        <f>IF(Table2[[#This Row],[hum]]&lt;=0.8,"Humid",IF(Table2[[#This Row],[hum]]&gt;=0.8,"High Humid"))</f>
        <v>Humid</v>
      </c>
      <c r="O356">
        <v>0.16420000000000001</v>
      </c>
      <c r="P356">
        <v>0</v>
      </c>
      <c r="Q356">
        <v>1</v>
      </c>
      <c r="R356">
        <v>1</v>
      </c>
    </row>
    <row r="357" spans="1:18" x14ac:dyDescent="0.25">
      <c r="A357">
        <v>356</v>
      </c>
      <c r="B357" s="2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 t="str">
        <f>CHOOSE(H357+1,"Monday","Tuesday","Wednesday","Thursday","Friday","Saturday","Sunday")</f>
        <v>Monday</v>
      </c>
      <c r="J357">
        <v>2</v>
      </c>
      <c r="K357">
        <v>0.24</v>
      </c>
      <c r="L357">
        <v>0.21210000000000001</v>
      </c>
      <c r="M357">
        <v>0.56000000000000005</v>
      </c>
      <c r="N357" s="1" t="str">
        <f>IF(Table2[[#This Row],[hum]]&lt;=0.8,"Humid",IF(Table2[[#This Row],[hum]]&gt;=0.8,"High Humid"))</f>
        <v>Humid</v>
      </c>
      <c r="O357">
        <v>0.29849999999999999</v>
      </c>
      <c r="P357">
        <v>0</v>
      </c>
      <c r="Q357">
        <v>3</v>
      </c>
      <c r="R357">
        <v>3</v>
      </c>
    </row>
    <row r="358" spans="1:18" x14ac:dyDescent="0.25">
      <c r="A358">
        <v>357</v>
      </c>
      <c r="B358" s="2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 t="str">
        <f>CHOOSE(H358+1,"Monday","Tuesday","Wednesday","Thursday","Friday","Saturday","Sunday")</f>
        <v>Monday</v>
      </c>
      <c r="J358">
        <v>1</v>
      </c>
      <c r="K358">
        <v>0.22</v>
      </c>
      <c r="L358">
        <v>0.21210000000000001</v>
      </c>
      <c r="M358">
        <v>0.55000000000000004</v>
      </c>
      <c r="N358" s="1" t="str">
        <f>IF(Table2[[#This Row],[hum]]&lt;=0.8,"Humid",IF(Table2[[#This Row],[hum]]&gt;=0.8,"High Humid"))</f>
        <v>Humid</v>
      </c>
      <c r="O358">
        <v>0.28360000000000002</v>
      </c>
      <c r="P358">
        <v>0</v>
      </c>
      <c r="Q358">
        <v>18</v>
      </c>
      <c r="R358">
        <v>18</v>
      </c>
    </row>
    <row r="359" spans="1:18" x14ac:dyDescent="0.25">
      <c r="A359">
        <v>358</v>
      </c>
      <c r="B359" s="2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 t="str">
        <f>CHOOSE(H359+1,"Monday","Tuesday","Wednesday","Thursday","Friday","Saturday","Sunday")</f>
        <v>Monday</v>
      </c>
      <c r="J359">
        <v>1</v>
      </c>
      <c r="K359">
        <v>0.22</v>
      </c>
      <c r="L359">
        <v>0.21210000000000001</v>
      </c>
      <c r="M359">
        <v>0.51</v>
      </c>
      <c r="N359" s="1" t="str">
        <f>IF(Table2[[#This Row],[hum]]&lt;=0.8,"Humid",IF(Table2[[#This Row],[hum]]&gt;=0.8,"High Humid"))</f>
        <v>Humid</v>
      </c>
      <c r="O359">
        <v>0.25369999999999998</v>
      </c>
      <c r="P359">
        <v>3</v>
      </c>
      <c r="Q359">
        <v>29</v>
      </c>
      <c r="R359">
        <v>32</v>
      </c>
    </row>
    <row r="360" spans="1:18" x14ac:dyDescent="0.25">
      <c r="A360">
        <v>359</v>
      </c>
      <c r="B360" s="2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 t="str">
        <f>CHOOSE(H360+1,"Monday","Tuesday","Wednesday","Thursday","Friday","Saturday","Sunday")</f>
        <v>Monday</v>
      </c>
      <c r="J360">
        <v>1</v>
      </c>
      <c r="K360">
        <v>0.22</v>
      </c>
      <c r="L360">
        <v>0.21210000000000001</v>
      </c>
      <c r="M360">
        <v>0.51</v>
      </c>
      <c r="N360" s="1" t="str">
        <f>IF(Table2[[#This Row],[hum]]&lt;=0.8,"Humid",IF(Table2[[#This Row],[hum]]&gt;=0.8,"High Humid"))</f>
        <v>Humid</v>
      </c>
      <c r="O360">
        <v>0.28360000000000002</v>
      </c>
      <c r="P360">
        <v>8</v>
      </c>
      <c r="Q360">
        <v>71</v>
      </c>
      <c r="R360">
        <v>79</v>
      </c>
    </row>
    <row r="361" spans="1:18" x14ac:dyDescent="0.25">
      <c r="A361">
        <v>360</v>
      </c>
      <c r="B361" s="2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 t="str">
        <f>CHOOSE(H361+1,"Monday","Tuesday","Wednesday","Thursday","Friday","Saturday","Sunday")</f>
        <v>Monday</v>
      </c>
      <c r="J361">
        <v>1</v>
      </c>
      <c r="K361">
        <v>0.24</v>
      </c>
      <c r="L361">
        <v>0.2273</v>
      </c>
      <c r="M361">
        <v>0.44</v>
      </c>
      <c r="N361" s="1" t="str">
        <f>IF(Table2[[#This Row],[hum]]&lt;=0.8,"Humid",IF(Table2[[#This Row],[hum]]&gt;=0.8,"High Humid"))</f>
        <v>Humid</v>
      </c>
      <c r="O361">
        <v>0.25369999999999998</v>
      </c>
      <c r="P361">
        <v>23</v>
      </c>
      <c r="Q361">
        <v>70</v>
      </c>
      <c r="R361">
        <v>93</v>
      </c>
    </row>
    <row r="362" spans="1:18" x14ac:dyDescent="0.25">
      <c r="A362">
        <v>361</v>
      </c>
      <c r="B362" s="2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 t="str">
        <f>CHOOSE(H362+1,"Monday","Tuesday","Wednesday","Thursday","Friday","Saturday","Sunday")</f>
        <v>Monday</v>
      </c>
      <c r="J362">
        <v>1</v>
      </c>
      <c r="K362">
        <v>0.24</v>
      </c>
      <c r="L362">
        <v>0.21210000000000001</v>
      </c>
      <c r="M362">
        <v>0.41</v>
      </c>
      <c r="N362" s="1" t="str">
        <f>IF(Table2[[#This Row],[hum]]&lt;=0.8,"Humid",IF(Table2[[#This Row],[hum]]&gt;=0.8,"High Humid"))</f>
        <v>Humid</v>
      </c>
      <c r="O362">
        <v>0.28360000000000002</v>
      </c>
      <c r="P362">
        <v>29</v>
      </c>
      <c r="Q362">
        <v>75</v>
      </c>
      <c r="R362">
        <v>104</v>
      </c>
    </row>
    <row r="363" spans="1:18" x14ac:dyDescent="0.25">
      <c r="A363">
        <v>362</v>
      </c>
      <c r="B363" s="2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 t="str">
        <f>CHOOSE(H363+1,"Monday","Tuesday","Wednesday","Thursday","Friday","Saturday","Sunday")</f>
        <v>Monday</v>
      </c>
      <c r="J363">
        <v>1</v>
      </c>
      <c r="K363">
        <v>0.26</v>
      </c>
      <c r="L363">
        <v>0.2273</v>
      </c>
      <c r="M363">
        <v>0.35</v>
      </c>
      <c r="N363" s="1" t="str">
        <f>IF(Table2[[#This Row],[hum]]&lt;=0.8,"Humid",IF(Table2[[#This Row],[hum]]&gt;=0.8,"High Humid"))</f>
        <v>Humid</v>
      </c>
      <c r="O363">
        <v>0.29849999999999999</v>
      </c>
      <c r="P363">
        <v>23</v>
      </c>
      <c r="Q363">
        <v>95</v>
      </c>
      <c r="R363">
        <v>118</v>
      </c>
    </row>
    <row r="364" spans="1:18" x14ac:dyDescent="0.25">
      <c r="A364">
        <v>363</v>
      </c>
      <c r="B364" s="2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 t="str">
        <f>CHOOSE(H364+1,"Monday","Tuesday","Wednesday","Thursday","Friday","Saturday","Sunday")</f>
        <v>Monday</v>
      </c>
      <c r="J364">
        <v>1</v>
      </c>
      <c r="K364">
        <v>0.28000000000000003</v>
      </c>
      <c r="L364">
        <v>0.2727</v>
      </c>
      <c r="M364">
        <v>0.36</v>
      </c>
      <c r="N364" s="1" t="str">
        <f>IF(Table2[[#This Row],[hum]]&lt;=0.8,"Humid",IF(Table2[[#This Row],[hum]]&gt;=0.8,"High Humid"))</f>
        <v>Humid</v>
      </c>
      <c r="O364">
        <v>0.25369999999999998</v>
      </c>
      <c r="P364">
        <v>22</v>
      </c>
      <c r="Q364">
        <v>69</v>
      </c>
      <c r="R364">
        <v>91</v>
      </c>
    </row>
    <row r="365" spans="1:18" x14ac:dyDescent="0.25">
      <c r="A365">
        <v>364</v>
      </c>
      <c r="B365" s="2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 t="str">
        <f>CHOOSE(H365+1,"Monday","Tuesday","Wednesday","Thursday","Friday","Saturday","Sunday")</f>
        <v>Monday</v>
      </c>
      <c r="J365">
        <v>1</v>
      </c>
      <c r="K365">
        <v>0.26</v>
      </c>
      <c r="L365">
        <v>0.2424</v>
      </c>
      <c r="M365">
        <v>0.38</v>
      </c>
      <c r="N365" s="1" t="str">
        <f>IF(Table2[[#This Row],[hum]]&lt;=0.8,"Humid",IF(Table2[[#This Row],[hum]]&gt;=0.8,"High Humid"))</f>
        <v>Humid</v>
      </c>
      <c r="O365">
        <v>0.25369999999999998</v>
      </c>
      <c r="P365">
        <v>35</v>
      </c>
      <c r="Q365">
        <v>78</v>
      </c>
      <c r="R365">
        <v>113</v>
      </c>
    </row>
    <row r="366" spans="1:18" x14ac:dyDescent="0.25">
      <c r="A366">
        <v>365</v>
      </c>
      <c r="B366" s="2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 t="str">
        <f>CHOOSE(H366+1,"Monday","Tuesday","Wednesday","Thursday","Friday","Saturday","Sunday")</f>
        <v>Monday</v>
      </c>
      <c r="J366">
        <v>1</v>
      </c>
      <c r="K366">
        <v>0.24</v>
      </c>
      <c r="L366">
        <v>0.2273</v>
      </c>
      <c r="M366">
        <v>0.38</v>
      </c>
      <c r="N366" s="1" t="str">
        <f>IF(Table2[[#This Row],[hum]]&lt;=0.8,"Humid",IF(Table2[[#This Row],[hum]]&gt;=0.8,"High Humid"))</f>
        <v>Humid</v>
      </c>
      <c r="O366">
        <v>0.22389999999999999</v>
      </c>
      <c r="P366">
        <v>22</v>
      </c>
      <c r="Q366">
        <v>77</v>
      </c>
      <c r="R366">
        <v>99</v>
      </c>
    </row>
    <row r="367" spans="1:18" x14ac:dyDescent="0.25">
      <c r="A367">
        <v>366</v>
      </c>
      <c r="B367" s="2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 t="str">
        <f>CHOOSE(H367+1,"Monday","Tuesday","Wednesday","Thursday","Friday","Saturday","Sunday")</f>
        <v>Monday</v>
      </c>
      <c r="J367">
        <v>1</v>
      </c>
      <c r="K367">
        <v>0.22</v>
      </c>
      <c r="L367">
        <v>0.21210000000000001</v>
      </c>
      <c r="M367">
        <v>0.37</v>
      </c>
      <c r="N367" s="1" t="str">
        <f>IF(Table2[[#This Row],[hum]]&lt;=0.8,"Humid",IF(Table2[[#This Row],[hum]]&gt;=0.8,"High Humid"))</f>
        <v>Humid</v>
      </c>
      <c r="O367">
        <v>0.25369999999999998</v>
      </c>
      <c r="P367">
        <v>23</v>
      </c>
      <c r="Q367">
        <v>82</v>
      </c>
      <c r="R367">
        <v>105</v>
      </c>
    </row>
    <row r="368" spans="1:18" x14ac:dyDescent="0.25">
      <c r="A368">
        <v>367</v>
      </c>
      <c r="B368" s="2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 t="str">
        <f>CHOOSE(H368+1,"Monday","Tuesday","Wednesday","Thursday","Friday","Saturday","Sunday")</f>
        <v>Monday</v>
      </c>
      <c r="J368">
        <v>1</v>
      </c>
      <c r="K368">
        <v>0.2</v>
      </c>
      <c r="L368">
        <v>0.21210000000000001</v>
      </c>
      <c r="M368">
        <v>0.4</v>
      </c>
      <c r="N368" s="1" t="str">
        <f>IF(Table2[[#This Row],[hum]]&lt;=0.8,"Humid",IF(Table2[[#This Row],[hum]]&gt;=0.8,"High Humid"))</f>
        <v>Humid</v>
      </c>
      <c r="O368">
        <v>0.16420000000000001</v>
      </c>
      <c r="P368">
        <v>11</v>
      </c>
      <c r="Q368">
        <v>56</v>
      </c>
      <c r="R368">
        <v>67</v>
      </c>
    </row>
    <row r="369" spans="1:18" x14ac:dyDescent="0.25">
      <c r="A369">
        <v>368</v>
      </c>
      <c r="B369" s="2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 t="str">
        <f>CHOOSE(H369+1,"Monday","Tuesday","Wednesday","Thursday","Friday","Saturday","Sunday")</f>
        <v>Monday</v>
      </c>
      <c r="J369">
        <v>1</v>
      </c>
      <c r="K369">
        <v>0.18</v>
      </c>
      <c r="L369">
        <v>0.19700000000000001</v>
      </c>
      <c r="M369">
        <v>0.47</v>
      </c>
      <c r="N369" s="1" t="str">
        <f>IF(Table2[[#This Row],[hum]]&lt;=0.8,"Humid",IF(Table2[[#This Row],[hum]]&gt;=0.8,"High Humid"))</f>
        <v>Humid</v>
      </c>
      <c r="O369">
        <v>0.1343</v>
      </c>
      <c r="P369">
        <v>14</v>
      </c>
      <c r="Q369">
        <v>47</v>
      </c>
      <c r="R369">
        <v>61</v>
      </c>
    </row>
    <row r="370" spans="1:18" x14ac:dyDescent="0.25">
      <c r="A370">
        <v>369</v>
      </c>
      <c r="B370" s="2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 t="str">
        <f>CHOOSE(H370+1,"Monday","Tuesday","Wednesday","Thursday","Friday","Saturday","Sunday")</f>
        <v>Monday</v>
      </c>
      <c r="J370">
        <v>1</v>
      </c>
      <c r="K370">
        <v>0.18</v>
      </c>
      <c r="L370">
        <v>0.19700000000000001</v>
      </c>
      <c r="M370">
        <v>0.47</v>
      </c>
      <c r="N370" s="1" t="str">
        <f>IF(Table2[[#This Row],[hum]]&lt;=0.8,"Humid",IF(Table2[[#This Row],[hum]]&gt;=0.8,"High Humid"))</f>
        <v>Humid</v>
      </c>
      <c r="O370">
        <v>0.16420000000000001</v>
      </c>
      <c r="P370">
        <v>7</v>
      </c>
      <c r="Q370">
        <v>50</v>
      </c>
      <c r="R370">
        <v>57</v>
      </c>
    </row>
    <row r="371" spans="1:18" x14ac:dyDescent="0.25">
      <c r="A371">
        <v>370</v>
      </c>
      <c r="B371" s="2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 t="str">
        <f>CHOOSE(H371+1,"Monday","Tuesday","Wednesday","Thursday","Friday","Saturday","Sunday")</f>
        <v>Monday</v>
      </c>
      <c r="J371">
        <v>1</v>
      </c>
      <c r="K371">
        <v>0.18</v>
      </c>
      <c r="L371">
        <v>0.19700000000000001</v>
      </c>
      <c r="M371">
        <v>0.51</v>
      </c>
      <c r="N371" s="1" t="str">
        <f>IF(Table2[[#This Row],[hum]]&lt;=0.8,"Humid",IF(Table2[[#This Row],[hum]]&gt;=0.8,"High Humid"))</f>
        <v>Humid</v>
      </c>
      <c r="O371">
        <v>0.16420000000000001</v>
      </c>
      <c r="P371">
        <v>6</v>
      </c>
      <c r="Q371">
        <v>22</v>
      </c>
      <c r="R371">
        <v>28</v>
      </c>
    </row>
    <row r="372" spans="1:18" x14ac:dyDescent="0.25">
      <c r="A372">
        <v>371</v>
      </c>
      <c r="B372" s="2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 t="str">
        <f>CHOOSE(H372+1,"Monday","Tuesday","Wednesday","Thursday","Friday","Saturday","Sunday")</f>
        <v>Monday</v>
      </c>
      <c r="J372">
        <v>2</v>
      </c>
      <c r="K372">
        <v>0.2</v>
      </c>
      <c r="L372">
        <v>0.21210000000000001</v>
      </c>
      <c r="M372">
        <v>0.49</v>
      </c>
      <c r="N372" s="1" t="str">
        <f>IF(Table2[[#This Row],[hum]]&lt;=0.8,"Humid",IF(Table2[[#This Row],[hum]]&gt;=0.8,"High Humid"))</f>
        <v>Humid</v>
      </c>
      <c r="O372">
        <v>0.1343</v>
      </c>
      <c r="P372">
        <v>2</v>
      </c>
      <c r="Q372">
        <v>19</v>
      </c>
      <c r="R372">
        <v>21</v>
      </c>
    </row>
    <row r="373" spans="1:18" x14ac:dyDescent="0.25">
      <c r="A373">
        <v>372</v>
      </c>
      <c r="B373" s="2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 t="str">
        <f>CHOOSE(H373+1,"Monday","Tuesday","Wednesday","Thursday","Friday","Saturday","Sunday")</f>
        <v>Monday</v>
      </c>
      <c r="J373">
        <v>2</v>
      </c>
      <c r="K373">
        <v>0.2</v>
      </c>
      <c r="L373">
        <v>0.2273</v>
      </c>
      <c r="M373">
        <v>0.4</v>
      </c>
      <c r="N373" s="1" t="str">
        <f>IF(Table2[[#This Row],[hum]]&lt;=0.8,"Humid",IF(Table2[[#This Row],[hum]]&gt;=0.8,"High Humid"))</f>
        <v>Humid</v>
      </c>
      <c r="O373">
        <v>0.1045</v>
      </c>
      <c r="P373">
        <v>0</v>
      </c>
      <c r="Q373">
        <v>18</v>
      </c>
      <c r="R373">
        <v>18</v>
      </c>
    </row>
    <row r="374" spans="1:18" x14ac:dyDescent="0.25">
      <c r="A374">
        <v>373</v>
      </c>
      <c r="B374" s="2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 t="str">
        <f>CHOOSE(H374+1,"Monday","Tuesday","Wednesday","Thursday","Friday","Saturday","Sunday")</f>
        <v>Tuesday</v>
      </c>
      <c r="J374">
        <v>2</v>
      </c>
      <c r="K374">
        <v>0.2</v>
      </c>
      <c r="L374">
        <v>0.19700000000000001</v>
      </c>
      <c r="M374">
        <v>0.47</v>
      </c>
      <c r="N374" s="1" t="str">
        <f>IF(Table2[[#This Row],[hum]]&lt;=0.8,"Humid",IF(Table2[[#This Row],[hum]]&gt;=0.8,"High Humid"))</f>
        <v>Humid</v>
      </c>
      <c r="O374">
        <v>0.22389999999999999</v>
      </c>
      <c r="P374">
        <v>1</v>
      </c>
      <c r="Q374">
        <v>16</v>
      </c>
      <c r="R374">
        <v>17</v>
      </c>
    </row>
    <row r="375" spans="1:18" x14ac:dyDescent="0.25">
      <c r="A375">
        <v>374</v>
      </c>
      <c r="B375" s="2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 t="str">
        <f>CHOOSE(H375+1,"Monday","Tuesday","Wednesday","Thursday","Friday","Saturday","Sunday")</f>
        <v>Tuesday</v>
      </c>
      <c r="J375">
        <v>2</v>
      </c>
      <c r="K375">
        <v>0.2</v>
      </c>
      <c r="L375">
        <v>0.19700000000000001</v>
      </c>
      <c r="M375">
        <v>0.44</v>
      </c>
      <c r="N375" s="1" t="str">
        <f>IF(Table2[[#This Row],[hum]]&lt;=0.8,"Humid",IF(Table2[[#This Row],[hum]]&gt;=0.8,"High Humid"))</f>
        <v>Humid</v>
      </c>
      <c r="O375">
        <v>0.19400000000000001</v>
      </c>
      <c r="P375">
        <v>1</v>
      </c>
      <c r="Q375">
        <v>15</v>
      </c>
      <c r="R375">
        <v>16</v>
      </c>
    </row>
    <row r="376" spans="1:18" x14ac:dyDescent="0.25">
      <c r="A376">
        <v>375</v>
      </c>
      <c r="B376" s="2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 t="str">
        <f>CHOOSE(H376+1,"Monday","Tuesday","Wednesday","Thursday","Friday","Saturday","Sunday")</f>
        <v>Tuesday</v>
      </c>
      <c r="J376">
        <v>2</v>
      </c>
      <c r="K376">
        <v>0.18</v>
      </c>
      <c r="L376">
        <v>0.16669999999999999</v>
      </c>
      <c r="M376">
        <v>0.43</v>
      </c>
      <c r="N376" s="1" t="str">
        <f>IF(Table2[[#This Row],[hum]]&lt;=0.8,"Humid",IF(Table2[[#This Row],[hum]]&gt;=0.8,"High Humid"))</f>
        <v>Humid</v>
      </c>
      <c r="O376">
        <v>0.25369999999999998</v>
      </c>
      <c r="P376">
        <v>0</v>
      </c>
      <c r="Q376">
        <v>8</v>
      </c>
      <c r="R376">
        <v>8</v>
      </c>
    </row>
    <row r="377" spans="1:18" x14ac:dyDescent="0.25">
      <c r="A377">
        <v>376</v>
      </c>
      <c r="B377" s="2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 t="str">
        <f>CHOOSE(H377+1,"Monday","Tuesday","Wednesday","Thursday","Friday","Saturday","Sunday")</f>
        <v>Tuesday</v>
      </c>
      <c r="J377">
        <v>2</v>
      </c>
      <c r="K377">
        <v>0.18</v>
      </c>
      <c r="L377">
        <v>0.18179999999999999</v>
      </c>
      <c r="M377">
        <v>0.43</v>
      </c>
      <c r="N377" s="1" t="str">
        <f>IF(Table2[[#This Row],[hum]]&lt;=0.8,"Humid",IF(Table2[[#This Row],[hum]]&gt;=0.8,"High Humid"))</f>
        <v>Humid</v>
      </c>
      <c r="O377">
        <v>0.19400000000000001</v>
      </c>
      <c r="P377">
        <v>0</v>
      </c>
      <c r="Q377">
        <v>2</v>
      </c>
      <c r="R377">
        <v>2</v>
      </c>
    </row>
    <row r="378" spans="1:18" x14ac:dyDescent="0.25">
      <c r="A378">
        <v>377</v>
      </c>
      <c r="B378" s="2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 t="str">
        <f>CHOOSE(H378+1,"Monday","Tuesday","Wednesday","Thursday","Friday","Saturday","Sunday")</f>
        <v>Tuesday</v>
      </c>
      <c r="J378">
        <v>2</v>
      </c>
      <c r="K378">
        <v>0.18</v>
      </c>
      <c r="L378">
        <v>0.19700000000000001</v>
      </c>
      <c r="M378">
        <v>0.43</v>
      </c>
      <c r="N378" s="1" t="str">
        <f>IF(Table2[[#This Row],[hum]]&lt;=0.8,"Humid",IF(Table2[[#This Row],[hum]]&gt;=0.8,"High Humid"))</f>
        <v>Humid</v>
      </c>
      <c r="O378">
        <v>0.1343</v>
      </c>
      <c r="P378">
        <v>1</v>
      </c>
      <c r="Q378">
        <v>2</v>
      </c>
      <c r="R378">
        <v>3</v>
      </c>
    </row>
    <row r="379" spans="1:18" x14ac:dyDescent="0.25">
      <c r="A379">
        <v>378</v>
      </c>
      <c r="B379" s="2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 t="str">
        <f>CHOOSE(H379+1,"Monday","Tuesday","Wednesday","Thursday","Friday","Saturday","Sunday")</f>
        <v>Tuesday</v>
      </c>
      <c r="J379">
        <v>2</v>
      </c>
      <c r="K379">
        <v>0.18</v>
      </c>
      <c r="L379">
        <v>0.19700000000000001</v>
      </c>
      <c r="M379">
        <v>0.43</v>
      </c>
      <c r="N379" s="1" t="str">
        <f>IF(Table2[[#This Row],[hum]]&lt;=0.8,"Humid",IF(Table2[[#This Row],[hum]]&gt;=0.8,"High Humid"))</f>
        <v>Humid</v>
      </c>
      <c r="O379">
        <v>0.16420000000000001</v>
      </c>
      <c r="P379">
        <v>0</v>
      </c>
      <c r="Q379">
        <v>1</v>
      </c>
      <c r="R379">
        <v>1</v>
      </c>
    </row>
    <row r="380" spans="1:18" x14ac:dyDescent="0.25">
      <c r="A380">
        <v>379</v>
      </c>
      <c r="B380" s="2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 t="str">
        <f>CHOOSE(H380+1,"Monday","Tuesday","Wednesday","Thursday","Friday","Saturday","Sunday")</f>
        <v>Tuesday</v>
      </c>
      <c r="J380">
        <v>2</v>
      </c>
      <c r="K380">
        <v>0.18</v>
      </c>
      <c r="L380">
        <v>0.18179999999999999</v>
      </c>
      <c r="M380">
        <v>0.43</v>
      </c>
      <c r="N380" s="1" t="str">
        <f>IF(Table2[[#This Row],[hum]]&lt;=0.8,"Humid",IF(Table2[[#This Row],[hum]]&gt;=0.8,"High Humid"))</f>
        <v>Humid</v>
      </c>
      <c r="O380">
        <v>0.19400000000000001</v>
      </c>
      <c r="P380">
        <v>0</v>
      </c>
      <c r="Q380">
        <v>5</v>
      </c>
      <c r="R380">
        <v>5</v>
      </c>
    </row>
    <row r="381" spans="1:18" x14ac:dyDescent="0.25">
      <c r="A381">
        <v>380</v>
      </c>
      <c r="B381" s="2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 t="str">
        <f>CHOOSE(H381+1,"Monday","Tuesday","Wednesday","Thursday","Friday","Saturday","Sunday")</f>
        <v>Tuesday</v>
      </c>
      <c r="J381">
        <v>2</v>
      </c>
      <c r="K381">
        <v>0.16</v>
      </c>
      <c r="L381">
        <v>0.18179999999999999</v>
      </c>
      <c r="M381">
        <v>0.5</v>
      </c>
      <c r="N381" s="1" t="str">
        <f>IF(Table2[[#This Row],[hum]]&lt;=0.8,"Humid",IF(Table2[[#This Row],[hum]]&gt;=0.8,"High Humid"))</f>
        <v>Humid</v>
      </c>
      <c r="O381">
        <v>0.1343</v>
      </c>
      <c r="P381">
        <v>4</v>
      </c>
      <c r="Q381">
        <v>9</v>
      </c>
      <c r="R381">
        <v>13</v>
      </c>
    </row>
    <row r="382" spans="1:18" x14ac:dyDescent="0.25">
      <c r="A382">
        <v>381</v>
      </c>
      <c r="B382" s="2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 t="str">
        <f>CHOOSE(H382+1,"Monday","Tuesday","Wednesday","Thursday","Friday","Saturday","Sunday")</f>
        <v>Tuesday</v>
      </c>
      <c r="J382">
        <v>2</v>
      </c>
      <c r="K382">
        <v>0.16</v>
      </c>
      <c r="L382">
        <v>0.1515</v>
      </c>
      <c r="M382">
        <v>0.47</v>
      </c>
      <c r="N382" s="1" t="str">
        <f>IF(Table2[[#This Row],[hum]]&lt;=0.8,"Humid",IF(Table2[[#This Row],[hum]]&gt;=0.8,"High Humid"))</f>
        <v>Humid</v>
      </c>
      <c r="O382">
        <v>0.22389999999999999</v>
      </c>
      <c r="P382">
        <v>3</v>
      </c>
      <c r="Q382">
        <v>30</v>
      </c>
      <c r="R382">
        <v>33</v>
      </c>
    </row>
    <row r="383" spans="1:18" x14ac:dyDescent="0.25">
      <c r="A383">
        <v>382</v>
      </c>
      <c r="B383" s="2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 t="str">
        <f>CHOOSE(H383+1,"Monday","Tuesday","Wednesday","Thursday","Friday","Saturday","Sunday")</f>
        <v>Tuesday</v>
      </c>
      <c r="J383">
        <v>2</v>
      </c>
      <c r="K383">
        <v>0.16</v>
      </c>
      <c r="L383">
        <v>0.1515</v>
      </c>
      <c r="M383">
        <v>0.47</v>
      </c>
      <c r="N383" s="1" t="str">
        <f>IF(Table2[[#This Row],[hum]]&lt;=0.8,"Humid",IF(Table2[[#This Row],[hum]]&gt;=0.8,"High Humid"))</f>
        <v>Humid</v>
      </c>
      <c r="O383">
        <v>0.22389999999999999</v>
      </c>
      <c r="P383">
        <v>8</v>
      </c>
      <c r="Q383">
        <v>39</v>
      </c>
      <c r="R383">
        <v>47</v>
      </c>
    </row>
    <row r="384" spans="1:18" x14ac:dyDescent="0.25">
      <c r="A384">
        <v>383</v>
      </c>
      <c r="B384" s="2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 t="str">
        <f>CHOOSE(H384+1,"Monday","Tuesday","Wednesday","Thursday","Friday","Saturday","Sunday")</f>
        <v>Tuesday</v>
      </c>
      <c r="J384">
        <v>2</v>
      </c>
      <c r="K384">
        <v>0.16</v>
      </c>
      <c r="L384">
        <v>0.1515</v>
      </c>
      <c r="M384">
        <v>0.5</v>
      </c>
      <c r="N384" s="1" t="str">
        <f>IF(Table2[[#This Row],[hum]]&lt;=0.8,"Humid",IF(Table2[[#This Row],[hum]]&gt;=0.8,"High Humid"))</f>
        <v>Humid</v>
      </c>
      <c r="O384">
        <v>0.25369999999999998</v>
      </c>
      <c r="P384">
        <v>7</v>
      </c>
      <c r="Q384">
        <v>50</v>
      </c>
      <c r="R384">
        <v>57</v>
      </c>
    </row>
    <row r="385" spans="1:18" x14ac:dyDescent="0.25">
      <c r="A385">
        <v>384</v>
      </c>
      <c r="B385" s="2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 t="str">
        <f>CHOOSE(H385+1,"Monday","Tuesday","Wednesday","Thursday","Friday","Saturday","Sunday")</f>
        <v>Tuesday</v>
      </c>
      <c r="J385">
        <v>2</v>
      </c>
      <c r="K385">
        <v>0.16</v>
      </c>
      <c r="L385">
        <v>0.1515</v>
      </c>
      <c r="M385">
        <v>0.55000000000000004</v>
      </c>
      <c r="N385" s="1" t="str">
        <f>IF(Table2[[#This Row],[hum]]&lt;=0.8,"Humid",IF(Table2[[#This Row],[hum]]&gt;=0.8,"High Humid"))</f>
        <v>Humid</v>
      </c>
      <c r="O385">
        <v>0.19400000000000001</v>
      </c>
      <c r="P385">
        <v>9</v>
      </c>
      <c r="Q385">
        <v>55</v>
      </c>
      <c r="R385">
        <v>64</v>
      </c>
    </row>
    <row r="386" spans="1:18" x14ac:dyDescent="0.25">
      <c r="A386">
        <v>385</v>
      </c>
      <c r="B386" s="2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 t="str">
        <f>CHOOSE(H386+1,"Monday","Tuesday","Wednesday","Thursday","Friday","Saturday","Sunday")</f>
        <v>Tuesday</v>
      </c>
      <c r="J386">
        <v>2</v>
      </c>
      <c r="K386">
        <v>0.18</v>
      </c>
      <c r="L386">
        <v>0.19700000000000001</v>
      </c>
      <c r="M386">
        <v>0.47</v>
      </c>
      <c r="N386" s="1" t="str">
        <f>IF(Table2[[#This Row],[hum]]&lt;=0.8,"Humid",IF(Table2[[#This Row],[hum]]&gt;=0.8,"High Humid"))</f>
        <v>Humid</v>
      </c>
      <c r="O386">
        <v>0.1343</v>
      </c>
      <c r="P386">
        <v>10</v>
      </c>
      <c r="Q386">
        <v>70</v>
      </c>
      <c r="R386">
        <v>80</v>
      </c>
    </row>
    <row r="387" spans="1:18" x14ac:dyDescent="0.25">
      <c r="A387">
        <v>386</v>
      </c>
      <c r="B387" s="2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 t="str">
        <f>CHOOSE(H387+1,"Monday","Tuesday","Wednesday","Thursday","Friday","Saturday","Sunday")</f>
        <v>Tuesday</v>
      </c>
      <c r="J387">
        <v>2</v>
      </c>
      <c r="K387">
        <v>0.18</v>
      </c>
      <c r="L387">
        <v>0.19700000000000001</v>
      </c>
      <c r="M387">
        <v>0.47</v>
      </c>
      <c r="N387" s="1" t="str">
        <f>IF(Table2[[#This Row],[hum]]&lt;=0.8,"Humid",IF(Table2[[#This Row],[hum]]&gt;=0.8,"High Humid"))</f>
        <v>Humid</v>
      </c>
      <c r="O387">
        <v>0.1343</v>
      </c>
      <c r="P387">
        <v>13</v>
      </c>
      <c r="Q387">
        <v>80</v>
      </c>
      <c r="R387">
        <v>93</v>
      </c>
    </row>
    <row r="388" spans="1:18" x14ac:dyDescent="0.25">
      <c r="A388">
        <v>387</v>
      </c>
      <c r="B388" s="2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 t="str">
        <f>CHOOSE(H388+1,"Monday","Tuesday","Wednesday","Thursday","Friday","Saturday","Sunday")</f>
        <v>Tuesday</v>
      </c>
      <c r="J388">
        <v>2</v>
      </c>
      <c r="K388">
        <v>0.18</v>
      </c>
      <c r="L388">
        <v>0.21210000000000001</v>
      </c>
      <c r="M388">
        <v>0.43</v>
      </c>
      <c r="N388" s="1" t="str">
        <f>IF(Table2[[#This Row],[hum]]&lt;=0.8,"Humid",IF(Table2[[#This Row],[hum]]&gt;=0.8,"High Humid"))</f>
        <v>Humid</v>
      </c>
      <c r="O388">
        <v>0.1045</v>
      </c>
      <c r="P388">
        <v>12</v>
      </c>
      <c r="Q388">
        <v>74</v>
      </c>
      <c r="R388">
        <v>86</v>
      </c>
    </row>
    <row r="389" spans="1:18" x14ac:dyDescent="0.25">
      <c r="A389">
        <v>388</v>
      </c>
      <c r="B389" s="2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 t="str">
        <f>CHOOSE(H389+1,"Monday","Tuesday","Wednesday","Thursday","Friday","Saturday","Sunday")</f>
        <v>Tuesday</v>
      </c>
      <c r="J389">
        <v>2</v>
      </c>
      <c r="K389">
        <v>0.2</v>
      </c>
      <c r="L389">
        <v>0.21210000000000001</v>
      </c>
      <c r="M389">
        <v>0.47</v>
      </c>
      <c r="N389" s="1" t="str">
        <f>IF(Table2[[#This Row],[hum]]&lt;=0.8,"Humid",IF(Table2[[#This Row],[hum]]&gt;=0.8,"High Humid"))</f>
        <v>Humid</v>
      </c>
      <c r="O389">
        <v>0.16420000000000001</v>
      </c>
      <c r="P389">
        <v>21</v>
      </c>
      <c r="Q389">
        <v>72</v>
      </c>
      <c r="R389">
        <v>93</v>
      </c>
    </row>
    <row r="390" spans="1:18" x14ac:dyDescent="0.25">
      <c r="A390">
        <v>389</v>
      </c>
      <c r="B390" s="2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 t="str">
        <f>CHOOSE(H390+1,"Monday","Tuesday","Wednesday","Thursday","Friday","Saturday","Sunday")</f>
        <v>Tuesday</v>
      </c>
      <c r="J390">
        <v>2</v>
      </c>
      <c r="K390">
        <v>0.2</v>
      </c>
      <c r="L390">
        <v>0.21210000000000001</v>
      </c>
      <c r="M390">
        <v>0.47</v>
      </c>
      <c r="N390" s="1" t="str">
        <f>IF(Table2[[#This Row],[hum]]&lt;=0.8,"Humid",IF(Table2[[#This Row],[hum]]&gt;=0.8,"High Humid"))</f>
        <v>Humid</v>
      </c>
      <c r="O390">
        <v>0.16420000000000001</v>
      </c>
      <c r="P390">
        <v>6</v>
      </c>
      <c r="Q390">
        <v>76</v>
      </c>
      <c r="R390">
        <v>82</v>
      </c>
    </row>
    <row r="391" spans="1:18" x14ac:dyDescent="0.25">
      <c r="A391">
        <v>390</v>
      </c>
      <c r="B391" s="2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 t="str">
        <f>CHOOSE(H391+1,"Monday","Tuesday","Wednesday","Thursday","Friday","Saturday","Sunday")</f>
        <v>Tuesday</v>
      </c>
      <c r="J391">
        <v>1</v>
      </c>
      <c r="K391">
        <v>0.2</v>
      </c>
      <c r="L391">
        <v>0.19700000000000001</v>
      </c>
      <c r="M391">
        <v>0.51</v>
      </c>
      <c r="N391" s="1" t="str">
        <f>IF(Table2[[#This Row],[hum]]&lt;=0.8,"Humid",IF(Table2[[#This Row],[hum]]&gt;=0.8,"High Humid"))</f>
        <v>Humid</v>
      </c>
      <c r="O391">
        <v>0.19400000000000001</v>
      </c>
      <c r="P391">
        <v>4</v>
      </c>
      <c r="Q391">
        <v>67</v>
      </c>
      <c r="R391">
        <v>71</v>
      </c>
    </row>
    <row r="392" spans="1:18" x14ac:dyDescent="0.25">
      <c r="A392">
        <v>391</v>
      </c>
      <c r="B392" s="2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 t="str">
        <f>CHOOSE(H392+1,"Monday","Tuesday","Wednesday","Thursday","Friday","Saturday","Sunday")</f>
        <v>Tuesday</v>
      </c>
      <c r="J392">
        <v>2</v>
      </c>
      <c r="K392">
        <v>0.18</v>
      </c>
      <c r="L392">
        <v>0.16669999999999999</v>
      </c>
      <c r="M392">
        <v>0.55000000000000004</v>
      </c>
      <c r="N392" s="1" t="str">
        <f>IF(Table2[[#This Row],[hum]]&lt;=0.8,"Humid",IF(Table2[[#This Row],[hum]]&gt;=0.8,"High Humid"))</f>
        <v>Humid</v>
      </c>
      <c r="O392">
        <v>0.25369999999999998</v>
      </c>
      <c r="P392">
        <v>7</v>
      </c>
      <c r="Q392">
        <v>85</v>
      </c>
      <c r="R392">
        <v>92</v>
      </c>
    </row>
    <row r="393" spans="1:18" x14ac:dyDescent="0.25">
      <c r="A393">
        <v>392</v>
      </c>
      <c r="B393" s="2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 t="str">
        <f>CHOOSE(H393+1,"Monday","Tuesday","Wednesday","Thursday","Friday","Saturday","Sunday")</f>
        <v>Tuesday</v>
      </c>
      <c r="J393">
        <v>3</v>
      </c>
      <c r="K393">
        <v>0.18</v>
      </c>
      <c r="L393">
        <v>0.18179999999999999</v>
      </c>
      <c r="M393">
        <v>0.59</v>
      </c>
      <c r="N393" s="1" t="str">
        <f>IF(Table2[[#This Row],[hum]]&lt;=0.8,"Humid",IF(Table2[[#This Row],[hum]]&gt;=0.8,"High Humid"))</f>
        <v>Humid</v>
      </c>
      <c r="O393">
        <v>0.19400000000000001</v>
      </c>
      <c r="P393">
        <v>2</v>
      </c>
      <c r="Q393">
        <v>58</v>
      </c>
      <c r="R393">
        <v>60</v>
      </c>
    </row>
    <row r="394" spans="1:18" x14ac:dyDescent="0.25">
      <c r="A394">
        <v>393</v>
      </c>
      <c r="B394" s="2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 t="str">
        <f>CHOOSE(H394+1,"Monday","Tuesday","Wednesday","Thursday","Friday","Saturday","Sunday")</f>
        <v>Tuesday</v>
      </c>
      <c r="J394">
        <v>3</v>
      </c>
      <c r="K394">
        <v>0.16</v>
      </c>
      <c r="L394">
        <v>0.1515</v>
      </c>
      <c r="M394">
        <v>0.8</v>
      </c>
      <c r="N394" s="1" t="str">
        <f>IF(Table2[[#This Row],[hum]]&lt;=0.8,"Humid",IF(Table2[[#This Row],[hum]]&gt;=0.8,"High Humid"))</f>
        <v>Humid</v>
      </c>
      <c r="O394">
        <v>0.19400000000000001</v>
      </c>
      <c r="P394">
        <v>4</v>
      </c>
      <c r="Q394">
        <v>29</v>
      </c>
      <c r="R394">
        <v>33</v>
      </c>
    </row>
    <row r="395" spans="1:18" x14ac:dyDescent="0.25">
      <c r="A395">
        <v>394</v>
      </c>
      <c r="B395" s="2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 t="str">
        <f>CHOOSE(H395+1,"Monday","Tuesday","Wednesday","Thursday","Friday","Saturday","Sunday")</f>
        <v>Tuesday</v>
      </c>
      <c r="J395">
        <v>3</v>
      </c>
      <c r="K395">
        <v>0.16</v>
      </c>
      <c r="L395">
        <v>0.1515</v>
      </c>
      <c r="M395">
        <v>0.8</v>
      </c>
      <c r="N395" s="1" t="str">
        <f>IF(Table2[[#This Row],[hum]]&lt;=0.8,"Humid",IF(Table2[[#This Row],[hum]]&gt;=0.8,"High Humid"))</f>
        <v>Humid</v>
      </c>
      <c r="O395">
        <v>0.19400000000000001</v>
      </c>
      <c r="P395">
        <v>3</v>
      </c>
      <c r="Q395">
        <v>24</v>
      </c>
      <c r="R395">
        <v>27</v>
      </c>
    </row>
    <row r="396" spans="1:18" x14ac:dyDescent="0.25">
      <c r="A396">
        <v>395</v>
      </c>
      <c r="B396" s="2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 t="str">
        <f>CHOOSE(H396+1,"Monday","Tuesday","Wednesday","Thursday","Friday","Saturday","Sunday")</f>
        <v>Tuesday</v>
      </c>
      <c r="J396">
        <v>3</v>
      </c>
      <c r="K396">
        <v>0.14000000000000001</v>
      </c>
      <c r="L396">
        <v>0.1212</v>
      </c>
      <c r="M396">
        <v>0.93</v>
      </c>
      <c r="N396" s="1" t="str">
        <f>IF(Table2[[#This Row],[hum]]&lt;=0.8,"Humid",IF(Table2[[#This Row],[hum]]&gt;=0.8,"High Humid"))</f>
        <v>High Humid</v>
      </c>
      <c r="O396">
        <v>0.25369999999999998</v>
      </c>
      <c r="P396">
        <v>0</v>
      </c>
      <c r="Q396">
        <v>13</v>
      </c>
      <c r="R396">
        <v>13</v>
      </c>
    </row>
    <row r="397" spans="1:18" x14ac:dyDescent="0.25">
      <c r="A397">
        <v>396</v>
      </c>
      <c r="B397" s="2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 t="str">
        <f>CHOOSE(H397+1,"Monday","Tuesday","Wednesday","Thursday","Friday","Saturday","Sunday")</f>
        <v>Tuesday</v>
      </c>
      <c r="J397">
        <v>3</v>
      </c>
      <c r="K397">
        <v>0.16</v>
      </c>
      <c r="L397">
        <v>0.13639999999999999</v>
      </c>
      <c r="M397">
        <v>0.86</v>
      </c>
      <c r="N397" s="1" t="str">
        <f>IF(Table2[[#This Row],[hum]]&lt;=0.8,"Humid",IF(Table2[[#This Row],[hum]]&gt;=0.8,"High Humid"))</f>
        <v>High Humid</v>
      </c>
      <c r="O397">
        <v>0.28360000000000002</v>
      </c>
      <c r="P397">
        <v>1</v>
      </c>
      <c r="Q397">
        <v>3</v>
      </c>
      <c r="R397">
        <v>4</v>
      </c>
    </row>
    <row r="398" spans="1:18" x14ac:dyDescent="0.25">
      <c r="A398">
        <v>397</v>
      </c>
      <c r="B398" s="2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 t="str">
        <f>CHOOSE(H398+1,"Monday","Tuesday","Wednesday","Thursday","Friday","Saturday","Sunday")</f>
        <v>Wednesday</v>
      </c>
      <c r="J398">
        <v>2</v>
      </c>
      <c r="K398">
        <v>0.2</v>
      </c>
      <c r="L398">
        <v>0.18179999999999999</v>
      </c>
      <c r="M398">
        <v>0.86</v>
      </c>
      <c r="N398" s="1" t="str">
        <f>IF(Table2[[#This Row],[hum]]&lt;=0.8,"Humid",IF(Table2[[#This Row],[hum]]&gt;=0.8,"High Humid"))</f>
        <v>High Humid</v>
      </c>
      <c r="O398">
        <v>0.32840000000000003</v>
      </c>
      <c r="P398">
        <v>0</v>
      </c>
      <c r="Q398">
        <v>3</v>
      </c>
      <c r="R398">
        <v>3</v>
      </c>
    </row>
    <row r="399" spans="1:18" x14ac:dyDescent="0.25">
      <c r="A399">
        <v>398</v>
      </c>
      <c r="B399" s="2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 t="str">
        <f>CHOOSE(H399+1,"Monday","Tuesday","Wednesday","Thursday","Friday","Saturday","Sunday")</f>
        <v>Wednesday</v>
      </c>
      <c r="J399">
        <v>2</v>
      </c>
      <c r="K399">
        <v>0.2</v>
      </c>
      <c r="L399">
        <v>0.19700000000000001</v>
      </c>
      <c r="M399">
        <v>0.86</v>
      </c>
      <c r="N399" s="1" t="str">
        <f>IF(Table2[[#This Row],[hum]]&lt;=0.8,"Humid",IF(Table2[[#This Row],[hum]]&gt;=0.8,"High Humid"))</f>
        <v>High Humid</v>
      </c>
      <c r="O399">
        <v>0.22389999999999999</v>
      </c>
      <c r="P399">
        <v>0</v>
      </c>
      <c r="Q399">
        <v>22</v>
      </c>
      <c r="R399">
        <v>22</v>
      </c>
    </row>
    <row r="400" spans="1:18" x14ac:dyDescent="0.25">
      <c r="A400">
        <v>399</v>
      </c>
      <c r="B400" s="2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 t="str">
        <f>CHOOSE(H400+1,"Monday","Tuesday","Wednesday","Thursday","Friday","Saturday","Sunday")</f>
        <v>Wednesday</v>
      </c>
      <c r="J400">
        <v>2</v>
      </c>
      <c r="K400">
        <v>0.22</v>
      </c>
      <c r="L400">
        <v>0.2273</v>
      </c>
      <c r="M400">
        <v>0.8</v>
      </c>
      <c r="N400" s="1" t="str">
        <f>IF(Table2[[#This Row],[hum]]&lt;=0.8,"Humid",IF(Table2[[#This Row],[hum]]&gt;=0.8,"High Humid"))</f>
        <v>Humid</v>
      </c>
      <c r="O400">
        <v>0.16420000000000001</v>
      </c>
      <c r="P400">
        <v>2</v>
      </c>
      <c r="Q400">
        <v>26</v>
      </c>
      <c r="R400">
        <v>28</v>
      </c>
    </row>
    <row r="401" spans="1:18" x14ac:dyDescent="0.25">
      <c r="A401">
        <v>400</v>
      </c>
      <c r="B401" s="2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 t="str">
        <f>CHOOSE(H401+1,"Monday","Tuesday","Wednesday","Thursday","Friday","Saturday","Sunday")</f>
        <v>Wednesday</v>
      </c>
      <c r="J401">
        <v>2</v>
      </c>
      <c r="K401">
        <v>0.22</v>
      </c>
      <c r="L401">
        <v>0.2273</v>
      </c>
      <c r="M401">
        <v>0.87</v>
      </c>
      <c r="N401" s="1" t="str">
        <f>IF(Table2[[#This Row],[hum]]&lt;=0.8,"Humid",IF(Table2[[#This Row],[hum]]&gt;=0.8,"High Humid"))</f>
        <v>High Humid</v>
      </c>
      <c r="O401">
        <v>0.16420000000000001</v>
      </c>
      <c r="P401">
        <v>3</v>
      </c>
      <c r="Q401">
        <v>32</v>
      </c>
      <c r="R401">
        <v>35</v>
      </c>
    </row>
    <row r="402" spans="1:18" x14ac:dyDescent="0.25">
      <c r="A402">
        <v>401</v>
      </c>
      <c r="B402" s="2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 t="str">
        <f>CHOOSE(H402+1,"Monday","Tuesday","Wednesday","Thursday","Friday","Saturday","Sunday")</f>
        <v>Wednesday</v>
      </c>
      <c r="J402">
        <v>2</v>
      </c>
      <c r="K402">
        <v>0.22</v>
      </c>
      <c r="L402">
        <v>0.2273</v>
      </c>
      <c r="M402">
        <v>0.87</v>
      </c>
      <c r="N402" s="1" t="str">
        <f>IF(Table2[[#This Row],[hum]]&lt;=0.8,"Humid",IF(Table2[[#This Row],[hum]]&gt;=0.8,"High Humid"))</f>
        <v>High Humid</v>
      </c>
      <c r="O402">
        <v>0.19400000000000001</v>
      </c>
      <c r="P402">
        <v>0</v>
      </c>
      <c r="Q402">
        <v>61</v>
      </c>
      <c r="R402">
        <v>61</v>
      </c>
    </row>
    <row r="403" spans="1:18" x14ac:dyDescent="0.25">
      <c r="A403">
        <v>402</v>
      </c>
      <c r="B403" s="2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 t="str">
        <f>CHOOSE(H403+1,"Monday","Tuesday","Wednesday","Thursday","Friday","Saturday","Sunday")</f>
        <v>Wednesday</v>
      </c>
      <c r="J403">
        <v>2</v>
      </c>
      <c r="K403">
        <v>0.22</v>
      </c>
      <c r="L403">
        <v>0.2273</v>
      </c>
      <c r="M403">
        <v>0.82</v>
      </c>
      <c r="N403" s="1" t="str">
        <f>IF(Table2[[#This Row],[hum]]&lt;=0.8,"Humid",IF(Table2[[#This Row],[hum]]&gt;=0.8,"High Humid"))</f>
        <v>High Humid</v>
      </c>
      <c r="O403">
        <v>0.19400000000000001</v>
      </c>
      <c r="P403">
        <v>1</v>
      </c>
      <c r="Q403">
        <v>124</v>
      </c>
      <c r="R403">
        <v>125</v>
      </c>
    </row>
    <row r="404" spans="1:18" x14ac:dyDescent="0.25">
      <c r="A404">
        <v>403</v>
      </c>
      <c r="B404" s="2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 t="str">
        <f>CHOOSE(H404+1,"Monday","Tuesday","Wednesday","Thursday","Friday","Saturday","Sunday")</f>
        <v>Wednesday</v>
      </c>
      <c r="J404">
        <v>2</v>
      </c>
      <c r="K404">
        <v>0.22</v>
      </c>
      <c r="L404">
        <v>0.2273</v>
      </c>
      <c r="M404">
        <v>0.8</v>
      </c>
      <c r="N404" s="1" t="str">
        <f>IF(Table2[[#This Row],[hum]]&lt;=0.8,"Humid",IF(Table2[[#This Row],[hum]]&gt;=0.8,"High Humid"))</f>
        <v>Humid</v>
      </c>
      <c r="O404">
        <v>0.16420000000000001</v>
      </c>
      <c r="P404">
        <v>1</v>
      </c>
      <c r="Q404">
        <v>132</v>
      </c>
      <c r="R404">
        <v>133</v>
      </c>
    </row>
    <row r="405" spans="1:18" x14ac:dyDescent="0.25">
      <c r="A405">
        <v>404</v>
      </c>
      <c r="B405" s="2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 t="str">
        <f>CHOOSE(H405+1,"Monday","Tuesday","Wednesday","Thursday","Friday","Saturday","Sunday")</f>
        <v>Wednesday</v>
      </c>
      <c r="J405">
        <v>2</v>
      </c>
      <c r="K405">
        <v>0.22</v>
      </c>
      <c r="L405">
        <v>0.2273</v>
      </c>
      <c r="M405">
        <v>0.8</v>
      </c>
      <c r="N405" s="1" t="str">
        <f>IF(Table2[[#This Row],[hum]]&lt;=0.8,"Humid",IF(Table2[[#This Row],[hum]]&gt;=0.8,"High Humid"))</f>
        <v>Humid</v>
      </c>
      <c r="O405">
        <v>0.1343</v>
      </c>
      <c r="P405">
        <v>1</v>
      </c>
      <c r="Q405">
        <v>98</v>
      </c>
      <c r="R405">
        <v>99</v>
      </c>
    </row>
    <row r="406" spans="1:18" x14ac:dyDescent="0.25">
      <c r="A406">
        <v>405</v>
      </c>
      <c r="B406" s="2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 t="str">
        <f>CHOOSE(H406+1,"Monday","Tuesday","Wednesday","Thursday","Friday","Saturday","Sunday")</f>
        <v>Wednesday</v>
      </c>
      <c r="J406">
        <v>2</v>
      </c>
      <c r="K406">
        <v>0.22</v>
      </c>
      <c r="L406">
        <v>0.2727</v>
      </c>
      <c r="M406">
        <v>0.87</v>
      </c>
      <c r="N406" s="1" t="str">
        <f>IF(Table2[[#This Row],[hum]]&lt;=0.8,"Humid",IF(Table2[[#This Row],[hum]]&gt;=0.8,"High Humid"))</f>
        <v>High Humid</v>
      </c>
      <c r="O406">
        <v>0</v>
      </c>
      <c r="P406">
        <v>0</v>
      </c>
      <c r="Q406">
        <v>83</v>
      </c>
      <c r="R406">
        <v>83</v>
      </c>
    </row>
    <row r="407" spans="1:18" x14ac:dyDescent="0.25">
      <c r="A407">
        <v>406</v>
      </c>
      <c r="B407" s="2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 t="str">
        <f>CHOOSE(H407+1,"Monday","Tuesday","Wednesday","Thursday","Friday","Saturday","Sunday")</f>
        <v>Wednesday</v>
      </c>
      <c r="J407">
        <v>2</v>
      </c>
      <c r="K407">
        <v>0.22</v>
      </c>
      <c r="L407">
        <v>0.2424</v>
      </c>
      <c r="M407">
        <v>0.93</v>
      </c>
      <c r="N407" s="1" t="str">
        <f>IF(Table2[[#This Row],[hum]]&lt;=0.8,"Humid",IF(Table2[[#This Row],[hum]]&gt;=0.8,"High Humid"))</f>
        <v>High Humid</v>
      </c>
      <c r="O407">
        <v>0.1045</v>
      </c>
      <c r="P407">
        <v>0</v>
      </c>
      <c r="Q407">
        <v>41</v>
      </c>
      <c r="R407">
        <v>41</v>
      </c>
    </row>
    <row r="408" spans="1:18" x14ac:dyDescent="0.25">
      <c r="A408">
        <v>407</v>
      </c>
      <c r="B408" s="2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 t="str">
        <f>CHOOSE(H408+1,"Monday","Tuesday","Wednesday","Thursday","Friday","Saturday","Sunday")</f>
        <v>Wednesday</v>
      </c>
      <c r="J408">
        <v>2</v>
      </c>
      <c r="K408">
        <v>0.22</v>
      </c>
      <c r="L408">
        <v>0.2576</v>
      </c>
      <c r="M408">
        <v>0.93</v>
      </c>
      <c r="N408" s="1" t="str">
        <f>IF(Table2[[#This Row],[hum]]&lt;=0.8,"Humid",IF(Table2[[#This Row],[hum]]&gt;=0.8,"High Humid"))</f>
        <v>High Humid</v>
      </c>
      <c r="O408">
        <v>8.9599999999999999E-2</v>
      </c>
      <c r="P408">
        <v>0</v>
      </c>
      <c r="Q408">
        <v>33</v>
      </c>
      <c r="R408">
        <v>33</v>
      </c>
    </row>
    <row r="409" spans="1:18" x14ac:dyDescent="0.25">
      <c r="A409">
        <v>408</v>
      </c>
      <c r="B409" s="2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 t="str">
        <f>CHOOSE(H409+1,"Monday","Tuesday","Wednesday","Thursday","Friday","Saturday","Sunday")</f>
        <v>Wednesday</v>
      </c>
      <c r="J409">
        <v>2</v>
      </c>
      <c r="K409">
        <v>0.22</v>
      </c>
      <c r="L409">
        <v>0.2727</v>
      </c>
      <c r="M409">
        <v>0.93</v>
      </c>
      <c r="N409" s="1" t="str">
        <f>IF(Table2[[#This Row],[hum]]&lt;=0.8,"Humid",IF(Table2[[#This Row],[hum]]&gt;=0.8,"High Humid"))</f>
        <v>High Humid</v>
      </c>
      <c r="O409">
        <v>0</v>
      </c>
      <c r="P409">
        <v>1</v>
      </c>
      <c r="Q409">
        <v>19</v>
      </c>
      <c r="R409">
        <v>20</v>
      </c>
    </row>
    <row r="410" spans="1:18" x14ac:dyDescent="0.25">
      <c r="A410">
        <v>409</v>
      </c>
      <c r="B410" s="2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 t="str">
        <f>CHOOSE(H410+1,"Monday","Tuesday","Wednesday","Thursday","Friday","Saturday","Sunday")</f>
        <v>Thursday</v>
      </c>
      <c r="J410">
        <v>2</v>
      </c>
      <c r="K410">
        <v>0.22</v>
      </c>
      <c r="L410">
        <v>0.2727</v>
      </c>
      <c r="M410">
        <v>0.93</v>
      </c>
      <c r="N410" s="1" t="str">
        <f>IF(Table2[[#This Row],[hum]]&lt;=0.8,"Humid",IF(Table2[[#This Row],[hum]]&gt;=0.8,"High Humid"))</f>
        <v>High Humid</v>
      </c>
      <c r="O410">
        <v>0</v>
      </c>
      <c r="P410">
        <v>0</v>
      </c>
      <c r="Q410">
        <v>3</v>
      </c>
      <c r="R410">
        <v>3</v>
      </c>
    </row>
    <row r="411" spans="1:18" x14ac:dyDescent="0.25">
      <c r="A411">
        <v>410</v>
      </c>
      <c r="B411" s="2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 t="str">
        <f>CHOOSE(H411+1,"Monday","Tuesday","Wednesday","Thursday","Friday","Saturday","Sunday")</f>
        <v>Thursday</v>
      </c>
      <c r="J411">
        <v>3</v>
      </c>
      <c r="K411">
        <v>0.22</v>
      </c>
      <c r="L411">
        <v>0.2273</v>
      </c>
      <c r="M411">
        <v>0.93</v>
      </c>
      <c r="N411" s="1" t="str">
        <f>IF(Table2[[#This Row],[hum]]&lt;=0.8,"Humid",IF(Table2[[#This Row],[hum]]&gt;=0.8,"High Humid"))</f>
        <v>High Humid</v>
      </c>
      <c r="O411">
        <v>0.1343</v>
      </c>
      <c r="P411">
        <v>1</v>
      </c>
      <c r="Q411">
        <v>6</v>
      </c>
      <c r="R411">
        <v>7</v>
      </c>
    </row>
    <row r="412" spans="1:18" x14ac:dyDescent="0.25">
      <c r="A412">
        <v>411</v>
      </c>
      <c r="B412" s="2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 t="str">
        <f>CHOOSE(H412+1,"Monday","Tuesday","Wednesday","Thursday","Friday","Saturday","Sunday")</f>
        <v>Thursday</v>
      </c>
      <c r="J412">
        <v>3</v>
      </c>
      <c r="K412">
        <v>0.22</v>
      </c>
      <c r="L412">
        <v>0.2273</v>
      </c>
      <c r="M412">
        <v>0.93</v>
      </c>
      <c r="N412" s="1" t="str">
        <f>IF(Table2[[#This Row],[hum]]&lt;=0.8,"Humid",IF(Table2[[#This Row],[hum]]&gt;=0.8,"High Humid"))</f>
        <v>High Humid</v>
      </c>
      <c r="O412">
        <v>0.1343</v>
      </c>
      <c r="P412">
        <v>0</v>
      </c>
      <c r="Q412">
        <v>3</v>
      </c>
      <c r="R412">
        <v>3</v>
      </c>
    </row>
    <row r="413" spans="1:18" x14ac:dyDescent="0.25">
      <c r="A413">
        <v>412</v>
      </c>
      <c r="B413" s="2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 t="str">
        <f>CHOOSE(H413+1,"Monday","Tuesday","Wednesday","Thursday","Friday","Saturday","Sunday")</f>
        <v>Thursday</v>
      </c>
      <c r="J413">
        <v>3</v>
      </c>
      <c r="K413">
        <v>0.22</v>
      </c>
      <c r="L413">
        <v>0.2273</v>
      </c>
      <c r="M413">
        <v>0.93</v>
      </c>
      <c r="N413" s="1" t="str">
        <f>IF(Table2[[#This Row],[hum]]&lt;=0.8,"Humid",IF(Table2[[#This Row],[hum]]&gt;=0.8,"High Humid"))</f>
        <v>High Humid</v>
      </c>
      <c r="O413">
        <v>0.1343</v>
      </c>
      <c r="P413">
        <v>1</v>
      </c>
      <c r="Q413">
        <v>1</v>
      </c>
      <c r="R413">
        <v>2</v>
      </c>
    </row>
    <row r="414" spans="1:18" x14ac:dyDescent="0.25">
      <c r="A414">
        <v>413</v>
      </c>
      <c r="B414" s="2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 t="str">
        <f>CHOOSE(H414+1,"Monday","Tuesday","Wednesday","Thursday","Friday","Saturday","Sunday")</f>
        <v>Thursday</v>
      </c>
      <c r="J414">
        <v>2</v>
      </c>
      <c r="K414">
        <v>0.22</v>
      </c>
      <c r="L414">
        <v>0.2576</v>
      </c>
      <c r="M414">
        <v>0.93</v>
      </c>
      <c r="N414" s="1" t="str">
        <f>IF(Table2[[#This Row],[hum]]&lt;=0.8,"Humid",IF(Table2[[#This Row],[hum]]&gt;=0.8,"High Humid"))</f>
        <v>High Humid</v>
      </c>
      <c r="O414">
        <v>8.9599999999999999E-2</v>
      </c>
      <c r="P414">
        <v>0</v>
      </c>
      <c r="Q414">
        <v>7</v>
      </c>
      <c r="R414">
        <v>7</v>
      </c>
    </row>
    <row r="415" spans="1:18" x14ac:dyDescent="0.25">
      <c r="A415">
        <v>414</v>
      </c>
      <c r="B415" s="2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 t="str">
        <f>CHOOSE(H415+1,"Monday","Tuesday","Wednesday","Thursday","Friday","Saturday","Sunday")</f>
        <v>Thursday</v>
      </c>
      <c r="J415">
        <v>2</v>
      </c>
      <c r="K415">
        <v>0.22</v>
      </c>
      <c r="L415">
        <v>0.2576</v>
      </c>
      <c r="M415">
        <v>0.93</v>
      </c>
      <c r="N415" s="1" t="str">
        <f>IF(Table2[[#This Row],[hum]]&lt;=0.8,"Humid",IF(Table2[[#This Row],[hum]]&gt;=0.8,"High Humid"))</f>
        <v>High Humid</v>
      </c>
      <c r="O415">
        <v>8.9599999999999999E-2</v>
      </c>
      <c r="P415">
        <v>0</v>
      </c>
      <c r="Q415">
        <v>32</v>
      </c>
      <c r="R415">
        <v>32</v>
      </c>
    </row>
    <row r="416" spans="1:18" x14ac:dyDescent="0.25">
      <c r="A416">
        <v>415</v>
      </c>
      <c r="B416" s="2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 t="str">
        <f>CHOOSE(H416+1,"Monday","Tuesday","Wednesday","Thursday","Friday","Saturday","Sunday")</f>
        <v>Thursday</v>
      </c>
      <c r="J416">
        <v>2</v>
      </c>
      <c r="K416">
        <v>0.24</v>
      </c>
      <c r="L416">
        <v>0.2576</v>
      </c>
      <c r="M416">
        <v>0.92</v>
      </c>
      <c r="N416" s="1" t="str">
        <f>IF(Table2[[#This Row],[hum]]&lt;=0.8,"Humid",IF(Table2[[#This Row],[hum]]&gt;=0.8,"High Humid"))</f>
        <v>High Humid</v>
      </c>
      <c r="O416">
        <v>0.1045</v>
      </c>
      <c r="P416">
        <v>1</v>
      </c>
      <c r="Q416">
        <v>89</v>
      </c>
      <c r="R416">
        <v>90</v>
      </c>
    </row>
    <row r="417" spans="1:18" x14ac:dyDescent="0.25">
      <c r="A417">
        <v>416</v>
      </c>
      <c r="B417" s="2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 t="str">
        <f>CHOOSE(H417+1,"Monday","Tuesday","Wednesday","Thursday","Friday","Saturday","Sunday")</f>
        <v>Thursday</v>
      </c>
      <c r="J417">
        <v>2</v>
      </c>
      <c r="K417">
        <v>0.24</v>
      </c>
      <c r="L417">
        <v>0.2576</v>
      </c>
      <c r="M417">
        <v>0.93</v>
      </c>
      <c r="N417" s="1" t="str">
        <f>IF(Table2[[#This Row],[hum]]&lt;=0.8,"Humid",IF(Table2[[#This Row],[hum]]&gt;=0.8,"High Humid"))</f>
        <v>High Humid</v>
      </c>
      <c r="O417">
        <v>0.1045</v>
      </c>
      <c r="P417">
        <v>1</v>
      </c>
      <c r="Q417">
        <v>196</v>
      </c>
      <c r="R417">
        <v>197</v>
      </c>
    </row>
    <row r="418" spans="1:18" x14ac:dyDescent="0.25">
      <c r="A418">
        <v>417</v>
      </c>
      <c r="B418" s="2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 t="str">
        <f>CHOOSE(H418+1,"Monday","Tuesday","Wednesday","Thursday","Friday","Saturday","Sunday")</f>
        <v>Thursday</v>
      </c>
      <c r="J418">
        <v>2</v>
      </c>
      <c r="K418">
        <v>0.24</v>
      </c>
      <c r="L418">
        <v>0.2576</v>
      </c>
      <c r="M418">
        <v>0.93</v>
      </c>
      <c r="N418" s="1" t="str">
        <f>IF(Table2[[#This Row],[hum]]&lt;=0.8,"Humid",IF(Table2[[#This Row],[hum]]&gt;=0.8,"High Humid"))</f>
        <v>High Humid</v>
      </c>
      <c r="O418">
        <v>0.1045</v>
      </c>
      <c r="P418">
        <v>2</v>
      </c>
      <c r="Q418">
        <v>107</v>
      </c>
      <c r="R418">
        <v>109</v>
      </c>
    </row>
    <row r="419" spans="1:18" x14ac:dyDescent="0.25">
      <c r="A419">
        <v>418</v>
      </c>
      <c r="B419" s="2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 t="str">
        <f>CHOOSE(H419+1,"Monday","Tuesday","Wednesday","Thursday","Friday","Saturday","Sunday")</f>
        <v>Thursday</v>
      </c>
      <c r="J419">
        <v>2</v>
      </c>
      <c r="K419">
        <v>0.26</v>
      </c>
      <c r="L419">
        <v>0.2727</v>
      </c>
      <c r="M419">
        <v>0.93</v>
      </c>
      <c r="N419" s="1" t="str">
        <f>IF(Table2[[#This Row],[hum]]&lt;=0.8,"Humid",IF(Table2[[#This Row],[hum]]&gt;=0.8,"High Humid"))</f>
        <v>High Humid</v>
      </c>
      <c r="O419">
        <v>0.1343</v>
      </c>
      <c r="P419">
        <v>1</v>
      </c>
      <c r="Q419">
        <v>46</v>
      </c>
      <c r="R419">
        <v>47</v>
      </c>
    </row>
    <row r="420" spans="1:18" x14ac:dyDescent="0.25">
      <c r="A420">
        <v>419</v>
      </c>
      <c r="B420" s="2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 t="str">
        <f>CHOOSE(H420+1,"Monday","Tuesday","Wednesday","Thursday","Friday","Saturday","Sunday")</f>
        <v>Thursday</v>
      </c>
      <c r="J420">
        <v>2</v>
      </c>
      <c r="K420">
        <v>0.28000000000000003</v>
      </c>
      <c r="L420">
        <v>0.30299999999999999</v>
      </c>
      <c r="M420">
        <v>0.87</v>
      </c>
      <c r="N420" s="1" t="str">
        <f>IF(Table2[[#This Row],[hum]]&lt;=0.8,"Humid",IF(Table2[[#This Row],[hum]]&gt;=0.8,"High Humid"))</f>
        <v>High Humid</v>
      </c>
      <c r="O420">
        <v>8.9599999999999999E-2</v>
      </c>
      <c r="P420">
        <v>5</v>
      </c>
      <c r="Q420">
        <v>47</v>
      </c>
      <c r="R420">
        <v>52</v>
      </c>
    </row>
    <row r="421" spans="1:18" x14ac:dyDescent="0.25">
      <c r="A421">
        <v>420</v>
      </c>
      <c r="B421" s="2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 t="str">
        <f>CHOOSE(H421+1,"Monday","Tuesday","Wednesday","Thursday","Friday","Saturday","Sunday")</f>
        <v>Thursday</v>
      </c>
      <c r="J421">
        <v>2</v>
      </c>
      <c r="K421">
        <v>0.3</v>
      </c>
      <c r="L421">
        <v>0.31819999999999998</v>
      </c>
      <c r="M421">
        <v>0.81</v>
      </c>
      <c r="N421" s="1" t="str">
        <f>IF(Table2[[#This Row],[hum]]&lt;=0.8,"Humid",IF(Table2[[#This Row],[hum]]&gt;=0.8,"High Humid"))</f>
        <v>High Humid</v>
      </c>
      <c r="O421">
        <v>8.9599999999999999E-2</v>
      </c>
      <c r="P421">
        <v>5</v>
      </c>
      <c r="Q421">
        <v>65</v>
      </c>
      <c r="R421">
        <v>70</v>
      </c>
    </row>
    <row r="422" spans="1:18" x14ac:dyDescent="0.25">
      <c r="A422">
        <v>421</v>
      </c>
      <c r="B422" s="2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 t="str">
        <f>CHOOSE(H422+1,"Monday","Tuesday","Wednesday","Thursday","Friday","Saturday","Sunday")</f>
        <v>Thursday</v>
      </c>
      <c r="J422">
        <v>1</v>
      </c>
      <c r="K422">
        <v>0.4</v>
      </c>
      <c r="L422">
        <v>0.40910000000000002</v>
      </c>
      <c r="M422">
        <v>0.62</v>
      </c>
      <c r="N422" s="1" t="str">
        <f>IF(Table2[[#This Row],[hum]]&lt;=0.8,"Humid",IF(Table2[[#This Row],[hum]]&gt;=0.8,"High Humid"))</f>
        <v>Humid</v>
      </c>
      <c r="O422">
        <v>0.28360000000000002</v>
      </c>
      <c r="P422">
        <v>11</v>
      </c>
      <c r="Q422">
        <v>67</v>
      </c>
      <c r="R422">
        <v>78</v>
      </c>
    </row>
    <row r="423" spans="1:18" x14ac:dyDescent="0.25">
      <c r="A423">
        <v>422</v>
      </c>
      <c r="B423" s="2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 t="str">
        <f>CHOOSE(H423+1,"Monday","Tuesday","Wednesday","Thursday","Friday","Saturday","Sunday")</f>
        <v>Thursday</v>
      </c>
      <c r="J423">
        <v>1</v>
      </c>
      <c r="K423">
        <v>0.4</v>
      </c>
      <c r="L423">
        <v>0.40910000000000002</v>
      </c>
      <c r="M423">
        <v>0.57999999999999996</v>
      </c>
      <c r="N423" s="1" t="str">
        <f>IF(Table2[[#This Row],[hum]]&lt;=0.8,"Humid",IF(Table2[[#This Row],[hum]]&gt;=0.8,"High Humid"))</f>
        <v>Humid</v>
      </c>
      <c r="O423">
        <v>0.25369999999999998</v>
      </c>
      <c r="P423">
        <v>7</v>
      </c>
      <c r="Q423">
        <v>68</v>
      </c>
      <c r="R423">
        <v>75</v>
      </c>
    </row>
    <row r="424" spans="1:18" x14ac:dyDescent="0.25">
      <c r="A424">
        <v>423</v>
      </c>
      <c r="B424" s="2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 t="str">
        <f>CHOOSE(H424+1,"Monday","Tuesday","Wednesday","Thursday","Friday","Saturday","Sunday")</f>
        <v>Thursday</v>
      </c>
      <c r="J424">
        <v>1</v>
      </c>
      <c r="K424">
        <v>0.4</v>
      </c>
      <c r="L424">
        <v>0.40910000000000002</v>
      </c>
      <c r="M424">
        <v>0.54</v>
      </c>
      <c r="N424" s="1" t="str">
        <f>IF(Table2[[#This Row],[hum]]&lt;=0.8,"Humid",IF(Table2[[#This Row],[hum]]&gt;=0.8,"High Humid"))</f>
        <v>Humid</v>
      </c>
      <c r="O424">
        <v>0.28360000000000002</v>
      </c>
      <c r="P424">
        <v>4</v>
      </c>
      <c r="Q424">
        <v>78</v>
      </c>
      <c r="R424">
        <v>82</v>
      </c>
    </row>
    <row r="425" spans="1:18" x14ac:dyDescent="0.25">
      <c r="A425">
        <v>424</v>
      </c>
      <c r="B425" s="2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 t="str">
        <f>CHOOSE(H425+1,"Monday","Tuesday","Wednesday","Thursday","Friday","Saturday","Sunday")</f>
        <v>Thursday</v>
      </c>
      <c r="J425">
        <v>1</v>
      </c>
      <c r="K425">
        <v>0.38</v>
      </c>
      <c r="L425">
        <v>0.39389999999999997</v>
      </c>
      <c r="M425">
        <v>0.57999999999999996</v>
      </c>
      <c r="N425" s="1" t="str">
        <f>IF(Table2[[#This Row],[hum]]&lt;=0.8,"Humid",IF(Table2[[#This Row],[hum]]&gt;=0.8,"High Humid"))</f>
        <v>Humid</v>
      </c>
      <c r="O425">
        <v>0.3881</v>
      </c>
      <c r="P425">
        <v>10</v>
      </c>
      <c r="Q425">
        <v>94</v>
      </c>
      <c r="R425">
        <v>104</v>
      </c>
    </row>
    <row r="426" spans="1:18" x14ac:dyDescent="0.25">
      <c r="A426">
        <v>425</v>
      </c>
      <c r="B426" s="2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 t="str">
        <f>CHOOSE(H426+1,"Monday","Tuesday","Wednesday","Thursday","Friday","Saturday","Sunday")</f>
        <v>Thursday</v>
      </c>
      <c r="J426">
        <v>1</v>
      </c>
      <c r="K426">
        <v>0.36</v>
      </c>
      <c r="L426">
        <v>0.33329999999999999</v>
      </c>
      <c r="M426">
        <v>0.56999999999999995</v>
      </c>
      <c r="N426" s="1" t="str">
        <f>IF(Table2[[#This Row],[hum]]&lt;=0.8,"Humid",IF(Table2[[#This Row],[hum]]&gt;=0.8,"High Humid"))</f>
        <v>Humid</v>
      </c>
      <c r="O426">
        <v>0.32840000000000003</v>
      </c>
      <c r="P426">
        <v>7</v>
      </c>
      <c r="Q426">
        <v>190</v>
      </c>
      <c r="R426">
        <v>197</v>
      </c>
    </row>
    <row r="427" spans="1:18" x14ac:dyDescent="0.25">
      <c r="A427">
        <v>426</v>
      </c>
      <c r="B427" s="2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 t="str">
        <f>CHOOSE(H427+1,"Monday","Tuesday","Wednesday","Thursday","Friday","Saturday","Sunday")</f>
        <v>Thursday</v>
      </c>
      <c r="J427">
        <v>1</v>
      </c>
      <c r="K427">
        <v>0.34</v>
      </c>
      <c r="L427">
        <v>0.31819999999999998</v>
      </c>
      <c r="M427">
        <v>0.61</v>
      </c>
      <c r="N427" s="1" t="str">
        <f>IF(Table2[[#This Row],[hum]]&lt;=0.8,"Humid",IF(Table2[[#This Row],[hum]]&gt;=0.8,"High Humid"))</f>
        <v>Humid</v>
      </c>
      <c r="O427">
        <v>0.28360000000000002</v>
      </c>
      <c r="P427">
        <v>5</v>
      </c>
      <c r="Q427">
        <v>156</v>
      </c>
      <c r="R427">
        <v>161</v>
      </c>
    </row>
    <row r="428" spans="1:18" x14ac:dyDescent="0.25">
      <c r="A428">
        <v>427</v>
      </c>
      <c r="B428" s="2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 t="str">
        <f>CHOOSE(H428+1,"Monday","Tuesday","Wednesday","Thursday","Friday","Saturday","Sunday")</f>
        <v>Thursday</v>
      </c>
      <c r="J428">
        <v>1</v>
      </c>
      <c r="K428">
        <v>0.32</v>
      </c>
      <c r="L428">
        <v>0.28789999999999999</v>
      </c>
      <c r="M428">
        <v>0.56999999999999995</v>
      </c>
      <c r="N428" s="1" t="str">
        <f>IF(Table2[[#This Row],[hum]]&lt;=0.8,"Humid",IF(Table2[[#This Row],[hum]]&gt;=0.8,"High Humid"))</f>
        <v>Humid</v>
      </c>
      <c r="O428">
        <v>0.41789999999999999</v>
      </c>
      <c r="P428">
        <v>4</v>
      </c>
      <c r="Q428">
        <v>108</v>
      </c>
      <c r="R428">
        <v>112</v>
      </c>
    </row>
    <row r="429" spans="1:18" x14ac:dyDescent="0.25">
      <c r="A429">
        <v>428</v>
      </c>
      <c r="B429" s="2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 t="str">
        <f>CHOOSE(H429+1,"Monday","Tuesday","Wednesday","Thursday","Friday","Saturday","Sunday")</f>
        <v>Thursday</v>
      </c>
      <c r="J429">
        <v>1</v>
      </c>
      <c r="K429">
        <v>0.32</v>
      </c>
      <c r="L429">
        <v>0.30299999999999999</v>
      </c>
      <c r="M429">
        <v>0.49</v>
      </c>
      <c r="N429" s="1" t="str">
        <f>IF(Table2[[#This Row],[hum]]&lt;=0.8,"Humid",IF(Table2[[#This Row],[hum]]&gt;=0.8,"High Humid"))</f>
        <v>Humid</v>
      </c>
      <c r="O429">
        <v>0.29849999999999999</v>
      </c>
      <c r="P429">
        <v>2</v>
      </c>
      <c r="Q429">
        <v>74</v>
      </c>
      <c r="R429">
        <v>76</v>
      </c>
    </row>
    <row r="430" spans="1:18" x14ac:dyDescent="0.25">
      <c r="A430">
        <v>429</v>
      </c>
      <c r="B430" s="2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 t="str">
        <f>CHOOSE(H430+1,"Monday","Tuesday","Wednesday","Thursday","Friday","Saturday","Sunday")</f>
        <v>Thursday</v>
      </c>
      <c r="J430">
        <v>1</v>
      </c>
      <c r="K430">
        <v>0.32</v>
      </c>
      <c r="L430">
        <v>0.28789999999999999</v>
      </c>
      <c r="M430">
        <v>0.49</v>
      </c>
      <c r="N430" s="1" t="str">
        <f>IF(Table2[[#This Row],[hum]]&lt;=0.8,"Humid",IF(Table2[[#This Row],[hum]]&gt;=0.8,"High Humid"))</f>
        <v>Humid</v>
      </c>
      <c r="O430">
        <v>0.41789999999999999</v>
      </c>
      <c r="P430">
        <v>4</v>
      </c>
      <c r="Q430">
        <v>55</v>
      </c>
      <c r="R430">
        <v>59</v>
      </c>
    </row>
    <row r="431" spans="1:18" x14ac:dyDescent="0.25">
      <c r="A431">
        <v>430</v>
      </c>
      <c r="B431" s="2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 t="str">
        <f>CHOOSE(H431+1,"Monday","Tuesday","Wednesday","Thursday","Friday","Saturday","Sunday")</f>
        <v>Thursday</v>
      </c>
      <c r="J431">
        <v>1</v>
      </c>
      <c r="K431">
        <v>0.3</v>
      </c>
      <c r="L431">
        <v>0.30299999999999999</v>
      </c>
      <c r="M431">
        <v>0.52</v>
      </c>
      <c r="N431" s="1" t="str">
        <f>IF(Table2[[#This Row],[hum]]&lt;=0.8,"Humid",IF(Table2[[#This Row],[hum]]&gt;=0.8,"High Humid"))</f>
        <v>Humid</v>
      </c>
      <c r="O431">
        <v>0.16420000000000001</v>
      </c>
      <c r="P431">
        <v>6</v>
      </c>
      <c r="Q431">
        <v>53</v>
      </c>
      <c r="R431">
        <v>59</v>
      </c>
    </row>
    <row r="432" spans="1:18" x14ac:dyDescent="0.25">
      <c r="A432">
        <v>431</v>
      </c>
      <c r="B432" s="2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 t="str">
        <f>CHOOSE(H432+1,"Monday","Tuesday","Wednesday","Thursday","Friday","Saturday","Sunday")</f>
        <v>Thursday</v>
      </c>
      <c r="J432">
        <v>1</v>
      </c>
      <c r="K432">
        <v>0.3</v>
      </c>
      <c r="L432">
        <v>0.2727</v>
      </c>
      <c r="M432">
        <v>0.52</v>
      </c>
      <c r="N432" s="1" t="str">
        <f>IF(Table2[[#This Row],[hum]]&lt;=0.8,"Humid",IF(Table2[[#This Row],[hum]]&gt;=0.8,"High Humid"))</f>
        <v>Humid</v>
      </c>
      <c r="O432">
        <v>0.4627</v>
      </c>
      <c r="P432">
        <v>1</v>
      </c>
      <c r="Q432">
        <v>27</v>
      </c>
      <c r="R432">
        <v>28</v>
      </c>
    </row>
    <row r="433" spans="1:18" x14ac:dyDescent="0.25">
      <c r="A433">
        <v>432</v>
      </c>
      <c r="B433" s="2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 t="str">
        <f>CHOOSE(H433+1,"Monday","Tuesday","Wednesday","Thursday","Friday","Saturday","Sunday")</f>
        <v>Friday</v>
      </c>
      <c r="J433">
        <v>1</v>
      </c>
      <c r="K433">
        <v>0.26</v>
      </c>
      <c r="L433">
        <v>0.2273</v>
      </c>
      <c r="M433">
        <v>0.56000000000000005</v>
      </c>
      <c r="N433" s="1" t="str">
        <f>IF(Table2[[#This Row],[hum]]&lt;=0.8,"Humid",IF(Table2[[#This Row],[hum]]&gt;=0.8,"High Humid"))</f>
        <v>Humid</v>
      </c>
      <c r="O433">
        <v>0.3881</v>
      </c>
      <c r="P433">
        <v>5</v>
      </c>
      <c r="Q433">
        <v>8</v>
      </c>
      <c r="R433">
        <v>13</v>
      </c>
    </row>
    <row r="434" spans="1:18" x14ac:dyDescent="0.25">
      <c r="A434">
        <v>433</v>
      </c>
      <c r="B434" s="2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 t="str">
        <f>CHOOSE(H434+1,"Monday","Tuesday","Wednesday","Thursday","Friday","Saturday","Sunday")</f>
        <v>Friday</v>
      </c>
      <c r="J434">
        <v>1</v>
      </c>
      <c r="K434">
        <v>0.26</v>
      </c>
      <c r="L434">
        <v>0.2727</v>
      </c>
      <c r="M434">
        <v>0.56000000000000005</v>
      </c>
      <c r="N434" s="1" t="str">
        <f>IF(Table2[[#This Row],[hum]]&lt;=0.8,"Humid",IF(Table2[[#This Row],[hum]]&gt;=0.8,"High Humid"))</f>
        <v>Humid</v>
      </c>
      <c r="O434">
        <v>0</v>
      </c>
      <c r="P434">
        <v>2</v>
      </c>
      <c r="Q434">
        <v>3</v>
      </c>
      <c r="R434">
        <v>5</v>
      </c>
    </row>
    <row r="435" spans="1:18" x14ac:dyDescent="0.25">
      <c r="A435">
        <v>434</v>
      </c>
      <c r="B435" s="2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 t="str">
        <f>CHOOSE(H435+1,"Monday","Tuesday","Wednesday","Thursday","Friday","Saturday","Sunday")</f>
        <v>Friday</v>
      </c>
      <c r="J435">
        <v>1</v>
      </c>
      <c r="K435">
        <v>0.26</v>
      </c>
      <c r="L435">
        <v>0.2727</v>
      </c>
      <c r="M435">
        <v>0.56000000000000005</v>
      </c>
      <c r="N435" s="1" t="str">
        <f>IF(Table2[[#This Row],[hum]]&lt;=0.8,"Humid",IF(Table2[[#This Row],[hum]]&gt;=0.8,"High Humid"))</f>
        <v>Humid</v>
      </c>
      <c r="O435">
        <v>0</v>
      </c>
      <c r="P435">
        <v>0</v>
      </c>
      <c r="Q435">
        <v>2</v>
      </c>
      <c r="R435">
        <v>2</v>
      </c>
    </row>
    <row r="436" spans="1:18" x14ac:dyDescent="0.25">
      <c r="A436">
        <v>435</v>
      </c>
      <c r="B436" s="2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 t="str">
        <f>CHOOSE(H436+1,"Monday","Tuesday","Wednesday","Thursday","Friday","Saturday","Sunday")</f>
        <v>Friday</v>
      </c>
      <c r="J436">
        <v>1</v>
      </c>
      <c r="K436">
        <v>0.26</v>
      </c>
      <c r="L436">
        <v>0.2576</v>
      </c>
      <c r="M436">
        <v>0.56000000000000005</v>
      </c>
      <c r="N436" s="1" t="str">
        <f>IF(Table2[[#This Row],[hum]]&lt;=0.8,"Humid",IF(Table2[[#This Row],[hum]]&gt;=0.8,"High Humid"))</f>
        <v>Humid</v>
      </c>
      <c r="O436">
        <v>0.16420000000000001</v>
      </c>
      <c r="P436">
        <v>0</v>
      </c>
      <c r="Q436">
        <v>1</v>
      </c>
      <c r="R436">
        <v>1</v>
      </c>
    </row>
    <row r="437" spans="1:18" x14ac:dyDescent="0.25">
      <c r="A437">
        <v>436</v>
      </c>
      <c r="B437" s="2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 t="str">
        <f>CHOOSE(H437+1,"Monday","Tuesday","Wednesday","Thursday","Friday","Saturday","Sunday")</f>
        <v>Friday</v>
      </c>
      <c r="J437">
        <v>1</v>
      </c>
      <c r="K437">
        <v>0.26</v>
      </c>
      <c r="L437">
        <v>0.2576</v>
      </c>
      <c r="M437">
        <v>0.56000000000000005</v>
      </c>
      <c r="N437" s="1" t="str">
        <f>IF(Table2[[#This Row],[hum]]&lt;=0.8,"Humid",IF(Table2[[#This Row],[hum]]&gt;=0.8,"High Humid"))</f>
        <v>Humid</v>
      </c>
      <c r="O437">
        <v>0.16420000000000001</v>
      </c>
      <c r="P437">
        <v>0</v>
      </c>
      <c r="Q437">
        <v>1</v>
      </c>
      <c r="R437">
        <v>1</v>
      </c>
    </row>
    <row r="438" spans="1:18" x14ac:dyDescent="0.25">
      <c r="A438">
        <v>437</v>
      </c>
      <c r="B438" s="2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 t="str">
        <f>CHOOSE(H438+1,"Monday","Tuesday","Wednesday","Thursday","Friday","Saturday","Sunday")</f>
        <v>Friday</v>
      </c>
      <c r="J438">
        <v>1</v>
      </c>
      <c r="K438">
        <v>0.24</v>
      </c>
      <c r="L438">
        <v>0.2273</v>
      </c>
      <c r="M438">
        <v>0.6</v>
      </c>
      <c r="N438" s="1" t="str">
        <f>IF(Table2[[#This Row],[hum]]&lt;=0.8,"Humid",IF(Table2[[#This Row],[hum]]&gt;=0.8,"High Humid"))</f>
        <v>Humid</v>
      </c>
      <c r="O438">
        <v>0.22389999999999999</v>
      </c>
      <c r="P438">
        <v>0</v>
      </c>
      <c r="Q438">
        <v>6</v>
      </c>
      <c r="R438">
        <v>6</v>
      </c>
    </row>
    <row r="439" spans="1:18" x14ac:dyDescent="0.25">
      <c r="A439">
        <v>438</v>
      </c>
      <c r="B439" s="2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 t="str">
        <f>CHOOSE(H439+1,"Monday","Tuesday","Wednesday","Thursday","Friday","Saturday","Sunday")</f>
        <v>Friday</v>
      </c>
      <c r="J439">
        <v>1</v>
      </c>
      <c r="K439">
        <v>0.22</v>
      </c>
      <c r="L439">
        <v>0.21210000000000001</v>
      </c>
      <c r="M439">
        <v>0.6</v>
      </c>
      <c r="N439" s="1" t="str">
        <f>IF(Table2[[#This Row],[hum]]&lt;=0.8,"Humid",IF(Table2[[#This Row],[hum]]&gt;=0.8,"High Humid"))</f>
        <v>Humid</v>
      </c>
      <c r="O439">
        <v>0.22389999999999999</v>
      </c>
      <c r="P439">
        <v>0</v>
      </c>
      <c r="Q439">
        <v>35</v>
      </c>
      <c r="R439">
        <v>35</v>
      </c>
    </row>
    <row r="440" spans="1:18" x14ac:dyDescent="0.25">
      <c r="A440">
        <v>439</v>
      </c>
      <c r="B440" s="2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 t="str">
        <f>CHOOSE(H440+1,"Monday","Tuesday","Wednesday","Thursday","Friday","Saturday","Sunday")</f>
        <v>Friday</v>
      </c>
      <c r="J440">
        <v>1</v>
      </c>
      <c r="K440">
        <v>0.22</v>
      </c>
      <c r="L440">
        <v>0.21210000000000001</v>
      </c>
      <c r="M440">
        <v>0.55000000000000004</v>
      </c>
      <c r="N440" s="1" t="str">
        <f>IF(Table2[[#This Row],[hum]]&lt;=0.8,"Humid",IF(Table2[[#This Row],[hum]]&gt;=0.8,"High Humid"))</f>
        <v>Humid</v>
      </c>
      <c r="O440">
        <v>0.22389999999999999</v>
      </c>
      <c r="P440">
        <v>1</v>
      </c>
      <c r="Q440">
        <v>100</v>
      </c>
      <c r="R440">
        <v>101</v>
      </c>
    </row>
    <row r="441" spans="1:18" x14ac:dyDescent="0.25">
      <c r="A441">
        <v>440</v>
      </c>
      <c r="B441" s="2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 t="str">
        <f>CHOOSE(H441+1,"Monday","Tuesday","Wednesday","Thursday","Friday","Saturday","Sunday")</f>
        <v>Friday</v>
      </c>
      <c r="J441">
        <v>1</v>
      </c>
      <c r="K441">
        <v>0.22</v>
      </c>
      <c r="L441">
        <v>0.21210000000000001</v>
      </c>
      <c r="M441">
        <v>0.55000000000000004</v>
      </c>
      <c r="N441" s="1" t="str">
        <f>IF(Table2[[#This Row],[hum]]&lt;=0.8,"Humid",IF(Table2[[#This Row],[hum]]&gt;=0.8,"High Humid"))</f>
        <v>Humid</v>
      </c>
      <c r="O441">
        <v>0.28360000000000002</v>
      </c>
      <c r="P441">
        <v>2</v>
      </c>
      <c r="Q441">
        <v>247</v>
      </c>
      <c r="R441">
        <v>249</v>
      </c>
    </row>
    <row r="442" spans="1:18" x14ac:dyDescent="0.25">
      <c r="A442">
        <v>441</v>
      </c>
      <c r="B442" s="2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 t="str">
        <f>CHOOSE(H442+1,"Monday","Tuesday","Wednesday","Thursday","Friday","Saturday","Sunday")</f>
        <v>Friday</v>
      </c>
      <c r="J442">
        <v>2</v>
      </c>
      <c r="K442">
        <v>0.24</v>
      </c>
      <c r="L442">
        <v>0.2273</v>
      </c>
      <c r="M442">
        <v>0.52</v>
      </c>
      <c r="N442" s="1" t="str">
        <f>IF(Table2[[#This Row],[hum]]&lt;=0.8,"Humid",IF(Table2[[#This Row],[hum]]&gt;=0.8,"High Humid"))</f>
        <v>Humid</v>
      </c>
      <c r="O442">
        <v>0.22389999999999999</v>
      </c>
      <c r="P442">
        <v>3</v>
      </c>
      <c r="Q442">
        <v>140</v>
      </c>
      <c r="R442">
        <v>143</v>
      </c>
    </row>
    <row r="443" spans="1:18" x14ac:dyDescent="0.25">
      <c r="A443">
        <v>442</v>
      </c>
      <c r="B443" s="2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 t="str">
        <f>CHOOSE(H443+1,"Monday","Tuesday","Wednesday","Thursday","Friday","Saturday","Sunday")</f>
        <v>Friday</v>
      </c>
      <c r="J443">
        <v>1</v>
      </c>
      <c r="K443">
        <v>0.26</v>
      </c>
      <c r="L443">
        <v>0.2273</v>
      </c>
      <c r="M443">
        <v>0.48</v>
      </c>
      <c r="N443" s="1" t="str">
        <f>IF(Table2[[#This Row],[hum]]&lt;=0.8,"Humid",IF(Table2[[#This Row],[hum]]&gt;=0.8,"High Humid"))</f>
        <v>Humid</v>
      </c>
      <c r="O443">
        <v>0.29849999999999999</v>
      </c>
      <c r="P443">
        <v>1</v>
      </c>
      <c r="Q443">
        <v>56</v>
      </c>
      <c r="R443">
        <v>57</v>
      </c>
    </row>
    <row r="444" spans="1:18" x14ac:dyDescent="0.25">
      <c r="A444">
        <v>443</v>
      </c>
      <c r="B444" s="2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 t="str">
        <f>CHOOSE(H444+1,"Monday","Tuesday","Wednesday","Thursday","Friday","Saturday","Sunday")</f>
        <v>Friday</v>
      </c>
      <c r="J444">
        <v>2</v>
      </c>
      <c r="K444">
        <v>0.28000000000000003</v>
      </c>
      <c r="L444">
        <v>0.2727</v>
      </c>
      <c r="M444">
        <v>0.45</v>
      </c>
      <c r="N444" s="1" t="str">
        <f>IF(Table2[[#This Row],[hum]]&lt;=0.8,"Humid",IF(Table2[[#This Row],[hum]]&gt;=0.8,"High Humid"))</f>
        <v>Humid</v>
      </c>
      <c r="O444">
        <v>0.16420000000000001</v>
      </c>
      <c r="P444">
        <v>5</v>
      </c>
      <c r="Q444">
        <v>63</v>
      </c>
      <c r="R444">
        <v>68</v>
      </c>
    </row>
    <row r="445" spans="1:18" x14ac:dyDescent="0.25">
      <c r="A445">
        <v>444</v>
      </c>
      <c r="B445" s="2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 t="str">
        <f>CHOOSE(H445+1,"Monday","Tuesday","Wednesday","Thursday","Friday","Saturday","Sunday")</f>
        <v>Friday</v>
      </c>
      <c r="J445">
        <v>2</v>
      </c>
      <c r="K445">
        <v>0.3</v>
      </c>
      <c r="L445">
        <v>0.33329999999999999</v>
      </c>
      <c r="M445">
        <v>0.42</v>
      </c>
      <c r="N445" s="1" t="str">
        <f>IF(Table2[[#This Row],[hum]]&lt;=0.8,"Humid",IF(Table2[[#This Row],[hum]]&gt;=0.8,"High Humid"))</f>
        <v>Humid</v>
      </c>
      <c r="O445">
        <v>0</v>
      </c>
      <c r="P445">
        <v>7</v>
      </c>
      <c r="Q445">
        <v>77</v>
      </c>
      <c r="R445">
        <v>84</v>
      </c>
    </row>
    <row r="446" spans="1:18" x14ac:dyDescent="0.25">
      <c r="A446">
        <v>445</v>
      </c>
      <c r="B446" s="2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 t="str">
        <f>CHOOSE(H446+1,"Monday","Tuesday","Wednesday","Thursday","Friday","Saturday","Sunday")</f>
        <v>Friday</v>
      </c>
      <c r="J446">
        <v>2</v>
      </c>
      <c r="K446">
        <v>0.28000000000000003</v>
      </c>
      <c r="L446">
        <v>0.28789999999999999</v>
      </c>
      <c r="M446">
        <v>0.45</v>
      </c>
      <c r="N446" s="1" t="str">
        <f>IF(Table2[[#This Row],[hum]]&lt;=0.8,"Humid",IF(Table2[[#This Row],[hum]]&gt;=0.8,"High Humid"))</f>
        <v>Humid</v>
      </c>
      <c r="O446">
        <v>0.1045</v>
      </c>
      <c r="P446">
        <v>12</v>
      </c>
      <c r="Q446">
        <v>86</v>
      </c>
      <c r="R446">
        <v>98</v>
      </c>
    </row>
    <row r="447" spans="1:18" x14ac:dyDescent="0.25">
      <c r="A447">
        <v>446</v>
      </c>
      <c r="B447" s="2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 t="str">
        <f>CHOOSE(H447+1,"Monday","Tuesday","Wednesday","Thursday","Friday","Saturday","Sunday")</f>
        <v>Friday</v>
      </c>
      <c r="J447">
        <v>2</v>
      </c>
      <c r="K447">
        <v>0.3</v>
      </c>
      <c r="L447">
        <v>0.30299999999999999</v>
      </c>
      <c r="M447">
        <v>0.45</v>
      </c>
      <c r="N447" s="1" t="str">
        <f>IF(Table2[[#This Row],[hum]]&lt;=0.8,"Humid",IF(Table2[[#This Row],[hum]]&gt;=0.8,"High Humid"))</f>
        <v>Humid</v>
      </c>
      <c r="O447">
        <v>0.1343</v>
      </c>
      <c r="P447">
        <v>6</v>
      </c>
      <c r="Q447">
        <v>75</v>
      </c>
      <c r="R447">
        <v>81</v>
      </c>
    </row>
    <row r="448" spans="1:18" x14ac:dyDescent="0.25">
      <c r="A448">
        <v>447</v>
      </c>
      <c r="B448" s="2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 t="str">
        <f>CHOOSE(H448+1,"Monday","Tuesday","Wednesday","Thursday","Friday","Saturday","Sunday")</f>
        <v>Friday</v>
      </c>
      <c r="J448">
        <v>2</v>
      </c>
      <c r="K448">
        <v>0.32</v>
      </c>
      <c r="L448">
        <v>0.31819999999999998</v>
      </c>
      <c r="M448">
        <v>0.45</v>
      </c>
      <c r="N448" s="1" t="str">
        <f>IF(Table2[[#This Row],[hum]]&lt;=0.8,"Humid",IF(Table2[[#This Row],[hum]]&gt;=0.8,"High Humid"))</f>
        <v>Humid</v>
      </c>
      <c r="O448">
        <v>0.19400000000000001</v>
      </c>
      <c r="P448">
        <v>8</v>
      </c>
      <c r="Q448">
        <v>62</v>
      </c>
      <c r="R448">
        <v>70</v>
      </c>
    </row>
    <row r="449" spans="1:18" x14ac:dyDescent="0.25">
      <c r="A449">
        <v>448</v>
      </c>
      <c r="B449" s="2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 t="str">
        <f>CHOOSE(H449+1,"Monday","Tuesday","Wednesday","Thursday","Friday","Saturday","Sunday")</f>
        <v>Friday</v>
      </c>
      <c r="J449">
        <v>2</v>
      </c>
      <c r="K449">
        <v>0.3</v>
      </c>
      <c r="L449">
        <v>0.30299999999999999</v>
      </c>
      <c r="M449">
        <v>0.49</v>
      </c>
      <c r="N449" s="1" t="str">
        <f>IF(Table2[[#This Row],[hum]]&lt;=0.8,"Humid",IF(Table2[[#This Row],[hum]]&gt;=0.8,"High Humid"))</f>
        <v>Humid</v>
      </c>
      <c r="O449">
        <v>0.1343</v>
      </c>
      <c r="P449">
        <v>8</v>
      </c>
      <c r="Q449">
        <v>83</v>
      </c>
      <c r="R449">
        <v>91</v>
      </c>
    </row>
    <row r="450" spans="1:18" x14ac:dyDescent="0.25">
      <c r="A450">
        <v>449</v>
      </c>
      <c r="B450" s="2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 t="str">
        <f>CHOOSE(H450+1,"Monday","Tuesday","Wednesday","Thursday","Friday","Saturday","Sunday")</f>
        <v>Friday</v>
      </c>
      <c r="J450">
        <v>2</v>
      </c>
      <c r="K450">
        <v>0.3</v>
      </c>
      <c r="L450">
        <v>0.31819999999999998</v>
      </c>
      <c r="M450">
        <v>0.49</v>
      </c>
      <c r="N450" s="1" t="str">
        <f>IF(Table2[[#This Row],[hum]]&lt;=0.8,"Humid",IF(Table2[[#This Row],[hum]]&gt;=0.8,"High Humid"))</f>
        <v>Humid</v>
      </c>
      <c r="O450">
        <v>0.1045</v>
      </c>
      <c r="P450">
        <v>8</v>
      </c>
      <c r="Q450">
        <v>207</v>
      </c>
      <c r="R450">
        <v>215</v>
      </c>
    </row>
    <row r="451" spans="1:18" x14ac:dyDescent="0.25">
      <c r="A451">
        <v>450</v>
      </c>
      <c r="B451" s="2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 t="str">
        <f>CHOOSE(H451+1,"Monday","Tuesday","Wednesday","Thursday","Friday","Saturday","Sunday")</f>
        <v>Friday</v>
      </c>
      <c r="J451">
        <v>2</v>
      </c>
      <c r="K451">
        <v>0.26</v>
      </c>
      <c r="L451">
        <v>0.2576</v>
      </c>
      <c r="M451">
        <v>0.56000000000000005</v>
      </c>
      <c r="N451" s="1" t="str">
        <f>IF(Table2[[#This Row],[hum]]&lt;=0.8,"Humid",IF(Table2[[#This Row],[hum]]&gt;=0.8,"High Humid"))</f>
        <v>Humid</v>
      </c>
      <c r="O451">
        <v>0.19400000000000001</v>
      </c>
      <c r="P451">
        <v>1</v>
      </c>
      <c r="Q451">
        <v>184</v>
      </c>
      <c r="R451">
        <v>185</v>
      </c>
    </row>
    <row r="452" spans="1:18" x14ac:dyDescent="0.25">
      <c r="A452">
        <v>451</v>
      </c>
      <c r="B452" s="2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 t="str">
        <f>CHOOSE(H452+1,"Monday","Tuesday","Wednesday","Thursday","Friday","Saturday","Sunday")</f>
        <v>Friday</v>
      </c>
      <c r="J452">
        <v>1</v>
      </c>
      <c r="K452">
        <v>0.26</v>
      </c>
      <c r="L452">
        <v>0.2273</v>
      </c>
      <c r="M452">
        <v>0.56000000000000005</v>
      </c>
      <c r="N452" s="1" t="str">
        <f>IF(Table2[[#This Row],[hum]]&lt;=0.8,"Humid",IF(Table2[[#This Row],[hum]]&gt;=0.8,"High Humid"))</f>
        <v>Humid</v>
      </c>
      <c r="O452">
        <v>0.32840000000000003</v>
      </c>
      <c r="P452">
        <v>6</v>
      </c>
      <c r="Q452">
        <v>146</v>
      </c>
      <c r="R452">
        <v>152</v>
      </c>
    </row>
    <row r="453" spans="1:18" x14ac:dyDescent="0.25">
      <c r="A453">
        <v>452</v>
      </c>
      <c r="B453" s="2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 t="str">
        <f>CHOOSE(H453+1,"Monday","Tuesday","Wednesday","Thursday","Friday","Saturday","Sunday")</f>
        <v>Friday</v>
      </c>
      <c r="J453">
        <v>2</v>
      </c>
      <c r="K453">
        <v>0.26</v>
      </c>
      <c r="L453">
        <v>0.2424</v>
      </c>
      <c r="M453">
        <v>0.6</v>
      </c>
      <c r="N453" s="1" t="str">
        <f>IF(Table2[[#This Row],[hum]]&lt;=0.8,"Humid",IF(Table2[[#This Row],[hum]]&gt;=0.8,"High Humid"))</f>
        <v>Humid</v>
      </c>
      <c r="O453">
        <v>0.28360000000000002</v>
      </c>
      <c r="P453">
        <v>2</v>
      </c>
      <c r="Q453">
        <v>124</v>
      </c>
      <c r="R453">
        <v>126</v>
      </c>
    </row>
    <row r="454" spans="1:18" x14ac:dyDescent="0.25">
      <c r="A454">
        <v>453</v>
      </c>
      <c r="B454" s="2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 t="str">
        <f>CHOOSE(H454+1,"Monday","Tuesday","Wednesday","Thursday","Friday","Saturday","Sunday")</f>
        <v>Friday</v>
      </c>
      <c r="J454">
        <v>2</v>
      </c>
      <c r="K454">
        <v>0.24</v>
      </c>
      <c r="L454">
        <v>0.2273</v>
      </c>
      <c r="M454">
        <v>0.6</v>
      </c>
      <c r="N454" s="1" t="str">
        <f>IF(Table2[[#This Row],[hum]]&lt;=0.8,"Humid",IF(Table2[[#This Row],[hum]]&gt;=0.8,"High Humid"))</f>
        <v>Humid</v>
      </c>
      <c r="O454">
        <v>0.25369999999999998</v>
      </c>
      <c r="P454">
        <v>3</v>
      </c>
      <c r="Q454">
        <v>54</v>
      </c>
      <c r="R454">
        <v>57</v>
      </c>
    </row>
    <row r="455" spans="1:18" x14ac:dyDescent="0.25">
      <c r="A455">
        <v>454</v>
      </c>
      <c r="B455" s="2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 t="str">
        <f>CHOOSE(H455+1,"Monday","Tuesday","Wednesday","Thursday","Friday","Saturday","Sunday")</f>
        <v>Friday</v>
      </c>
      <c r="J455">
        <v>2</v>
      </c>
      <c r="K455">
        <v>0.24</v>
      </c>
      <c r="L455">
        <v>0.21210000000000001</v>
      </c>
      <c r="M455">
        <v>0.65</v>
      </c>
      <c r="N455" s="1" t="str">
        <f>IF(Table2[[#This Row],[hum]]&lt;=0.8,"Humid",IF(Table2[[#This Row],[hum]]&gt;=0.8,"High Humid"))</f>
        <v>Humid</v>
      </c>
      <c r="O455">
        <v>0.28360000000000002</v>
      </c>
      <c r="P455">
        <v>0</v>
      </c>
      <c r="Q455">
        <v>56</v>
      </c>
      <c r="R455">
        <v>56</v>
      </c>
    </row>
    <row r="456" spans="1:18" x14ac:dyDescent="0.25">
      <c r="A456">
        <v>455</v>
      </c>
      <c r="B456" s="2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 t="str">
        <f>CHOOSE(H456+1,"Monday","Tuesday","Wednesday","Thursday","Friday","Saturday","Sunday")</f>
        <v>Friday</v>
      </c>
      <c r="J456">
        <v>2</v>
      </c>
      <c r="K456">
        <v>0.24</v>
      </c>
      <c r="L456">
        <v>0.21210000000000001</v>
      </c>
      <c r="M456">
        <v>0.65</v>
      </c>
      <c r="N456" s="1" t="str">
        <f>IF(Table2[[#This Row],[hum]]&lt;=0.8,"Humid",IF(Table2[[#This Row],[hum]]&gt;=0.8,"High Humid"))</f>
        <v>Humid</v>
      </c>
      <c r="O456">
        <v>0.32840000000000003</v>
      </c>
      <c r="P456">
        <v>3</v>
      </c>
      <c r="Q456">
        <v>28</v>
      </c>
      <c r="R456">
        <v>31</v>
      </c>
    </row>
    <row r="457" spans="1:18" x14ac:dyDescent="0.25">
      <c r="A457">
        <v>456</v>
      </c>
      <c r="B457" s="2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 t="str">
        <f>CHOOSE(H457+1,"Monday","Tuesday","Wednesday","Thursday","Friday","Saturday","Sunday")</f>
        <v>Saturday</v>
      </c>
      <c r="J457">
        <v>2</v>
      </c>
      <c r="K457">
        <v>0.24</v>
      </c>
      <c r="L457">
        <v>0.2273</v>
      </c>
      <c r="M457">
        <v>0.7</v>
      </c>
      <c r="N457" s="1" t="str">
        <f>IF(Table2[[#This Row],[hum]]&lt;=0.8,"Humid",IF(Table2[[#This Row],[hum]]&gt;=0.8,"High Humid"))</f>
        <v>Humid</v>
      </c>
      <c r="O457">
        <v>0.25369999999999998</v>
      </c>
      <c r="P457">
        <v>1</v>
      </c>
      <c r="Q457">
        <v>20</v>
      </c>
      <c r="R457">
        <v>21</v>
      </c>
    </row>
    <row r="458" spans="1:18" x14ac:dyDescent="0.25">
      <c r="A458">
        <v>457</v>
      </c>
      <c r="B458" s="2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 t="str">
        <f>CHOOSE(H458+1,"Monday","Tuesday","Wednesday","Thursday","Friday","Saturday","Sunday")</f>
        <v>Saturday</v>
      </c>
      <c r="J458">
        <v>2</v>
      </c>
      <c r="K458">
        <v>0.24</v>
      </c>
      <c r="L458">
        <v>0.2273</v>
      </c>
      <c r="M458">
        <v>0.7</v>
      </c>
      <c r="N458" s="1" t="str">
        <f>IF(Table2[[#This Row],[hum]]&lt;=0.8,"Humid",IF(Table2[[#This Row],[hum]]&gt;=0.8,"High Humid"))</f>
        <v>Humid</v>
      </c>
      <c r="O458">
        <v>0.25369999999999998</v>
      </c>
      <c r="P458">
        <v>0</v>
      </c>
      <c r="Q458">
        <v>6</v>
      </c>
      <c r="R458">
        <v>6</v>
      </c>
    </row>
    <row r="459" spans="1:18" x14ac:dyDescent="0.25">
      <c r="A459">
        <v>458</v>
      </c>
      <c r="B459" s="2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 t="str">
        <f>CHOOSE(H459+1,"Monday","Tuesday","Wednesday","Thursday","Friday","Saturday","Sunday")</f>
        <v>Saturday</v>
      </c>
      <c r="J459">
        <v>3</v>
      </c>
      <c r="K459">
        <v>0.24</v>
      </c>
      <c r="L459">
        <v>0.2424</v>
      </c>
      <c r="M459">
        <v>0.75</v>
      </c>
      <c r="N459" s="1" t="str">
        <f>IF(Table2[[#This Row],[hum]]&lt;=0.8,"Humid",IF(Table2[[#This Row],[hum]]&gt;=0.8,"High Humid"))</f>
        <v>Humid</v>
      </c>
      <c r="O459">
        <v>0.16420000000000001</v>
      </c>
      <c r="P459">
        <v>0</v>
      </c>
      <c r="Q459">
        <v>2</v>
      </c>
      <c r="R459">
        <v>2</v>
      </c>
    </row>
    <row r="460" spans="1:18" x14ac:dyDescent="0.25">
      <c r="A460">
        <v>459</v>
      </c>
      <c r="B460" s="2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 t="str">
        <f>CHOOSE(H460+1,"Monday","Tuesday","Wednesday","Thursday","Friday","Saturday","Sunday")</f>
        <v>Saturday</v>
      </c>
      <c r="J460">
        <v>3</v>
      </c>
      <c r="K460">
        <v>0.22</v>
      </c>
      <c r="L460">
        <v>0.21210000000000001</v>
      </c>
      <c r="M460">
        <v>0.8</v>
      </c>
      <c r="N460" s="1" t="str">
        <f>IF(Table2[[#This Row],[hum]]&lt;=0.8,"Humid",IF(Table2[[#This Row],[hum]]&gt;=0.8,"High Humid"))</f>
        <v>Humid</v>
      </c>
      <c r="O460">
        <v>0.29849999999999999</v>
      </c>
      <c r="P460">
        <v>0</v>
      </c>
      <c r="Q460">
        <v>1</v>
      </c>
      <c r="R460">
        <v>1</v>
      </c>
    </row>
    <row r="461" spans="1:18" x14ac:dyDescent="0.25">
      <c r="A461">
        <v>460</v>
      </c>
      <c r="B461" s="2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 t="str">
        <f>CHOOSE(H461+1,"Monday","Tuesday","Wednesday","Thursday","Friday","Saturday","Sunday")</f>
        <v>Saturday</v>
      </c>
      <c r="J461">
        <v>2</v>
      </c>
      <c r="K461">
        <v>0.22</v>
      </c>
      <c r="L461">
        <v>0.2576</v>
      </c>
      <c r="M461">
        <v>0.87</v>
      </c>
      <c r="N461" s="1" t="str">
        <f>IF(Table2[[#This Row],[hum]]&lt;=0.8,"Humid",IF(Table2[[#This Row],[hum]]&gt;=0.8,"High Humid"))</f>
        <v>High Humid</v>
      </c>
      <c r="O461">
        <v>8.9599999999999999E-2</v>
      </c>
      <c r="P461">
        <v>0</v>
      </c>
      <c r="Q461">
        <v>1</v>
      </c>
      <c r="R461">
        <v>1</v>
      </c>
    </row>
    <row r="462" spans="1:18" x14ac:dyDescent="0.25">
      <c r="A462">
        <v>461</v>
      </c>
      <c r="B462" s="2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 t="str">
        <f>CHOOSE(H462+1,"Monday","Tuesday","Wednesday","Thursday","Friday","Saturday","Sunday")</f>
        <v>Saturday</v>
      </c>
      <c r="J462">
        <v>1</v>
      </c>
      <c r="K462">
        <v>0.24</v>
      </c>
      <c r="L462">
        <v>0.19700000000000001</v>
      </c>
      <c r="M462">
        <v>0.6</v>
      </c>
      <c r="N462" s="1" t="str">
        <f>IF(Table2[[#This Row],[hum]]&lt;=0.8,"Humid",IF(Table2[[#This Row],[hum]]&gt;=0.8,"High Humid"))</f>
        <v>Humid</v>
      </c>
      <c r="O462">
        <v>0.41789999999999999</v>
      </c>
      <c r="P462">
        <v>1</v>
      </c>
      <c r="Q462">
        <v>4</v>
      </c>
      <c r="R462">
        <v>5</v>
      </c>
    </row>
    <row r="463" spans="1:18" x14ac:dyDescent="0.25">
      <c r="A463">
        <v>462</v>
      </c>
      <c r="B463" s="2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 t="str">
        <f>CHOOSE(H463+1,"Monday","Tuesday","Wednesday","Thursday","Friday","Saturday","Sunday")</f>
        <v>Saturday</v>
      </c>
      <c r="J463">
        <v>1</v>
      </c>
      <c r="K463">
        <v>0.22</v>
      </c>
      <c r="L463">
        <v>0.21210000000000001</v>
      </c>
      <c r="M463">
        <v>0.55000000000000004</v>
      </c>
      <c r="N463" s="1" t="str">
        <f>IF(Table2[[#This Row],[hum]]&lt;=0.8,"Humid",IF(Table2[[#This Row],[hum]]&gt;=0.8,"High Humid"))</f>
        <v>Humid</v>
      </c>
      <c r="O463">
        <v>0.25369999999999998</v>
      </c>
      <c r="P463">
        <v>0</v>
      </c>
      <c r="Q463">
        <v>27</v>
      </c>
      <c r="R463">
        <v>27</v>
      </c>
    </row>
    <row r="464" spans="1:18" x14ac:dyDescent="0.25">
      <c r="A464">
        <v>463</v>
      </c>
      <c r="B464" s="2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 t="str">
        <f>CHOOSE(H464+1,"Monday","Tuesday","Wednesday","Thursday","Friday","Saturday","Sunday")</f>
        <v>Saturday</v>
      </c>
      <c r="J464">
        <v>1</v>
      </c>
      <c r="K464">
        <v>0.2</v>
      </c>
      <c r="L464">
        <v>0.18179999999999999</v>
      </c>
      <c r="M464">
        <v>0.51</v>
      </c>
      <c r="N464" s="1" t="str">
        <f>IF(Table2[[#This Row],[hum]]&lt;=0.8,"Humid",IF(Table2[[#This Row],[hum]]&gt;=0.8,"High Humid"))</f>
        <v>Humid</v>
      </c>
      <c r="O464">
        <v>0.28360000000000002</v>
      </c>
      <c r="P464">
        <v>2</v>
      </c>
      <c r="Q464">
        <v>66</v>
      </c>
      <c r="R464">
        <v>68</v>
      </c>
    </row>
    <row r="465" spans="1:18" x14ac:dyDescent="0.25">
      <c r="A465">
        <v>464</v>
      </c>
      <c r="B465" s="2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 t="str">
        <f>CHOOSE(H465+1,"Monday","Tuesday","Wednesday","Thursday","Friday","Saturday","Sunday")</f>
        <v>Saturday</v>
      </c>
      <c r="J465">
        <v>1</v>
      </c>
      <c r="K465">
        <v>0.2</v>
      </c>
      <c r="L465">
        <v>0.18179999999999999</v>
      </c>
      <c r="M465">
        <v>0.47</v>
      </c>
      <c r="N465" s="1" t="str">
        <f>IF(Table2[[#This Row],[hum]]&lt;=0.8,"Humid",IF(Table2[[#This Row],[hum]]&gt;=0.8,"High Humid"))</f>
        <v>Humid</v>
      </c>
      <c r="O465">
        <v>0.32840000000000003</v>
      </c>
      <c r="P465">
        <v>7</v>
      </c>
      <c r="Q465">
        <v>210</v>
      </c>
      <c r="R465">
        <v>217</v>
      </c>
    </row>
    <row r="466" spans="1:18" x14ac:dyDescent="0.25">
      <c r="A466">
        <v>465</v>
      </c>
      <c r="B466" s="2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 t="str">
        <f>CHOOSE(H466+1,"Monday","Tuesday","Wednesday","Thursday","Friday","Saturday","Sunday")</f>
        <v>Saturday</v>
      </c>
      <c r="J466">
        <v>1</v>
      </c>
      <c r="K466">
        <v>0.2</v>
      </c>
      <c r="L466">
        <v>0.18179999999999999</v>
      </c>
      <c r="M466">
        <v>0.51</v>
      </c>
      <c r="N466" s="1" t="str">
        <f>IF(Table2[[#This Row],[hum]]&lt;=0.8,"Humid",IF(Table2[[#This Row],[hum]]&gt;=0.8,"High Humid"))</f>
        <v>Humid</v>
      </c>
      <c r="O466">
        <v>0.35820000000000002</v>
      </c>
      <c r="P466">
        <v>7</v>
      </c>
      <c r="Q466">
        <v>159</v>
      </c>
      <c r="R466">
        <v>166</v>
      </c>
    </row>
    <row r="467" spans="1:18" x14ac:dyDescent="0.25">
      <c r="A467">
        <v>466</v>
      </c>
      <c r="B467" s="2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 t="str">
        <f>CHOOSE(H467+1,"Monday","Tuesday","Wednesday","Thursday","Friday","Saturday","Sunday")</f>
        <v>Saturday</v>
      </c>
      <c r="J467">
        <v>1</v>
      </c>
      <c r="K467">
        <v>0.2</v>
      </c>
      <c r="L467">
        <v>0.16669999999999999</v>
      </c>
      <c r="M467">
        <v>0.47</v>
      </c>
      <c r="N467" s="1" t="str">
        <f>IF(Table2[[#This Row],[hum]]&lt;=0.8,"Humid",IF(Table2[[#This Row],[hum]]&gt;=0.8,"High Humid"))</f>
        <v>Humid</v>
      </c>
      <c r="O467">
        <v>0.4627</v>
      </c>
      <c r="P467">
        <v>6</v>
      </c>
      <c r="Q467">
        <v>57</v>
      </c>
      <c r="R467">
        <v>63</v>
      </c>
    </row>
    <row r="468" spans="1:18" x14ac:dyDescent="0.25">
      <c r="A468">
        <v>467</v>
      </c>
      <c r="B468" s="2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 t="str">
        <f>CHOOSE(H468+1,"Monday","Tuesday","Wednesday","Thursday","Friday","Saturday","Sunday")</f>
        <v>Saturday</v>
      </c>
      <c r="J468">
        <v>1</v>
      </c>
      <c r="K468">
        <v>0.22</v>
      </c>
      <c r="L468">
        <v>0.18179999999999999</v>
      </c>
      <c r="M468">
        <v>0.41</v>
      </c>
      <c r="N468" s="1" t="str">
        <f>IF(Table2[[#This Row],[hum]]&lt;=0.8,"Humid",IF(Table2[[#This Row],[hum]]&gt;=0.8,"High Humid"))</f>
        <v>Humid</v>
      </c>
      <c r="O468">
        <v>0.4627</v>
      </c>
      <c r="P468">
        <v>6</v>
      </c>
      <c r="Q468">
        <v>53</v>
      </c>
      <c r="R468">
        <v>59</v>
      </c>
    </row>
    <row r="469" spans="1:18" x14ac:dyDescent="0.25">
      <c r="A469">
        <v>468</v>
      </c>
      <c r="B469" s="2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 t="str">
        <f>CHOOSE(H469+1,"Monday","Tuesday","Wednesday","Thursday","Friday","Saturday","Sunday")</f>
        <v>Saturday</v>
      </c>
      <c r="J469">
        <v>1</v>
      </c>
      <c r="K469">
        <v>0.22</v>
      </c>
      <c r="L469">
        <v>0.18179999999999999</v>
      </c>
      <c r="M469">
        <v>0.27</v>
      </c>
      <c r="N469" s="1" t="str">
        <f>IF(Table2[[#This Row],[hum]]&lt;=0.8,"Humid",IF(Table2[[#This Row],[hum]]&gt;=0.8,"High Humid"))</f>
        <v>Humid</v>
      </c>
      <c r="O469">
        <v>0.58209999999999995</v>
      </c>
      <c r="P469">
        <v>11</v>
      </c>
      <c r="Q469">
        <v>67</v>
      </c>
      <c r="R469">
        <v>78</v>
      </c>
    </row>
    <row r="470" spans="1:18" x14ac:dyDescent="0.25">
      <c r="A470">
        <v>469</v>
      </c>
      <c r="B470" s="2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 t="str">
        <f>CHOOSE(H470+1,"Monday","Tuesday","Wednesday","Thursday","Friday","Saturday","Sunday")</f>
        <v>Saturday</v>
      </c>
      <c r="J470">
        <v>1</v>
      </c>
      <c r="K470">
        <v>0.2</v>
      </c>
      <c r="L470">
        <v>0.1515</v>
      </c>
      <c r="M470">
        <v>0.21</v>
      </c>
      <c r="N470" s="1" t="str">
        <f>IF(Table2[[#This Row],[hum]]&lt;=0.8,"Humid",IF(Table2[[#This Row],[hum]]&gt;=0.8,"High Humid"))</f>
        <v>Humid</v>
      </c>
      <c r="O470">
        <v>0.58209999999999995</v>
      </c>
      <c r="P470">
        <v>8</v>
      </c>
      <c r="Q470">
        <v>65</v>
      </c>
      <c r="R470">
        <v>73</v>
      </c>
    </row>
    <row r="471" spans="1:18" x14ac:dyDescent="0.25">
      <c r="A471">
        <v>470</v>
      </c>
      <c r="B471" s="2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 t="str">
        <f>CHOOSE(H471+1,"Monday","Tuesday","Wednesday","Thursday","Friday","Saturday","Sunday")</f>
        <v>Saturday</v>
      </c>
      <c r="J471">
        <v>1</v>
      </c>
      <c r="K471">
        <v>0.2</v>
      </c>
      <c r="L471">
        <v>0.1515</v>
      </c>
      <c r="M471">
        <v>0.25</v>
      </c>
      <c r="N471" s="1" t="str">
        <f>IF(Table2[[#This Row],[hum]]&lt;=0.8,"Humid",IF(Table2[[#This Row],[hum]]&gt;=0.8,"High Humid"))</f>
        <v>Humid</v>
      </c>
      <c r="O471">
        <v>0.52239999999999998</v>
      </c>
      <c r="P471">
        <v>6</v>
      </c>
      <c r="Q471">
        <v>56</v>
      </c>
      <c r="R471">
        <v>62</v>
      </c>
    </row>
    <row r="472" spans="1:18" x14ac:dyDescent="0.25">
      <c r="A472">
        <v>471</v>
      </c>
      <c r="B472" s="2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 t="str">
        <f>CHOOSE(H472+1,"Monday","Tuesday","Wednesday","Thursday","Friday","Saturday","Sunday")</f>
        <v>Saturday</v>
      </c>
      <c r="J472">
        <v>1</v>
      </c>
      <c r="K472">
        <v>0.16</v>
      </c>
      <c r="L472">
        <v>0.1212</v>
      </c>
      <c r="M472">
        <v>0.26</v>
      </c>
      <c r="N472" s="1" t="str">
        <f>IF(Table2[[#This Row],[hum]]&lt;=0.8,"Humid",IF(Table2[[#This Row],[hum]]&gt;=0.8,"High Humid"))</f>
        <v>Humid</v>
      </c>
      <c r="O472">
        <v>0.44779999999999998</v>
      </c>
      <c r="P472">
        <v>4</v>
      </c>
      <c r="Q472">
        <v>61</v>
      </c>
      <c r="R472">
        <v>65</v>
      </c>
    </row>
    <row r="473" spans="1:18" x14ac:dyDescent="0.25">
      <c r="A473">
        <v>472</v>
      </c>
      <c r="B473" s="2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 t="str">
        <f>CHOOSE(H473+1,"Monday","Tuesday","Wednesday","Thursday","Friday","Saturday","Sunday")</f>
        <v>Saturday</v>
      </c>
      <c r="J473">
        <v>1</v>
      </c>
      <c r="K473">
        <v>0.16</v>
      </c>
      <c r="L473">
        <v>0.13639999999999999</v>
      </c>
      <c r="M473">
        <v>0.26</v>
      </c>
      <c r="N473" s="1" t="str">
        <f>IF(Table2[[#This Row],[hum]]&lt;=0.8,"Humid",IF(Table2[[#This Row],[hum]]&gt;=0.8,"High Humid"))</f>
        <v>Humid</v>
      </c>
      <c r="O473">
        <v>0.35820000000000002</v>
      </c>
      <c r="P473">
        <v>0</v>
      </c>
      <c r="Q473">
        <v>97</v>
      </c>
      <c r="R473">
        <v>97</v>
      </c>
    </row>
    <row r="474" spans="1:18" x14ac:dyDescent="0.25">
      <c r="A474">
        <v>473</v>
      </c>
      <c r="B474" s="2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 t="str">
        <f>CHOOSE(H474+1,"Monday","Tuesday","Wednesday","Thursday","Friday","Saturday","Sunday")</f>
        <v>Saturday</v>
      </c>
      <c r="J474">
        <v>1</v>
      </c>
      <c r="K474">
        <v>0.14000000000000001</v>
      </c>
      <c r="L474">
        <v>0.1212</v>
      </c>
      <c r="M474">
        <v>0.28000000000000003</v>
      </c>
      <c r="N474" s="1" t="str">
        <f>IF(Table2[[#This Row],[hum]]&lt;=0.8,"Humid",IF(Table2[[#This Row],[hum]]&gt;=0.8,"High Humid"))</f>
        <v>Humid</v>
      </c>
      <c r="O474">
        <v>0.35820000000000002</v>
      </c>
      <c r="P474">
        <v>10</v>
      </c>
      <c r="Q474">
        <v>151</v>
      </c>
      <c r="R474">
        <v>161</v>
      </c>
    </row>
    <row r="475" spans="1:18" x14ac:dyDescent="0.25">
      <c r="A475">
        <v>474</v>
      </c>
      <c r="B475" s="2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 t="str">
        <f>CHOOSE(H475+1,"Monday","Tuesday","Wednesday","Thursday","Friday","Saturday","Sunday")</f>
        <v>Saturday</v>
      </c>
      <c r="J475">
        <v>1</v>
      </c>
      <c r="K475">
        <v>0.12</v>
      </c>
      <c r="L475">
        <v>0.1212</v>
      </c>
      <c r="M475">
        <v>0.3</v>
      </c>
      <c r="N475" s="1" t="str">
        <f>IF(Table2[[#This Row],[hum]]&lt;=0.8,"Humid",IF(Table2[[#This Row],[hum]]&gt;=0.8,"High Humid"))</f>
        <v>Humid</v>
      </c>
      <c r="O475">
        <v>0.25369999999999998</v>
      </c>
      <c r="P475">
        <v>1</v>
      </c>
      <c r="Q475">
        <v>119</v>
      </c>
      <c r="R475">
        <v>120</v>
      </c>
    </row>
    <row r="476" spans="1:18" x14ac:dyDescent="0.25">
      <c r="A476">
        <v>475</v>
      </c>
      <c r="B476" s="2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 t="str">
        <f>CHOOSE(H476+1,"Monday","Tuesday","Wednesday","Thursday","Friday","Saturday","Sunday")</f>
        <v>Saturday</v>
      </c>
      <c r="J476">
        <v>1</v>
      </c>
      <c r="K476">
        <v>0.12</v>
      </c>
      <c r="L476">
        <v>0.1061</v>
      </c>
      <c r="M476">
        <v>0.3</v>
      </c>
      <c r="N476" s="1" t="str">
        <f>IF(Table2[[#This Row],[hum]]&lt;=0.8,"Humid",IF(Table2[[#This Row],[hum]]&gt;=0.8,"High Humid"))</f>
        <v>Humid</v>
      </c>
      <c r="O476">
        <v>0.32840000000000003</v>
      </c>
      <c r="P476">
        <v>3</v>
      </c>
      <c r="Q476">
        <v>93</v>
      </c>
      <c r="R476">
        <v>96</v>
      </c>
    </row>
    <row r="477" spans="1:18" x14ac:dyDescent="0.25">
      <c r="A477">
        <v>476</v>
      </c>
      <c r="B477" s="2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 t="str">
        <f>CHOOSE(H477+1,"Monday","Tuesday","Wednesday","Thursday","Friday","Saturday","Sunday")</f>
        <v>Saturday</v>
      </c>
      <c r="J477">
        <v>1</v>
      </c>
      <c r="K477">
        <v>0.1</v>
      </c>
      <c r="L477">
        <v>7.5800000000000006E-2</v>
      </c>
      <c r="M477">
        <v>0.33</v>
      </c>
      <c r="N477" s="1" t="str">
        <f>IF(Table2[[#This Row],[hum]]&lt;=0.8,"Humid",IF(Table2[[#This Row],[hum]]&gt;=0.8,"High Humid"))</f>
        <v>Humid</v>
      </c>
      <c r="O477">
        <v>0.41789999999999999</v>
      </c>
      <c r="P477">
        <v>1</v>
      </c>
      <c r="Q477">
        <v>52</v>
      </c>
      <c r="R477">
        <v>53</v>
      </c>
    </row>
    <row r="478" spans="1:18" x14ac:dyDescent="0.25">
      <c r="A478">
        <v>477</v>
      </c>
      <c r="B478" s="2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 t="str">
        <f>CHOOSE(H478+1,"Monday","Tuesday","Wednesday","Thursday","Friday","Saturday","Sunday")</f>
        <v>Saturday</v>
      </c>
      <c r="J478">
        <v>1</v>
      </c>
      <c r="K478">
        <v>0.08</v>
      </c>
      <c r="L478">
        <v>7.5800000000000006E-2</v>
      </c>
      <c r="M478">
        <v>0.38</v>
      </c>
      <c r="N478" s="1" t="str">
        <f>IF(Table2[[#This Row],[hum]]&lt;=0.8,"Humid",IF(Table2[[#This Row],[hum]]&gt;=0.8,"High Humid"))</f>
        <v>Humid</v>
      </c>
      <c r="O478">
        <v>0.28360000000000002</v>
      </c>
      <c r="P478">
        <v>0</v>
      </c>
      <c r="Q478">
        <v>41</v>
      </c>
      <c r="R478">
        <v>41</v>
      </c>
    </row>
    <row r="479" spans="1:18" x14ac:dyDescent="0.25">
      <c r="A479">
        <v>478</v>
      </c>
      <c r="B479" s="2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 t="str">
        <f>CHOOSE(H479+1,"Monday","Tuesday","Wednesday","Thursday","Friday","Saturday","Sunday")</f>
        <v>Saturday</v>
      </c>
      <c r="J479">
        <v>1</v>
      </c>
      <c r="K479">
        <v>0.06</v>
      </c>
      <c r="L479">
        <v>3.0300000000000001E-2</v>
      </c>
      <c r="M479">
        <v>0.41</v>
      </c>
      <c r="N479" s="1" t="str">
        <f>IF(Table2[[#This Row],[hum]]&lt;=0.8,"Humid",IF(Table2[[#This Row],[hum]]&gt;=0.8,"High Humid"))</f>
        <v>Humid</v>
      </c>
      <c r="O479">
        <v>0.3881</v>
      </c>
      <c r="P479">
        <v>1</v>
      </c>
      <c r="Q479">
        <v>33</v>
      </c>
      <c r="R479">
        <v>34</v>
      </c>
    </row>
    <row r="480" spans="1:18" x14ac:dyDescent="0.25">
      <c r="A480">
        <v>479</v>
      </c>
      <c r="B480" s="2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 t="str">
        <f>CHOOSE(H480+1,"Monday","Tuesday","Wednesday","Thursday","Friday","Saturday","Sunday")</f>
        <v>Saturday</v>
      </c>
      <c r="J480">
        <v>1</v>
      </c>
      <c r="K480">
        <v>0.06</v>
      </c>
      <c r="L480">
        <v>4.5499999999999999E-2</v>
      </c>
      <c r="M480">
        <v>0.38</v>
      </c>
      <c r="N480" s="1" t="str">
        <f>IF(Table2[[#This Row],[hum]]&lt;=0.8,"Humid",IF(Table2[[#This Row],[hum]]&gt;=0.8,"High Humid"))</f>
        <v>Humid</v>
      </c>
      <c r="O480">
        <v>0.32840000000000003</v>
      </c>
      <c r="P480">
        <v>0</v>
      </c>
      <c r="Q480">
        <v>27</v>
      </c>
      <c r="R480">
        <v>27</v>
      </c>
    </row>
    <row r="481" spans="1:18" x14ac:dyDescent="0.25">
      <c r="A481">
        <v>480</v>
      </c>
      <c r="B481" s="2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 t="str">
        <f>CHOOSE(H481+1,"Monday","Tuesday","Wednesday","Thursday","Friday","Saturday","Sunday")</f>
        <v>Sunday</v>
      </c>
      <c r="J481">
        <v>1</v>
      </c>
      <c r="K481">
        <v>0.04</v>
      </c>
      <c r="L481">
        <v>3.0300000000000001E-2</v>
      </c>
      <c r="M481">
        <v>0.45</v>
      </c>
      <c r="N481" s="1" t="str">
        <f>IF(Table2[[#This Row],[hum]]&lt;=0.8,"Humid",IF(Table2[[#This Row],[hum]]&gt;=0.8,"High Humid"))</f>
        <v>Humid</v>
      </c>
      <c r="O481">
        <v>0.25369999999999998</v>
      </c>
      <c r="P481">
        <v>0</v>
      </c>
      <c r="Q481">
        <v>13</v>
      </c>
      <c r="R481">
        <v>13</v>
      </c>
    </row>
    <row r="482" spans="1:18" x14ac:dyDescent="0.25">
      <c r="A482">
        <v>481</v>
      </c>
      <c r="B482" s="2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 t="str">
        <f>CHOOSE(H482+1,"Monday","Tuesday","Wednesday","Thursday","Friday","Saturday","Sunday")</f>
        <v>Sunday</v>
      </c>
      <c r="J482">
        <v>2</v>
      </c>
      <c r="K482">
        <v>0.04</v>
      </c>
      <c r="L482">
        <v>0</v>
      </c>
      <c r="M482">
        <v>0.41</v>
      </c>
      <c r="N482" s="1" t="str">
        <f>IF(Table2[[#This Row],[hum]]&lt;=0.8,"Humid",IF(Table2[[#This Row],[hum]]&gt;=0.8,"High Humid"))</f>
        <v>Humid</v>
      </c>
      <c r="O482">
        <v>0.3881</v>
      </c>
      <c r="P482">
        <v>3</v>
      </c>
      <c r="Q482">
        <v>9</v>
      </c>
      <c r="R482">
        <v>12</v>
      </c>
    </row>
    <row r="483" spans="1:18" x14ac:dyDescent="0.25">
      <c r="A483">
        <v>482</v>
      </c>
      <c r="B483" s="2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 t="str">
        <f>CHOOSE(H483+1,"Monday","Tuesday","Wednesday","Thursday","Friday","Saturday","Sunday")</f>
        <v>Sunday</v>
      </c>
      <c r="J483">
        <v>2</v>
      </c>
      <c r="K483">
        <v>0.04</v>
      </c>
      <c r="L483">
        <v>3.0300000000000001E-2</v>
      </c>
      <c r="M483">
        <v>0.41</v>
      </c>
      <c r="N483" s="1" t="str">
        <f>IF(Table2[[#This Row],[hum]]&lt;=0.8,"Humid",IF(Table2[[#This Row],[hum]]&gt;=0.8,"High Humid"))</f>
        <v>Humid</v>
      </c>
      <c r="O483">
        <v>0.25369999999999998</v>
      </c>
      <c r="P483">
        <v>0</v>
      </c>
      <c r="Q483">
        <v>11</v>
      </c>
      <c r="R483">
        <v>11</v>
      </c>
    </row>
    <row r="484" spans="1:18" x14ac:dyDescent="0.25">
      <c r="A484">
        <v>483</v>
      </c>
      <c r="B484" s="2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 t="str">
        <f>CHOOSE(H484+1,"Monday","Tuesday","Wednesday","Thursday","Friday","Saturday","Sunday")</f>
        <v>Sunday</v>
      </c>
      <c r="J484">
        <v>2</v>
      </c>
      <c r="K484">
        <v>0.04</v>
      </c>
      <c r="L484">
        <v>3.0300000000000001E-2</v>
      </c>
      <c r="M484">
        <v>0.41</v>
      </c>
      <c r="N484" s="1" t="str">
        <f>IF(Table2[[#This Row],[hum]]&lt;=0.8,"Humid",IF(Table2[[#This Row],[hum]]&gt;=0.8,"High Humid"))</f>
        <v>Humid</v>
      </c>
      <c r="O484">
        <v>0.28360000000000002</v>
      </c>
      <c r="P484">
        <v>1</v>
      </c>
      <c r="Q484">
        <v>6</v>
      </c>
      <c r="R484">
        <v>7</v>
      </c>
    </row>
    <row r="485" spans="1:18" x14ac:dyDescent="0.25">
      <c r="A485">
        <v>484</v>
      </c>
      <c r="B485" s="2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 t="str">
        <f>CHOOSE(H485+1,"Monday","Tuesday","Wednesday","Thursday","Friday","Saturday","Sunday")</f>
        <v>Sunday</v>
      </c>
      <c r="J485">
        <v>2</v>
      </c>
      <c r="K485">
        <v>0.02</v>
      </c>
      <c r="L485">
        <v>1.52E-2</v>
      </c>
      <c r="M485">
        <v>0.48</v>
      </c>
      <c r="N485" s="1" t="str">
        <f>IF(Table2[[#This Row],[hum]]&lt;=0.8,"Humid",IF(Table2[[#This Row],[hum]]&gt;=0.8,"High Humid"))</f>
        <v>Humid</v>
      </c>
      <c r="O485">
        <v>0.29849999999999999</v>
      </c>
      <c r="P485">
        <v>0</v>
      </c>
      <c r="Q485">
        <v>3</v>
      </c>
      <c r="R485">
        <v>3</v>
      </c>
    </row>
    <row r="486" spans="1:18" x14ac:dyDescent="0.25">
      <c r="A486">
        <v>485</v>
      </c>
      <c r="B486" s="2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 t="str">
        <f>CHOOSE(H486+1,"Monday","Tuesday","Wednesday","Thursday","Friday","Saturday","Sunday")</f>
        <v>Sunday</v>
      </c>
      <c r="J486">
        <v>2</v>
      </c>
      <c r="K486">
        <v>0.02</v>
      </c>
      <c r="L486">
        <v>3.0300000000000001E-2</v>
      </c>
      <c r="M486">
        <v>0.44</v>
      </c>
      <c r="N486" s="1" t="str">
        <f>IF(Table2[[#This Row],[hum]]&lt;=0.8,"Humid",IF(Table2[[#This Row],[hum]]&gt;=0.8,"High Humid"))</f>
        <v>Humid</v>
      </c>
      <c r="O486">
        <v>0.22389999999999999</v>
      </c>
      <c r="P486">
        <v>0</v>
      </c>
      <c r="Q486">
        <v>2</v>
      </c>
      <c r="R486">
        <v>2</v>
      </c>
    </row>
    <row r="487" spans="1:18" x14ac:dyDescent="0.25">
      <c r="A487">
        <v>486</v>
      </c>
      <c r="B487" s="2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 t="str">
        <f>CHOOSE(H487+1,"Monday","Tuesday","Wednesday","Thursday","Friday","Saturday","Sunday")</f>
        <v>Sunday</v>
      </c>
      <c r="J487">
        <v>1</v>
      </c>
      <c r="K487">
        <v>0.02</v>
      </c>
      <c r="L487">
        <v>1.52E-2</v>
      </c>
      <c r="M487">
        <v>0.44</v>
      </c>
      <c r="N487" s="1" t="str">
        <f>IF(Table2[[#This Row],[hum]]&lt;=0.8,"Humid",IF(Table2[[#This Row],[hum]]&gt;=0.8,"High Humid"))</f>
        <v>Humid</v>
      </c>
      <c r="O487">
        <v>0.28360000000000002</v>
      </c>
      <c r="P487">
        <v>0</v>
      </c>
      <c r="Q487">
        <v>8</v>
      </c>
      <c r="R487">
        <v>8</v>
      </c>
    </row>
    <row r="488" spans="1:18" x14ac:dyDescent="0.25">
      <c r="A488">
        <v>487</v>
      </c>
      <c r="B488" s="2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 t="str">
        <f>CHOOSE(H488+1,"Monday","Tuesday","Wednesday","Thursday","Friday","Saturday","Sunday")</f>
        <v>Sunday</v>
      </c>
      <c r="J488">
        <v>1</v>
      </c>
      <c r="K488">
        <v>0.02</v>
      </c>
      <c r="L488">
        <v>0</v>
      </c>
      <c r="M488">
        <v>0.44</v>
      </c>
      <c r="N488" s="1" t="str">
        <f>IF(Table2[[#This Row],[hum]]&lt;=0.8,"Humid",IF(Table2[[#This Row],[hum]]&gt;=0.8,"High Humid"))</f>
        <v>Humid</v>
      </c>
      <c r="O488">
        <v>0.32840000000000003</v>
      </c>
      <c r="P488">
        <v>1</v>
      </c>
      <c r="Q488">
        <v>26</v>
      </c>
      <c r="R488">
        <v>27</v>
      </c>
    </row>
    <row r="489" spans="1:18" x14ac:dyDescent="0.25">
      <c r="A489">
        <v>488</v>
      </c>
      <c r="B489" s="2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 t="str">
        <f>CHOOSE(H489+1,"Monday","Tuesday","Wednesday","Thursday","Friday","Saturday","Sunday")</f>
        <v>Sunday</v>
      </c>
      <c r="J489">
        <v>1</v>
      </c>
      <c r="K489">
        <v>0.04</v>
      </c>
      <c r="L489">
        <v>3.0300000000000001E-2</v>
      </c>
      <c r="M489">
        <v>0.41</v>
      </c>
      <c r="N489" s="1" t="str">
        <f>IF(Table2[[#This Row],[hum]]&lt;=0.8,"Humid",IF(Table2[[#This Row],[hum]]&gt;=0.8,"High Humid"))</f>
        <v>Humid</v>
      </c>
      <c r="O489">
        <v>0.25369999999999998</v>
      </c>
      <c r="P489">
        <v>3</v>
      </c>
      <c r="Q489">
        <v>37</v>
      </c>
      <c r="R489">
        <v>40</v>
      </c>
    </row>
    <row r="490" spans="1:18" x14ac:dyDescent="0.25">
      <c r="A490">
        <v>489</v>
      </c>
      <c r="B490" s="2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 t="str">
        <f>CHOOSE(H490+1,"Monday","Tuesday","Wednesday","Thursday","Friday","Saturday","Sunday")</f>
        <v>Sunday</v>
      </c>
      <c r="J490">
        <v>2</v>
      </c>
      <c r="K490">
        <v>0.04</v>
      </c>
      <c r="L490">
        <v>6.0600000000000001E-2</v>
      </c>
      <c r="M490">
        <v>0.41</v>
      </c>
      <c r="N490" s="1" t="str">
        <f>IF(Table2[[#This Row],[hum]]&lt;=0.8,"Humid",IF(Table2[[#This Row],[hum]]&gt;=0.8,"High Humid"))</f>
        <v>Humid</v>
      </c>
      <c r="O490">
        <v>0.16420000000000001</v>
      </c>
      <c r="P490">
        <v>3</v>
      </c>
      <c r="Q490">
        <v>50</v>
      </c>
      <c r="R490">
        <v>53</v>
      </c>
    </row>
    <row r="491" spans="1:18" x14ac:dyDescent="0.25">
      <c r="A491">
        <v>490</v>
      </c>
      <c r="B491" s="2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 t="str">
        <f>CHOOSE(H491+1,"Monday","Tuesday","Wednesday","Thursday","Friday","Saturday","Sunday")</f>
        <v>Sunday</v>
      </c>
      <c r="J491">
        <v>2</v>
      </c>
      <c r="K491">
        <v>0.06</v>
      </c>
      <c r="L491">
        <v>7.5800000000000006E-2</v>
      </c>
      <c r="M491">
        <v>0.38</v>
      </c>
      <c r="N491" s="1" t="str">
        <f>IF(Table2[[#This Row],[hum]]&lt;=0.8,"Humid",IF(Table2[[#This Row],[hum]]&gt;=0.8,"High Humid"))</f>
        <v>Humid</v>
      </c>
      <c r="O491">
        <v>0.1343</v>
      </c>
      <c r="P491">
        <v>4</v>
      </c>
      <c r="Q491">
        <v>59</v>
      </c>
      <c r="R491">
        <v>63</v>
      </c>
    </row>
    <row r="492" spans="1:18" x14ac:dyDescent="0.25">
      <c r="A492">
        <v>491</v>
      </c>
      <c r="B492" s="2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 t="str">
        <f>CHOOSE(H492+1,"Monday","Tuesday","Wednesday","Thursday","Friday","Saturday","Sunday")</f>
        <v>Sunday</v>
      </c>
      <c r="J492">
        <v>2</v>
      </c>
      <c r="K492">
        <v>0.06</v>
      </c>
      <c r="L492">
        <v>0.1061</v>
      </c>
      <c r="M492">
        <v>0.38</v>
      </c>
      <c r="N492" s="1" t="str">
        <f>IF(Table2[[#This Row],[hum]]&lt;=0.8,"Humid",IF(Table2[[#This Row],[hum]]&gt;=0.8,"High Humid"))</f>
        <v>Humid</v>
      </c>
      <c r="O492">
        <v>0.1045</v>
      </c>
      <c r="P492">
        <v>10</v>
      </c>
      <c r="Q492">
        <v>60</v>
      </c>
      <c r="R492">
        <v>70</v>
      </c>
    </row>
    <row r="493" spans="1:18" x14ac:dyDescent="0.25">
      <c r="A493">
        <v>492</v>
      </c>
      <c r="B493" s="2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 t="str">
        <f>CHOOSE(H493+1,"Monday","Tuesday","Wednesday","Thursday","Friday","Saturday","Sunday")</f>
        <v>Sunday</v>
      </c>
      <c r="J493">
        <v>1</v>
      </c>
      <c r="K493">
        <v>0.08</v>
      </c>
      <c r="L493">
        <v>0.16669999999999999</v>
      </c>
      <c r="M493">
        <v>0.35</v>
      </c>
      <c r="N493" s="1" t="str">
        <f>IF(Table2[[#This Row],[hum]]&lt;=0.8,"Humid",IF(Table2[[#This Row],[hum]]&gt;=0.8,"High Humid"))</f>
        <v>Humid</v>
      </c>
      <c r="O493">
        <v>0</v>
      </c>
      <c r="P493">
        <v>12</v>
      </c>
      <c r="Q493">
        <v>72</v>
      </c>
      <c r="R493">
        <v>84</v>
      </c>
    </row>
    <row r="494" spans="1:18" x14ac:dyDescent="0.25">
      <c r="A494">
        <v>493</v>
      </c>
      <c r="B494" s="2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 t="str">
        <f>CHOOSE(H494+1,"Monday","Tuesday","Wednesday","Thursday","Friday","Saturday","Sunday")</f>
        <v>Sunday</v>
      </c>
      <c r="J494">
        <v>1</v>
      </c>
      <c r="K494">
        <v>0.1</v>
      </c>
      <c r="L494">
        <v>0.13639999999999999</v>
      </c>
      <c r="M494">
        <v>0.33</v>
      </c>
      <c r="N494" s="1" t="str">
        <f>IF(Table2[[#This Row],[hum]]&lt;=0.8,"Humid",IF(Table2[[#This Row],[hum]]&gt;=0.8,"High Humid"))</f>
        <v>Humid</v>
      </c>
      <c r="O494">
        <v>0.1045</v>
      </c>
      <c r="P494">
        <v>11</v>
      </c>
      <c r="Q494">
        <v>64</v>
      </c>
      <c r="R494">
        <v>75</v>
      </c>
    </row>
    <row r="495" spans="1:18" x14ac:dyDescent="0.25">
      <c r="A495">
        <v>494</v>
      </c>
      <c r="B495" s="2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 t="str">
        <f>CHOOSE(H495+1,"Monday","Tuesday","Wednesday","Thursday","Friday","Saturday","Sunday")</f>
        <v>Sunday</v>
      </c>
      <c r="J495">
        <v>1</v>
      </c>
      <c r="K495">
        <v>0.12</v>
      </c>
      <c r="L495">
        <v>0.1515</v>
      </c>
      <c r="M495">
        <v>0.28000000000000003</v>
      </c>
      <c r="N495" s="1" t="str">
        <f>IF(Table2[[#This Row],[hum]]&lt;=0.8,"Humid",IF(Table2[[#This Row],[hum]]&gt;=0.8,"High Humid"))</f>
        <v>Humid</v>
      </c>
      <c r="O495">
        <v>0</v>
      </c>
      <c r="P495">
        <v>10</v>
      </c>
      <c r="Q495">
        <v>93</v>
      </c>
      <c r="R495">
        <v>103</v>
      </c>
    </row>
    <row r="496" spans="1:18" x14ac:dyDescent="0.25">
      <c r="A496">
        <v>495</v>
      </c>
      <c r="B496" s="2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 t="str">
        <f>CHOOSE(H496+1,"Monday","Tuesday","Wednesday","Thursday","Friday","Saturday","Sunday")</f>
        <v>Sunday</v>
      </c>
      <c r="J496">
        <v>1</v>
      </c>
      <c r="K496">
        <v>0.12</v>
      </c>
      <c r="L496">
        <v>0.13639999999999999</v>
      </c>
      <c r="M496">
        <v>0.28000000000000003</v>
      </c>
      <c r="N496" s="1" t="str">
        <f>IF(Table2[[#This Row],[hum]]&lt;=0.8,"Humid",IF(Table2[[#This Row],[hum]]&gt;=0.8,"High Humid"))</f>
        <v>Humid</v>
      </c>
      <c r="O496">
        <v>0.19400000000000001</v>
      </c>
      <c r="P496">
        <v>11</v>
      </c>
      <c r="Q496">
        <v>72</v>
      </c>
      <c r="R496">
        <v>83</v>
      </c>
    </row>
    <row r="497" spans="1:18" x14ac:dyDescent="0.25">
      <c r="A497">
        <v>496</v>
      </c>
      <c r="B497" s="2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 t="str">
        <f>CHOOSE(H497+1,"Monday","Tuesday","Wednesday","Thursday","Friday","Saturday","Sunday")</f>
        <v>Sunday</v>
      </c>
      <c r="J497">
        <v>1</v>
      </c>
      <c r="K497">
        <v>0.12</v>
      </c>
      <c r="L497">
        <v>0.19700000000000001</v>
      </c>
      <c r="M497">
        <v>0.28000000000000003</v>
      </c>
      <c r="N497" s="1" t="str">
        <f>IF(Table2[[#This Row],[hum]]&lt;=0.8,"Humid",IF(Table2[[#This Row],[hum]]&gt;=0.8,"High Humid"))</f>
        <v>Humid</v>
      </c>
      <c r="O497">
        <v>0</v>
      </c>
      <c r="P497">
        <v>8</v>
      </c>
      <c r="Q497">
        <v>59</v>
      </c>
      <c r="R497">
        <v>67</v>
      </c>
    </row>
    <row r="498" spans="1:18" x14ac:dyDescent="0.25">
      <c r="A498">
        <v>497</v>
      </c>
      <c r="B498" s="2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 t="str">
        <f>CHOOSE(H498+1,"Monday","Tuesday","Wednesday","Thursday","Friday","Saturday","Sunday")</f>
        <v>Sunday</v>
      </c>
      <c r="J498">
        <v>1</v>
      </c>
      <c r="K498">
        <v>0.08</v>
      </c>
      <c r="L498">
        <v>9.0899999999999995E-2</v>
      </c>
      <c r="M498">
        <v>0.35</v>
      </c>
      <c r="N498" s="1" t="str">
        <f>IF(Table2[[#This Row],[hum]]&lt;=0.8,"Humid",IF(Table2[[#This Row],[hum]]&gt;=0.8,"High Humid"))</f>
        <v>Humid</v>
      </c>
      <c r="O498">
        <v>0.19400000000000001</v>
      </c>
      <c r="P498">
        <v>0</v>
      </c>
      <c r="Q498">
        <v>54</v>
      </c>
      <c r="R498">
        <v>54</v>
      </c>
    </row>
    <row r="499" spans="1:18" x14ac:dyDescent="0.25">
      <c r="A499">
        <v>498</v>
      </c>
      <c r="B499" s="2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 t="str">
        <f>CHOOSE(H499+1,"Monday","Tuesday","Wednesday","Thursday","Friday","Saturday","Sunday")</f>
        <v>Sunday</v>
      </c>
      <c r="J499">
        <v>1</v>
      </c>
      <c r="K499">
        <v>0.08</v>
      </c>
      <c r="L499">
        <v>0.1061</v>
      </c>
      <c r="M499">
        <v>0.35</v>
      </c>
      <c r="N499" s="1" t="str">
        <f>IF(Table2[[#This Row],[hum]]&lt;=0.8,"Humid",IF(Table2[[#This Row],[hum]]&gt;=0.8,"High Humid"))</f>
        <v>Humid</v>
      </c>
      <c r="O499">
        <v>0.1343</v>
      </c>
      <c r="P499">
        <v>6</v>
      </c>
      <c r="Q499">
        <v>53</v>
      </c>
      <c r="R499">
        <v>59</v>
      </c>
    </row>
    <row r="500" spans="1:18" x14ac:dyDescent="0.25">
      <c r="A500">
        <v>499</v>
      </c>
      <c r="B500" s="2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 t="str">
        <f>CHOOSE(H500+1,"Monday","Tuesday","Wednesday","Thursday","Friday","Saturday","Sunday")</f>
        <v>Sunday</v>
      </c>
      <c r="J500">
        <v>1</v>
      </c>
      <c r="K500">
        <v>0.06</v>
      </c>
      <c r="L500">
        <v>7.5800000000000006E-2</v>
      </c>
      <c r="M500">
        <v>0.45</v>
      </c>
      <c r="N500" s="1" t="str">
        <f>IF(Table2[[#This Row],[hum]]&lt;=0.8,"Humid",IF(Table2[[#This Row],[hum]]&gt;=0.8,"High Humid"))</f>
        <v>Humid</v>
      </c>
      <c r="O500">
        <v>0.16420000000000001</v>
      </c>
      <c r="P500">
        <v>1</v>
      </c>
      <c r="Q500">
        <v>44</v>
      </c>
      <c r="R500">
        <v>45</v>
      </c>
    </row>
    <row r="501" spans="1:18" x14ac:dyDescent="0.25">
      <c r="A501">
        <v>500</v>
      </c>
      <c r="B501" s="2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 t="str">
        <f>CHOOSE(H501+1,"Monday","Tuesday","Wednesday","Thursday","Friday","Saturday","Sunday")</f>
        <v>Sunday</v>
      </c>
      <c r="J501">
        <v>1</v>
      </c>
      <c r="K501">
        <v>0.06</v>
      </c>
      <c r="L501">
        <v>0.1061</v>
      </c>
      <c r="M501">
        <v>0.41</v>
      </c>
      <c r="N501" s="1" t="str">
        <f>IF(Table2[[#This Row],[hum]]&lt;=0.8,"Humid",IF(Table2[[#This Row],[hum]]&gt;=0.8,"High Humid"))</f>
        <v>Humid</v>
      </c>
      <c r="O501">
        <v>8.9599999999999999E-2</v>
      </c>
      <c r="P501">
        <v>0</v>
      </c>
      <c r="Q501">
        <v>39</v>
      </c>
      <c r="R501">
        <v>39</v>
      </c>
    </row>
    <row r="502" spans="1:18" x14ac:dyDescent="0.25">
      <c r="A502">
        <v>501</v>
      </c>
      <c r="B502" s="2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 t="str">
        <f>CHOOSE(H502+1,"Monday","Tuesday","Wednesday","Thursday","Friday","Saturday","Sunday")</f>
        <v>Sunday</v>
      </c>
      <c r="J502">
        <v>1</v>
      </c>
      <c r="K502">
        <v>0.06</v>
      </c>
      <c r="L502">
        <v>0.1515</v>
      </c>
      <c r="M502">
        <v>0.49</v>
      </c>
      <c r="N502" s="1" t="str">
        <f>IF(Table2[[#This Row],[hum]]&lt;=0.8,"Humid",IF(Table2[[#This Row],[hum]]&gt;=0.8,"High Humid"))</f>
        <v>Humid</v>
      </c>
      <c r="O502">
        <v>0</v>
      </c>
      <c r="P502">
        <v>7</v>
      </c>
      <c r="Q502">
        <v>23</v>
      </c>
      <c r="R502">
        <v>30</v>
      </c>
    </row>
    <row r="503" spans="1:18" x14ac:dyDescent="0.25">
      <c r="A503">
        <v>502</v>
      </c>
      <c r="B503" s="2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 t="str">
        <f>CHOOSE(H503+1,"Monday","Tuesday","Wednesday","Thursday","Friday","Saturday","Sunday")</f>
        <v>Sunday</v>
      </c>
      <c r="J503">
        <v>1</v>
      </c>
      <c r="K503">
        <v>0.04</v>
      </c>
      <c r="L503">
        <v>7.5800000000000006E-2</v>
      </c>
      <c r="M503">
        <v>0.56999999999999995</v>
      </c>
      <c r="N503" s="1" t="str">
        <f>IF(Table2[[#This Row],[hum]]&lt;=0.8,"Humid",IF(Table2[[#This Row],[hum]]&gt;=0.8,"High Humid"))</f>
        <v>Humid</v>
      </c>
      <c r="O503">
        <v>0.1045</v>
      </c>
      <c r="P503">
        <v>2</v>
      </c>
      <c r="Q503">
        <v>31</v>
      </c>
      <c r="R503">
        <v>33</v>
      </c>
    </row>
    <row r="504" spans="1:18" x14ac:dyDescent="0.25">
      <c r="A504">
        <v>503</v>
      </c>
      <c r="B504" s="2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 t="str">
        <f>CHOOSE(H504+1,"Monday","Tuesday","Wednesday","Thursday","Friday","Saturday","Sunday")</f>
        <v>Monday</v>
      </c>
      <c r="J504">
        <v>1</v>
      </c>
      <c r="K504">
        <v>0.04</v>
      </c>
      <c r="L504">
        <v>7.5800000000000006E-2</v>
      </c>
      <c r="M504">
        <v>0.56999999999999995</v>
      </c>
      <c r="N504" s="1" t="str">
        <f>IF(Table2[[#This Row],[hum]]&lt;=0.8,"Humid",IF(Table2[[#This Row],[hum]]&gt;=0.8,"High Humid"))</f>
        <v>Humid</v>
      </c>
      <c r="O504">
        <v>0.1045</v>
      </c>
      <c r="P504">
        <v>2</v>
      </c>
      <c r="Q504">
        <v>20</v>
      </c>
      <c r="R504">
        <v>22</v>
      </c>
    </row>
    <row r="505" spans="1:18" x14ac:dyDescent="0.25">
      <c r="A505">
        <v>504</v>
      </c>
      <c r="B505" s="2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 t="str">
        <f>CHOOSE(H505+1,"Monday","Tuesday","Wednesday","Thursday","Friday","Saturday","Sunday")</f>
        <v>Monday</v>
      </c>
      <c r="J505">
        <v>1</v>
      </c>
      <c r="K505">
        <v>0.04</v>
      </c>
      <c r="L505">
        <v>7.5800000000000006E-2</v>
      </c>
      <c r="M505">
        <v>0.56999999999999995</v>
      </c>
      <c r="N505" s="1" t="str">
        <f>IF(Table2[[#This Row],[hum]]&lt;=0.8,"Humid",IF(Table2[[#This Row],[hum]]&gt;=0.8,"High Humid"))</f>
        <v>Humid</v>
      </c>
      <c r="O505">
        <v>0.1045</v>
      </c>
      <c r="P505">
        <v>1</v>
      </c>
      <c r="Q505">
        <v>12</v>
      </c>
      <c r="R505">
        <v>13</v>
      </c>
    </row>
    <row r="506" spans="1:18" x14ac:dyDescent="0.25">
      <c r="A506">
        <v>505</v>
      </c>
      <c r="B506" s="2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 t="str">
        <f>CHOOSE(H506+1,"Monday","Tuesday","Wednesday","Thursday","Friday","Saturday","Sunday")</f>
        <v>Monday</v>
      </c>
      <c r="J506">
        <v>1</v>
      </c>
      <c r="K506">
        <v>0.02</v>
      </c>
      <c r="L506">
        <v>6.0600000000000001E-2</v>
      </c>
      <c r="M506">
        <v>0.62</v>
      </c>
      <c r="N506" s="1" t="str">
        <f>IF(Table2[[#This Row],[hum]]&lt;=0.8,"Humid",IF(Table2[[#This Row],[hum]]&gt;=0.8,"High Humid"))</f>
        <v>Humid</v>
      </c>
      <c r="O506">
        <v>0.1343</v>
      </c>
      <c r="P506">
        <v>3</v>
      </c>
      <c r="Q506">
        <v>15</v>
      </c>
      <c r="R506">
        <v>18</v>
      </c>
    </row>
    <row r="507" spans="1:18" x14ac:dyDescent="0.25">
      <c r="A507">
        <v>506</v>
      </c>
      <c r="B507" s="2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 t="str">
        <f>CHOOSE(H507+1,"Monday","Tuesday","Wednesday","Thursday","Friday","Saturday","Sunday")</f>
        <v>Monday</v>
      </c>
      <c r="J507">
        <v>1</v>
      </c>
      <c r="K507">
        <v>0.02</v>
      </c>
      <c r="L507">
        <v>6.0600000000000001E-2</v>
      </c>
      <c r="M507">
        <v>0.62</v>
      </c>
      <c r="N507" s="1" t="str">
        <f>IF(Table2[[#This Row],[hum]]&lt;=0.8,"Humid",IF(Table2[[#This Row],[hum]]&gt;=0.8,"High Humid"))</f>
        <v>Humid</v>
      </c>
      <c r="O507">
        <v>0.1343</v>
      </c>
      <c r="P507">
        <v>1</v>
      </c>
      <c r="Q507">
        <v>4</v>
      </c>
      <c r="R507">
        <v>5</v>
      </c>
    </row>
    <row r="508" spans="1:18" x14ac:dyDescent="0.25">
      <c r="A508">
        <v>507</v>
      </c>
      <c r="B508" s="2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 t="str">
        <f>CHOOSE(H508+1,"Monday","Tuesday","Wednesday","Thursday","Friday","Saturday","Sunday")</f>
        <v>Monday</v>
      </c>
      <c r="J508">
        <v>2</v>
      </c>
      <c r="K508">
        <v>0.04</v>
      </c>
      <c r="L508">
        <v>7.5800000000000006E-2</v>
      </c>
      <c r="M508">
        <v>0.56999999999999995</v>
      </c>
      <c r="N508" s="1" t="str">
        <f>IF(Table2[[#This Row],[hum]]&lt;=0.8,"Humid",IF(Table2[[#This Row],[hum]]&gt;=0.8,"High Humid"))</f>
        <v>Humid</v>
      </c>
      <c r="O508">
        <v>0.1045</v>
      </c>
      <c r="P508">
        <v>0</v>
      </c>
      <c r="Q508">
        <v>3</v>
      </c>
      <c r="R508">
        <v>3</v>
      </c>
    </row>
    <row r="509" spans="1:18" x14ac:dyDescent="0.25">
      <c r="A509">
        <v>508</v>
      </c>
      <c r="B509" s="2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 t="str">
        <f>CHOOSE(H509+1,"Monday","Tuesday","Wednesday","Thursday","Friday","Saturday","Sunday")</f>
        <v>Monday</v>
      </c>
      <c r="J509">
        <v>2</v>
      </c>
      <c r="K509">
        <v>0.04</v>
      </c>
      <c r="L509">
        <v>7.5800000000000006E-2</v>
      </c>
      <c r="M509">
        <v>0.56999999999999995</v>
      </c>
      <c r="N509" s="1" t="str">
        <f>IF(Table2[[#This Row],[hum]]&lt;=0.8,"Humid",IF(Table2[[#This Row],[hum]]&gt;=0.8,"High Humid"))</f>
        <v>Humid</v>
      </c>
      <c r="O509">
        <v>0.1045</v>
      </c>
      <c r="P509">
        <v>0</v>
      </c>
      <c r="Q509">
        <v>1</v>
      </c>
      <c r="R509">
        <v>1</v>
      </c>
    </row>
    <row r="510" spans="1:18" x14ac:dyDescent="0.25">
      <c r="A510">
        <v>509</v>
      </c>
      <c r="B510" s="2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 t="str">
        <f>CHOOSE(H510+1,"Monday","Tuesday","Wednesday","Thursday","Friday","Saturday","Sunday")</f>
        <v>Monday</v>
      </c>
      <c r="J510">
        <v>1</v>
      </c>
      <c r="K510">
        <v>0.08</v>
      </c>
      <c r="L510">
        <v>0.1061</v>
      </c>
      <c r="M510">
        <v>0.57999999999999996</v>
      </c>
      <c r="N510" s="1" t="str">
        <f>IF(Table2[[#This Row],[hum]]&lt;=0.8,"Humid",IF(Table2[[#This Row],[hum]]&gt;=0.8,"High Humid"))</f>
        <v>Humid</v>
      </c>
      <c r="O510">
        <v>0.16420000000000001</v>
      </c>
      <c r="P510">
        <v>1</v>
      </c>
      <c r="Q510">
        <v>1</v>
      </c>
      <c r="R510">
        <v>2</v>
      </c>
    </row>
    <row r="511" spans="1:18" x14ac:dyDescent="0.25">
      <c r="A511">
        <v>510</v>
      </c>
      <c r="B511" s="2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 t="str">
        <f>CHOOSE(H511+1,"Monday","Tuesday","Wednesday","Thursday","Friday","Saturday","Sunday")</f>
        <v>Monday</v>
      </c>
      <c r="J511">
        <v>1</v>
      </c>
      <c r="K511">
        <v>0.06</v>
      </c>
      <c r="L511">
        <v>7.5800000000000006E-2</v>
      </c>
      <c r="M511">
        <v>0.62</v>
      </c>
      <c r="N511" s="1" t="str">
        <f>IF(Table2[[#This Row],[hum]]&lt;=0.8,"Humid",IF(Table2[[#This Row],[hum]]&gt;=0.8,"High Humid"))</f>
        <v>Humid</v>
      </c>
      <c r="O511">
        <v>0.16420000000000001</v>
      </c>
      <c r="P511">
        <v>2</v>
      </c>
      <c r="Q511">
        <v>17</v>
      </c>
      <c r="R511">
        <v>19</v>
      </c>
    </row>
    <row r="512" spans="1:18" x14ac:dyDescent="0.25">
      <c r="A512">
        <v>511</v>
      </c>
      <c r="B512" s="2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 t="str">
        <f>CHOOSE(H512+1,"Monday","Tuesday","Wednesday","Thursday","Friday","Saturday","Sunday")</f>
        <v>Monday</v>
      </c>
      <c r="J512">
        <v>1</v>
      </c>
      <c r="K512">
        <v>0.1</v>
      </c>
      <c r="L512">
        <v>7.5800000000000006E-2</v>
      </c>
      <c r="M512">
        <v>0.54</v>
      </c>
      <c r="N512" s="1" t="str">
        <f>IF(Table2[[#This Row],[hum]]&lt;=0.8,"Humid",IF(Table2[[#This Row],[hum]]&gt;=0.8,"High Humid"))</f>
        <v>Humid</v>
      </c>
      <c r="O512">
        <v>0.35820000000000002</v>
      </c>
      <c r="P512">
        <v>3</v>
      </c>
      <c r="Q512">
        <v>25</v>
      </c>
      <c r="R512">
        <v>28</v>
      </c>
    </row>
    <row r="513" spans="1:18" x14ac:dyDescent="0.25">
      <c r="A513">
        <v>512</v>
      </c>
      <c r="B513" s="2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 t="str">
        <f>CHOOSE(H513+1,"Monday","Tuesday","Wednesday","Thursday","Friday","Saturday","Sunday")</f>
        <v>Monday</v>
      </c>
      <c r="J513">
        <v>1</v>
      </c>
      <c r="K513">
        <v>0.14000000000000001</v>
      </c>
      <c r="L513">
        <v>0.1061</v>
      </c>
      <c r="M513">
        <v>0.46</v>
      </c>
      <c r="N513" s="1" t="str">
        <f>IF(Table2[[#This Row],[hum]]&lt;=0.8,"Humid",IF(Table2[[#This Row],[hum]]&gt;=0.8,"High Humid"))</f>
        <v>Humid</v>
      </c>
      <c r="O513">
        <v>0.3881</v>
      </c>
      <c r="P513">
        <v>7</v>
      </c>
      <c r="Q513">
        <v>51</v>
      </c>
      <c r="R513">
        <v>58</v>
      </c>
    </row>
    <row r="514" spans="1:18" x14ac:dyDescent="0.25">
      <c r="A514">
        <v>513</v>
      </c>
      <c r="B514" s="2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 t="str">
        <f>CHOOSE(H514+1,"Monday","Tuesday","Wednesday","Thursday","Friday","Saturday","Sunday")</f>
        <v>Monday</v>
      </c>
      <c r="J514">
        <v>1</v>
      </c>
      <c r="K514">
        <v>0.14000000000000001</v>
      </c>
      <c r="L514">
        <v>0.13639999999999999</v>
      </c>
      <c r="M514">
        <v>0.43</v>
      </c>
      <c r="N514" s="1" t="str">
        <f>IF(Table2[[#This Row],[hum]]&lt;=0.8,"Humid",IF(Table2[[#This Row],[hum]]&gt;=0.8,"High Humid"))</f>
        <v>Humid</v>
      </c>
      <c r="O514">
        <v>0.22389999999999999</v>
      </c>
      <c r="P514">
        <v>22</v>
      </c>
      <c r="Q514">
        <v>77</v>
      </c>
      <c r="R514">
        <v>99</v>
      </c>
    </row>
    <row r="515" spans="1:18" x14ac:dyDescent="0.25">
      <c r="A515">
        <v>514</v>
      </c>
      <c r="B515" s="2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 t="str">
        <f>CHOOSE(H515+1,"Monday","Tuesday","Wednesday","Thursday","Friday","Saturday","Sunday")</f>
        <v>Monday</v>
      </c>
      <c r="J515">
        <v>1</v>
      </c>
      <c r="K515">
        <v>0.16</v>
      </c>
      <c r="L515">
        <v>0.1212</v>
      </c>
      <c r="M515">
        <v>0.37</v>
      </c>
      <c r="N515" s="1" t="str">
        <f>IF(Table2[[#This Row],[hum]]&lt;=0.8,"Humid",IF(Table2[[#This Row],[hum]]&gt;=0.8,"High Humid"))</f>
        <v>Humid</v>
      </c>
      <c r="O515">
        <v>0.4627</v>
      </c>
      <c r="P515">
        <v>24</v>
      </c>
      <c r="Q515">
        <v>92</v>
      </c>
      <c r="R515">
        <v>116</v>
      </c>
    </row>
    <row r="516" spans="1:18" x14ac:dyDescent="0.25">
      <c r="A516">
        <v>515</v>
      </c>
      <c r="B516" s="2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 t="str">
        <f>CHOOSE(H516+1,"Monday","Tuesday","Wednesday","Thursday","Friday","Saturday","Sunday")</f>
        <v>Monday</v>
      </c>
      <c r="J516">
        <v>1</v>
      </c>
      <c r="K516">
        <v>0.14000000000000001</v>
      </c>
      <c r="L516">
        <v>0.1061</v>
      </c>
      <c r="M516">
        <v>0.33</v>
      </c>
      <c r="N516" s="1" t="str">
        <f>IF(Table2[[#This Row],[hum]]&lt;=0.8,"Humid",IF(Table2[[#This Row],[hum]]&gt;=0.8,"High Humid"))</f>
        <v>Humid</v>
      </c>
      <c r="O516">
        <v>0.3881</v>
      </c>
      <c r="P516">
        <v>12</v>
      </c>
      <c r="Q516">
        <v>75</v>
      </c>
      <c r="R516">
        <v>87</v>
      </c>
    </row>
    <row r="517" spans="1:18" x14ac:dyDescent="0.25">
      <c r="A517">
        <v>516</v>
      </c>
      <c r="B517" s="2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 t="str">
        <f>CHOOSE(H517+1,"Monday","Tuesday","Wednesday","Thursday","Friday","Saturday","Sunday")</f>
        <v>Monday</v>
      </c>
      <c r="J517">
        <v>1</v>
      </c>
      <c r="K517">
        <v>0.16</v>
      </c>
      <c r="L517">
        <v>0.13639999999999999</v>
      </c>
      <c r="M517">
        <v>0.28000000000000003</v>
      </c>
      <c r="N517" s="1" t="str">
        <f>IF(Table2[[#This Row],[hum]]&lt;=0.8,"Humid",IF(Table2[[#This Row],[hum]]&gt;=0.8,"High Humid"))</f>
        <v>Humid</v>
      </c>
      <c r="O517">
        <v>0.35820000000000002</v>
      </c>
      <c r="P517">
        <v>17</v>
      </c>
      <c r="Q517">
        <v>93</v>
      </c>
      <c r="R517">
        <v>110</v>
      </c>
    </row>
    <row r="518" spans="1:18" x14ac:dyDescent="0.25">
      <c r="A518">
        <v>517</v>
      </c>
      <c r="B518" s="2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 t="str">
        <f>CHOOSE(H518+1,"Monday","Tuesday","Wednesday","Thursday","Friday","Saturday","Sunday")</f>
        <v>Monday</v>
      </c>
      <c r="J518">
        <v>1</v>
      </c>
      <c r="K518">
        <v>0.16</v>
      </c>
      <c r="L518">
        <v>0.13639999999999999</v>
      </c>
      <c r="M518">
        <v>0.28000000000000003</v>
      </c>
      <c r="N518" s="1" t="str">
        <f>IF(Table2[[#This Row],[hum]]&lt;=0.8,"Humid",IF(Table2[[#This Row],[hum]]&gt;=0.8,"High Humid"))</f>
        <v>Humid</v>
      </c>
      <c r="O518">
        <v>0.35820000000000002</v>
      </c>
      <c r="P518">
        <v>13</v>
      </c>
      <c r="Q518">
        <v>64</v>
      </c>
      <c r="R518">
        <v>77</v>
      </c>
    </row>
    <row r="519" spans="1:18" x14ac:dyDescent="0.25">
      <c r="A519">
        <v>518</v>
      </c>
      <c r="B519" s="2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 t="str">
        <f>CHOOSE(H519+1,"Monday","Tuesday","Wednesday","Thursday","Friday","Saturday","Sunday")</f>
        <v>Monday</v>
      </c>
      <c r="J519">
        <v>1</v>
      </c>
      <c r="K519">
        <v>0.16</v>
      </c>
      <c r="L519">
        <v>0.13639999999999999</v>
      </c>
      <c r="M519">
        <v>0.26</v>
      </c>
      <c r="N519" s="1" t="str">
        <f>IF(Table2[[#This Row],[hum]]&lt;=0.8,"Humid",IF(Table2[[#This Row],[hum]]&gt;=0.8,"High Humid"))</f>
        <v>Humid</v>
      </c>
      <c r="O519">
        <v>0.32840000000000003</v>
      </c>
      <c r="P519">
        <v>9</v>
      </c>
      <c r="Q519">
        <v>56</v>
      </c>
      <c r="R519">
        <v>65</v>
      </c>
    </row>
    <row r="520" spans="1:18" x14ac:dyDescent="0.25">
      <c r="A520">
        <v>519</v>
      </c>
      <c r="B520" s="2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 t="str">
        <f>CHOOSE(H520+1,"Monday","Tuesday","Wednesday","Thursday","Friday","Saturday","Sunday")</f>
        <v>Monday</v>
      </c>
      <c r="J520">
        <v>1</v>
      </c>
      <c r="K520">
        <v>0.14000000000000001</v>
      </c>
      <c r="L520">
        <v>0.1061</v>
      </c>
      <c r="M520">
        <v>0.26</v>
      </c>
      <c r="N520" s="1" t="str">
        <f>IF(Table2[[#This Row],[hum]]&lt;=0.8,"Humid",IF(Table2[[#This Row],[hum]]&gt;=0.8,"High Humid"))</f>
        <v>Humid</v>
      </c>
      <c r="O520">
        <v>0.3881</v>
      </c>
      <c r="P520">
        <v>5</v>
      </c>
      <c r="Q520">
        <v>50</v>
      </c>
      <c r="R520">
        <v>55</v>
      </c>
    </row>
    <row r="521" spans="1:18" x14ac:dyDescent="0.25">
      <c r="A521">
        <v>520</v>
      </c>
      <c r="B521" s="2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 t="str">
        <f>CHOOSE(H521+1,"Monday","Tuesday","Wednesday","Thursday","Friday","Saturday","Sunday")</f>
        <v>Monday</v>
      </c>
      <c r="J521">
        <v>1</v>
      </c>
      <c r="K521">
        <v>0.12</v>
      </c>
      <c r="L521">
        <v>0.1212</v>
      </c>
      <c r="M521">
        <v>0.3</v>
      </c>
      <c r="N521" s="1" t="str">
        <f>IF(Table2[[#This Row],[hum]]&lt;=0.8,"Humid",IF(Table2[[#This Row],[hum]]&gt;=0.8,"High Humid"))</f>
        <v>Humid</v>
      </c>
      <c r="O521">
        <v>0.25369999999999998</v>
      </c>
      <c r="P521">
        <v>5</v>
      </c>
      <c r="Q521">
        <v>44</v>
      </c>
      <c r="R521">
        <v>49</v>
      </c>
    </row>
    <row r="522" spans="1:18" x14ac:dyDescent="0.25">
      <c r="A522">
        <v>521</v>
      </c>
      <c r="B522" s="2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 t="str">
        <f>CHOOSE(H522+1,"Monday","Tuesday","Wednesday","Thursday","Friday","Saturday","Sunday")</f>
        <v>Monday</v>
      </c>
      <c r="J522">
        <v>1</v>
      </c>
      <c r="K522">
        <v>0.12</v>
      </c>
      <c r="L522">
        <v>0.1212</v>
      </c>
      <c r="M522">
        <v>0.3</v>
      </c>
      <c r="N522" s="1" t="str">
        <f>IF(Table2[[#This Row],[hum]]&lt;=0.8,"Humid",IF(Table2[[#This Row],[hum]]&gt;=0.8,"High Humid"))</f>
        <v>Humid</v>
      </c>
      <c r="O522">
        <v>0.28360000000000002</v>
      </c>
      <c r="P522">
        <v>5</v>
      </c>
      <c r="Q522">
        <v>45</v>
      </c>
      <c r="R522">
        <v>50</v>
      </c>
    </row>
    <row r="523" spans="1:18" x14ac:dyDescent="0.25">
      <c r="A523">
        <v>522</v>
      </c>
      <c r="B523" s="2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 t="str">
        <f>CHOOSE(H523+1,"Monday","Tuesday","Wednesday","Thursday","Friday","Saturday","Sunday")</f>
        <v>Monday</v>
      </c>
      <c r="J523">
        <v>1</v>
      </c>
      <c r="K523">
        <v>0.1</v>
      </c>
      <c r="L523">
        <v>0.1061</v>
      </c>
      <c r="M523">
        <v>0.36</v>
      </c>
      <c r="N523" s="1" t="str">
        <f>IF(Table2[[#This Row],[hum]]&lt;=0.8,"Humid",IF(Table2[[#This Row],[hum]]&gt;=0.8,"High Humid"))</f>
        <v>Humid</v>
      </c>
      <c r="O523">
        <v>0.25369999999999998</v>
      </c>
      <c r="P523">
        <v>4</v>
      </c>
      <c r="Q523">
        <v>31</v>
      </c>
      <c r="R523">
        <v>35</v>
      </c>
    </row>
    <row r="524" spans="1:18" x14ac:dyDescent="0.25">
      <c r="A524">
        <v>523</v>
      </c>
      <c r="B524" s="2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 t="str">
        <f>CHOOSE(H524+1,"Monday","Tuesday","Wednesday","Thursday","Friday","Saturday","Sunday")</f>
        <v>Monday</v>
      </c>
      <c r="J524">
        <v>1</v>
      </c>
      <c r="K524">
        <v>0.1</v>
      </c>
      <c r="L524">
        <v>0.1061</v>
      </c>
      <c r="M524">
        <v>0.36</v>
      </c>
      <c r="N524" s="1" t="str">
        <f>IF(Table2[[#This Row],[hum]]&lt;=0.8,"Humid",IF(Table2[[#This Row],[hum]]&gt;=0.8,"High Humid"))</f>
        <v>Humid</v>
      </c>
      <c r="O524">
        <v>0.19400000000000001</v>
      </c>
      <c r="P524">
        <v>5</v>
      </c>
      <c r="Q524">
        <v>20</v>
      </c>
      <c r="R524">
        <v>25</v>
      </c>
    </row>
    <row r="525" spans="1:18" x14ac:dyDescent="0.25">
      <c r="A525">
        <v>524</v>
      </c>
      <c r="B525" s="2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 t="str">
        <f>CHOOSE(H525+1,"Monday","Tuesday","Wednesday","Thursday","Friday","Saturday","Sunday")</f>
        <v>Monday</v>
      </c>
      <c r="J525">
        <v>1</v>
      </c>
      <c r="K525">
        <v>0.08</v>
      </c>
      <c r="L525">
        <v>9.0899999999999995E-2</v>
      </c>
      <c r="M525">
        <v>0.38</v>
      </c>
      <c r="N525" s="1" t="str">
        <f>IF(Table2[[#This Row],[hum]]&lt;=0.8,"Humid",IF(Table2[[#This Row],[hum]]&gt;=0.8,"High Humid"))</f>
        <v>Humid</v>
      </c>
      <c r="O525">
        <v>0.19400000000000001</v>
      </c>
      <c r="P525">
        <v>5</v>
      </c>
      <c r="Q525">
        <v>23</v>
      </c>
      <c r="R525">
        <v>28</v>
      </c>
    </row>
    <row r="526" spans="1:18" x14ac:dyDescent="0.25">
      <c r="A526">
        <v>525</v>
      </c>
      <c r="B526" s="2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 t="str">
        <f>CHOOSE(H526+1,"Monday","Tuesday","Wednesday","Thursday","Friday","Saturday","Sunday")</f>
        <v>Monday</v>
      </c>
      <c r="J526">
        <v>1</v>
      </c>
      <c r="K526">
        <v>0.06</v>
      </c>
      <c r="L526">
        <v>6.0600000000000001E-2</v>
      </c>
      <c r="M526">
        <v>0.41</v>
      </c>
      <c r="N526" s="1" t="str">
        <f>IF(Table2[[#This Row],[hum]]&lt;=0.8,"Humid",IF(Table2[[#This Row],[hum]]&gt;=0.8,"High Humid"))</f>
        <v>Humid</v>
      </c>
      <c r="O526">
        <v>0.22389999999999999</v>
      </c>
      <c r="P526">
        <v>4</v>
      </c>
      <c r="Q526">
        <v>17</v>
      </c>
      <c r="R526">
        <v>21</v>
      </c>
    </row>
    <row r="527" spans="1:18" x14ac:dyDescent="0.25">
      <c r="A527">
        <v>526</v>
      </c>
      <c r="B527" s="2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 t="str">
        <f>CHOOSE(H527+1,"Monday","Tuesday","Wednesday","Thursday","Friday","Saturday","Sunday")</f>
        <v>Tuesday</v>
      </c>
      <c r="J527">
        <v>1</v>
      </c>
      <c r="K527">
        <v>0.06</v>
      </c>
      <c r="L527">
        <v>6.0600000000000001E-2</v>
      </c>
      <c r="M527">
        <v>0.41</v>
      </c>
      <c r="N527" s="1" t="str">
        <f>IF(Table2[[#This Row],[hum]]&lt;=0.8,"Humid",IF(Table2[[#This Row],[hum]]&gt;=0.8,"High Humid"))</f>
        <v>Humid</v>
      </c>
      <c r="O527">
        <v>0.19400000000000001</v>
      </c>
      <c r="P527">
        <v>0</v>
      </c>
      <c r="Q527">
        <v>7</v>
      </c>
      <c r="R527">
        <v>7</v>
      </c>
    </row>
    <row r="528" spans="1:18" x14ac:dyDescent="0.25">
      <c r="A528">
        <v>527</v>
      </c>
      <c r="B528" s="2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 t="str">
        <f>CHOOSE(H528+1,"Monday","Tuesday","Wednesday","Thursday","Friday","Saturday","Sunday")</f>
        <v>Tuesday</v>
      </c>
      <c r="J528">
        <v>1</v>
      </c>
      <c r="K528">
        <v>0.04</v>
      </c>
      <c r="L528">
        <v>4.5499999999999999E-2</v>
      </c>
      <c r="M528">
        <v>0.45</v>
      </c>
      <c r="N528" s="1" t="str">
        <f>IF(Table2[[#This Row],[hum]]&lt;=0.8,"Humid",IF(Table2[[#This Row],[hum]]&gt;=0.8,"High Humid"))</f>
        <v>Humid</v>
      </c>
      <c r="O528">
        <v>0.19400000000000001</v>
      </c>
      <c r="P528">
        <v>0</v>
      </c>
      <c r="Q528">
        <v>1</v>
      </c>
      <c r="R528">
        <v>1</v>
      </c>
    </row>
    <row r="529" spans="1:18" x14ac:dyDescent="0.25">
      <c r="A529">
        <v>528</v>
      </c>
      <c r="B529" s="2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 t="str">
        <f>CHOOSE(H529+1,"Monday","Tuesday","Wednesday","Thursday","Friday","Saturday","Sunday")</f>
        <v>Tuesday</v>
      </c>
      <c r="J529">
        <v>1</v>
      </c>
      <c r="K529">
        <v>0.04</v>
      </c>
      <c r="L529">
        <v>3.0300000000000001E-2</v>
      </c>
      <c r="M529">
        <v>0.45</v>
      </c>
      <c r="N529" s="1" t="str">
        <f>IF(Table2[[#This Row],[hum]]&lt;=0.8,"Humid",IF(Table2[[#This Row],[hum]]&gt;=0.8,"High Humid"))</f>
        <v>Humid</v>
      </c>
      <c r="O529">
        <v>0.25369999999999998</v>
      </c>
      <c r="P529">
        <v>0</v>
      </c>
      <c r="Q529">
        <v>1</v>
      </c>
      <c r="R529">
        <v>1</v>
      </c>
    </row>
    <row r="530" spans="1:18" x14ac:dyDescent="0.25">
      <c r="A530">
        <v>529</v>
      </c>
      <c r="B530" s="2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 t="str">
        <f>CHOOSE(H530+1,"Monday","Tuesday","Wednesday","Thursday","Friday","Saturday","Sunday")</f>
        <v>Tuesday</v>
      </c>
      <c r="J530">
        <v>1</v>
      </c>
      <c r="K530">
        <v>0.02</v>
      </c>
      <c r="L530">
        <v>6.0600000000000001E-2</v>
      </c>
      <c r="M530">
        <v>0.48</v>
      </c>
      <c r="N530" s="1" t="str">
        <f>IF(Table2[[#This Row],[hum]]&lt;=0.8,"Humid",IF(Table2[[#This Row],[hum]]&gt;=0.8,"High Humid"))</f>
        <v>Humid</v>
      </c>
      <c r="O530">
        <v>0.1343</v>
      </c>
      <c r="P530">
        <v>0</v>
      </c>
      <c r="Q530">
        <v>1</v>
      </c>
      <c r="R530">
        <v>1</v>
      </c>
    </row>
    <row r="531" spans="1:18" x14ac:dyDescent="0.25">
      <c r="A531">
        <v>530</v>
      </c>
      <c r="B531" s="2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 t="str">
        <f>CHOOSE(H531+1,"Monday","Tuesday","Wednesday","Thursday","Friday","Saturday","Sunday")</f>
        <v>Tuesday</v>
      </c>
      <c r="J531">
        <v>1</v>
      </c>
      <c r="K531">
        <v>0.02</v>
      </c>
      <c r="L531">
        <v>6.0600000000000001E-2</v>
      </c>
      <c r="M531">
        <v>0.48</v>
      </c>
      <c r="N531" s="1" t="str">
        <f>IF(Table2[[#This Row],[hum]]&lt;=0.8,"Humid",IF(Table2[[#This Row],[hum]]&gt;=0.8,"High Humid"))</f>
        <v>Humid</v>
      </c>
      <c r="O531">
        <v>0.1343</v>
      </c>
      <c r="P531">
        <v>0</v>
      </c>
      <c r="Q531">
        <v>5</v>
      </c>
      <c r="R531">
        <v>5</v>
      </c>
    </row>
    <row r="532" spans="1:18" x14ac:dyDescent="0.25">
      <c r="A532">
        <v>531</v>
      </c>
      <c r="B532" s="2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 t="str">
        <f>CHOOSE(H532+1,"Monday","Tuesday","Wednesday","Thursday","Friday","Saturday","Sunday")</f>
        <v>Tuesday</v>
      </c>
      <c r="J532">
        <v>1</v>
      </c>
      <c r="K532">
        <v>0.02</v>
      </c>
      <c r="L532">
        <v>7.5800000000000006E-2</v>
      </c>
      <c r="M532">
        <v>0.48</v>
      </c>
      <c r="N532" s="1" t="str">
        <f>IF(Table2[[#This Row],[hum]]&lt;=0.8,"Humid",IF(Table2[[#This Row],[hum]]&gt;=0.8,"High Humid"))</f>
        <v>Humid</v>
      </c>
      <c r="O532">
        <v>8.9599999999999999E-2</v>
      </c>
      <c r="P532">
        <v>0</v>
      </c>
      <c r="Q532">
        <v>15</v>
      </c>
      <c r="R532">
        <v>15</v>
      </c>
    </row>
    <row r="533" spans="1:18" x14ac:dyDescent="0.25">
      <c r="A533">
        <v>532</v>
      </c>
      <c r="B533" s="2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 t="str">
        <f>CHOOSE(H533+1,"Monday","Tuesday","Wednesday","Thursday","Friday","Saturday","Sunday")</f>
        <v>Tuesday</v>
      </c>
      <c r="J533">
        <v>1</v>
      </c>
      <c r="K533">
        <v>0.02</v>
      </c>
      <c r="L533">
        <v>0.1212</v>
      </c>
      <c r="M533">
        <v>0.48</v>
      </c>
      <c r="N533" s="1" t="str">
        <f>IF(Table2[[#This Row],[hum]]&lt;=0.8,"Humid",IF(Table2[[#This Row],[hum]]&gt;=0.8,"High Humid"))</f>
        <v>Humid</v>
      </c>
      <c r="O533">
        <v>0</v>
      </c>
      <c r="P533">
        <v>5</v>
      </c>
      <c r="Q533">
        <v>79</v>
      </c>
      <c r="R533">
        <v>84</v>
      </c>
    </row>
    <row r="534" spans="1:18" x14ac:dyDescent="0.25">
      <c r="A534">
        <v>533</v>
      </c>
      <c r="B534" s="2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 t="str">
        <f>CHOOSE(H534+1,"Monday","Tuesday","Wednesday","Thursday","Friday","Saturday","Sunday")</f>
        <v>Tuesday</v>
      </c>
      <c r="J534">
        <v>1</v>
      </c>
      <c r="K534">
        <v>0.04</v>
      </c>
      <c r="L534">
        <v>0.13639999999999999</v>
      </c>
      <c r="M534">
        <v>0.49</v>
      </c>
      <c r="N534" s="1" t="str">
        <f>IF(Table2[[#This Row],[hum]]&lt;=0.8,"Humid",IF(Table2[[#This Row],[hum]]&gt;=0.8,"High Humid"))</f>
        <v>Humid</v>
      </c>
      <c r="O534">
        <v>0</v>
      </c>
      <c r="P534">
        <v>6</v>
      </c>
      <c r="Q534">
        <v>171</v>
      </c>
      <c r="R534">
        <v>177</v>
      </c>
    </row>
    <row r="535" spans="1:18" x14ac:dyDescent="0.25">
      <c r="A535">
        <v>534</v>
      </c>
      <c r="B535" s="2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 t="str">
        <f>CHOOSE(H535+1,"Monday","Tuesday","Wednesday","Thursday","Friday","Saturday","Sunday")</f>
        <v>Tuesday</v>
      </c>
      <c r="J535">
        <v>1</v>
      </c>
      <c r="K535">
        <v>0.06</v>
      </c>
      <c r="L535">
        <v>0.1515</v>
      </c>
      <c r="M535">
        <v>0.41</v>
      </c>
      <c r="N535" s="1" t="str">
        <f>IF(Table2[[#This Row],[hum]]&lt;=0.8,"Humid",IF(Table2[[#This Row],[hum]]&gt;=0.8,"High Humid"))</f>
        <v>Humid</v>
      </c>
      <c r="O535">
        <v>0</v>
      </c>
      <c r="P535">
        <v>4</v>
      </c>
      <c r="Q535">
        <v>98</v>
      </c>
      <c r="R535">
        <v>102</v>
      </c>
    </row>
    <row r="536" spans="1:18" x14ac:dyDescent="0.25">
      <c r="A536">
        <v>535</v>
      </c>
      <c r="B536" s="2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 t="str">
        <f>CHOOSE(H536+1,"Monday","Tuesday","Wednesday","Thursday","Friday","Saturday","Sunday")</f>
        <v>Tuesday</v>
      </c>
      <c r="J536">
        <v>1</v>
      </c>
      <c r="K536">
        <v>0.1</v>
      </c>
      <c r="L536">
        <v>0.13639999999999999</v>
      </c>
      <c r="M536">
        <v>0.42</v>
      </c>
      <c r="N536" s="1" t="str">
        <f>IF(Table2[[#This Row],[hum]]&lt;=0.8,"Humid",IF(Table2[[#This Row],[hum]]&gt;=0.8,"High Humid"))</f>
        <v>Humid</v>
      </c>
      <c r="O536">
        <v>0</v>
      </c>
      <c r="P536">
        <v>6</v>
      </c>
      <c r="Q536">
        <v>34</v>
      </c>
      <c r="R536">
        <v>40</v>
      </c>
    </row>
    <row r="537" spans="1:18" x14ac:dyDescent="0.25">
      <c r="A537">
        <v>536</v>
      </c>
      <c r="B537" s="2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 t="str">
        <f>CHOOSE(H537+1,"Monday","Tuesday","Wednesday","Thursday","Friday","Saturday","Sunday")</f>
        <v>Tuesday</v>
      </c>
      <c r="J537">
        <v>1</v>
      </c>
      <c r="K537">
        <v>0.1</v>
      </c>
      <c r="L537">
        <v>0.1212</v>
      </c>
      <c r="M537">
        <v>0.46</v>
      </c>
      <c r="N537" s="1" t="str">
        <f>IF(Table2[[#This Row],[hum]]&lt;=0.8,"Humid",IF(Table2[[#This Row],[hum]]&gt;=0.8,"High Humid"))</f>
        <v>Humid</v>
      </c>
      <c r="O537">
        <v>0.1343</v>
      </c>
      <c r="P537">
        <v>3</v>
      </c>
      <c r="Q537">
        <v>43</v>
      </c>
      <c r="R537">
        <v>46</v>
      </c>
    </row>
    <row r="538" spans="1:18" x14ac:dyDescent="0.25">
      <c r="A538">
        <v>537</v>
      </c>
      <c r="B538" s="2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 t="str">
        <f>CHOOSE(H538+1,"Monday","Tuesday","Wednesday","Thursday","Friday","Saturday","Sunday")</f>
        <v>Tuesday</v>
      </c>
      <c r="J538">
        <v>2</v>
      </c>
      <c r="K538">
        <v>0.12</v>
      </c>
      <c r="L538">
        <v>0.13639999999999999</v>
      </c>
      <c r="M538">
        <v>0.42</v>
      </c>
      <c r="N538" s="1" t="str">
        <f>IF(Table2[[#This Row],[hum]]&lt;=0.8,"Humid",IF(Table2[[#This Row],[hum]]&gt;=0.8,"High Humid"))</f>
        <v>Humid</v>
      </c>
      <c r="O538">
        <v>0.19400000000000001</v>
      </c>
      <c r="P538">
        <v>11</v>
      </c>
      <c r="Q538">
        <v>52</v>
      </c>
      <c r="R538">
        <v>63</v>
      </c>
    </row>
    <row r="539" spans="1:18" x14ac:dyDescent="0.25">
      <c r="A539">
        <v>538</v>
      </c>
      <c r="B539" s="2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 t="str">
        <f>CHOOSE(H539+1,"Monday","Tuesday","Wednesday","Thursday","Friday","Saturday","Sunday")</f>
        <v>Tuesday</v>
      </c>
      <c r="J539">
        <v>2</v>
      </c>
      <c r="K539">
        <v>0.14000000000000001</v>
      </c>
      <c r="L539">
        <v>0.13639999999999999</v>
      </c>
      <c r="M539">
        <v>0.43</v>
      </c>
      <c r="N539" s="1" t="str">
        <f>IF(Table2[[#This Row],[hum]]&lt;=0.8,"Humid",IF(Table2[[#This Row],[hum]]&gt;=0.8,"High Humid"))</f>
        <v>Humid</v>
      </c>
      <c r="O539">
        <v>0.22389999999999999</v>
      </c>
      <c r="P539">
        <v>6</v>
      </c>
      <c r="Q539">
        <v>54</v>
      </c>
      <c r="R539">
        <v>60</v>
      </c>
    </row>
    <row r="540" spans="1:18" x14ac:dyDescent="0.25">
      <c r="A540">
        <v>539</v>
      </c>
      <c r="B540" s="2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 t="str">
        <f>CHOOSE(H540+1,"Monday","Tuesday","Wednesday","Thursday","Friday","Saturday","Sunday")</f>
        <v>Tuesday</v>
      </c>
      <c r="J540">
        <v>2</v>
      </c>
      <c r="K540">
        <v>0.14000000000000001</v>
      </c>
      <c r="L540">
        <v>0.13639999999999999</v>
      </c>
      <c r="M540">
        <v>0.46</v>
      </c>
      <c r="N540" s="1" t="str">
        <f>IF(Table2[[#This Row],[hum]]&lt;=0.8,"Humid",IF(Table2[[#This Row],[hum]]&gt;=0.8,"High Humid"))</f>
        <v>Humid</v>
      </c>
      <c r="O540">
        <v>0.22389999999999999</v>
      </c>
      <c r="P540">
        <v>2</v>
      </c>
      <c r="Q540">
        <v>43</v>
      </c>
      <c r="R540">
        <v>45</v>
      </c>
    </row>
    <row r="541" spans="1:18" x14ac:dyDescent="0.25">
      <c r="A541">
        <v>540</v>
      </c>
      <c r="B541" s="2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 t="str">
        <f>CHOOSE(H541+1,"Monday","Tuesday","Wednesday","Thursday","Friday","Saturday","Sunday")</f>
        <v>Tuesday</v>
      </c>
      <c r="J541">
        <v>1</v>
      </c>
      <c r="K541">
        <v>0.16</v>
      </c>
      <c r="L541">
        <v>0.16669999999999999</v>
      </c>
      <c r="M541">
        <v>0.4</v>
      </c>
      <c r="N541" s="1" t="str">
        <f>IF(Table2[[#This Row],[hum]]&lt;=0.8,"Humid",IF(Table2[[#This Row],[hum]]&gt;=0.8,"High Humid"))</f>
        <v>Humid</v>
      </c>
      <c r="O541">
        <v>0.16420000000000001</v>
      </c>
      <c r="P541">
        <v>7</v>
      </c>
      <c r="Q541">
        <v>50</v>
      </c>
      <c r="R541">
        <v>57</v>
      </c>
    </row>
    <row r="542" spans="1:18" x14ac:dyDescent="0.25">
      <c r="A542">
        <v>541</v>
      </c>
      <c r="B542" s="2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 t="str">
        <f>CHOOSE(H542+1,"Monday","Tuesday","Wednesday","Thursday","Friday","Saturday","Sunday")</f>
        <v>Tuesday</v>
      </c>
      <c r="J542">
        <v>1</v>
      </c>
      <c r="K542">
        <v>0.16</v>
      </c>
      <c r="L542">
        <v>0.1515</v>
      </c>
      <c r="M542">
        <v>0.47</v>
      </c>
      <c r="N542" s="1" t="str">
        <f>IF(Table2[[#This Row],[hum]]&lt;=0.8,"Humid",IF(Table2[[#This Row],[hum]]&gt;=0.8,"High Humid"))</f>
        <v>Humid</v>
      </c>
      <c r="O542">
        <v>0.25369999999999998</v>
      </c>
      <c r="P542">
        <v>4</v>
      </c>
      <c r="Q542">
        <v>66</v>
      </c>
      <c r="R542">
        <v>70</v>
      </c>
    </row>
    <row r="543" spans="1:18" x14ac:dyDescent="0.25">
      <c r="A543">
        <v>542</v>
      </c>
      <c r="B543" s="2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 t="str">
        <f>CHOOSE(H543+1,"Monday","Tuesday","Wednesday","Thursday","Friday","Saturday","Sunday")</f>
        <v>Tuesday</v>
      </c>
      <c r="J543">
        <v>1</v>
      </c>
      <c r="K543">
        <v>0.14000000000000001</v>
      </c>
      <c r="L543">
        <v>0.1212</v>
      </c>
      <c r="M543">
        <v>0.5</v>
      </c>
      <c r="N543" s="1" t="str">
        <f>IF(Table2[[#This Row],[hum]]&lt;=0.8,"Humid",IF(Table2[[#This Row],[hum]]&gt;=0.8,"High Humid"))</f>
        <v>Humid</v>
      </c>
      <c r="O543">
        <v>0.25369999999999998</v>
      </c>
      <c r="P543">
        <v>6</v>
      </c>
      <c r="Q543">
        <v>178</v>
      </c>
      <c r="R543">
        <v>184</v>
      </c>
    </row>
    <row r="544" spans="1:18" x14ac:dyDescent="0.25">
      <c r="A544">
        <v>543</v>
      </c>
      <c r="B544" s="2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 t="str">
        <f>CHOOSE(H544+1,"Monday","Tuesday","Wednesday","Thursday","Friday","Saturday","Sunday")</f>
        <v>Tuesday</v>
      </c>
      <c r="J544">
        <v>1</v>
      </c>
      <c r="K544">
        <v>0.14000000000000001</v>
      </c>
      <c r="L544">
        <v>0.13639999999999999</v>
      </c>
      <c r="M544">
        <v>0.59</v>
      </c>
      <c r="N544" s="1" t="str">
        <f>IF(Table2[[#This Row],[hum]]&lt;=0.8,"Humid",IF(Table2[[#This Row],[hum]]&gt;=0.8,"High Humid"))</f>
        <v>Humid</v>
      </c>
      <c r="O544">
        <v>0.19400000000000001</v>
      </c>
      <c r="P544">
        <v>8</v>
      </c>
      <c r="Q544">
        <v>145</v>
      </c>
      <c r="R544">
        <v>153</v>
      </c>
    </row>
    <row r="545" spans="1:18" x14ac:dyDescent="0.25">
      <c r="A545">
        <v>544</v>
      </c>
      <c r="B545" s="2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 t="str">
        <f>CHOOSE(H545+1,"Monday","Tuesday","Wednesday","Thursday","Friday","Saturday","Sunday")</f>
        <v>Tuesday</v>
      </c>
      <c r="J545">
        <v>1</v>
      </c>
      <c r="K545">
        <v>0.14000000000000001</v>
      </c>
      <c r="L545">
        <v>0.1515</v>
      </c>
      <c r="M545">
        <v>0.54</v>
      </c>
      <c r="N545" s="1" t="str">
        <f>IF(Table2[[#This Row],[hum]]&lt;=0.8,"Humid",IF(Table2[[#This Row],[hum]]&gt;=0.8,"High Humid"))</f>
        <v>Humid</v>
      </c>
      <c r="O545">
        <v>0.16420000000000001</v>
      </c>
      <c r="P545">
        <v>5</v>
      </c>
      <c r="Q545">
        <v>101</v>
      </c>
      <c r="R545">
        <v>106</v>
      </c>
    </row>
    <row r="546" spans="1:18" x14ac:dyDescent="0.25">
      <c r="A546">
        <v>545</v>
      </c>
      <c r="B546" s="2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 t="str">
        <f>CHOOSE(H546+1,"Monday","Tuesday","Wednesday","Thursday","Friday","Saturday","Sunday")</f>
        <v>Tuesday</v>
      </c>
      <c r="J546">
        <v>1</v>
      </c>
      <c r="K546">
        <v>0.14000000000000001</v>
      </c>
      <c r="L546">
        <v>0.13639999999999999</v>
      </c>
      <c r="M546">
        <v>0.59</v>
      </c>
      <c r="N546" s="1" t="str">
        <f>IF(Table2[[#This Row],[hum]]&lt;=0.8,"Humid",IF(Table2[[#This Row],[hum]]&gt;=0.8,"High Humid"))</f>
        <v>Humid</v>
      </c>
      <c r="O546">
        <v>0.19400000000000001</v>
      </c>
      <c r="P546">
        <v>1</v>
      </c>
      <c r="Q546">
        <v>80</v>
      </c>
      <c r="R546">
        <v>81</v>
      </c>
    </row>
    <row r="547" spans="1:18" x14ac:dyDescent="0.25">
      <c r="A547">
        <v>546</v>
      </c>
      <c r="B547" s="2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 t="str">
        <f>CHOOSE(H547+1,"Monday","Tuesday","Wednesday","Thursday","Friday","Saturday","Sunday")</f>
        <v>Tuesday</v>
      </c>
      <c r="J547">
        <v>1</v>
      </c>
      <c r="K547">
        <v>0.14000000000000001</v>
      </c>
      <c r="L547">
        <v>0.1515</v>
      </c>
      <c r="M547">
        <v>0.63</v>
      </c>
      <c r="N547" s="1" t="str">
        <f>IF(Table2[[#This Row],[hum]]&lt;=0.8,"Humid",IF(Table2[[#This Row],[hum]]&gt;=0.8,"High Humid"))</f>
        <v>Humid</v>
      </c>
      <c r="O547">
        <v>0.16420000000000001</v>
      </c>
      <c r="P547">
        <v>6</v>
      </c>
      <c r="Q547">
        <v>53</v>
      </c>
      <c r="R547">
        <v>59</v>
      </c>
    </row>
    <row r="548" spans="1:18" x14ac:dyDescent="0.25">
      <c r="A548">
        <v>547</v>
      </c>
      <c r="B548" s="2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 t="str">
        <f>CHOOSE(H548+1,"Monday","Tuesday","Wednesday","Thursday","Friday","Saturday","Sunday")</f>
        <v>Tuesday</v>
      </c>
      <c r="J548">
        <v>2</v>
      </c>
      <c r="K548">
        <v>0.14000000000000001</v>
      </c>
      <c r="L548">
        <v>0.13639999999999999</v>
      </c>
      <c r="M548">
        <v>0.63</v>
      </c>
      <c r="N548" s="1" t="str">
        <f>IF(Table2[[#This Row],[hum]]&lt;=0.8,"Humid",IF(Table2[[#This Row],[hum]]&gt;=0.8,"High Humid"))</f>
        <v>Humid</v>
      </c>
      <c r="O548">
        <v>0.22389999999999999</v>
      </c>
      <c r="P548">
        <v>3</v>
      </c>
      <c r="Q548">
        <v>32</v>
      </c>
      <c r="R548">
        <v>35</v>
      </c>
    </row>
    <row r="549" spans="1:18" x14ac:dyDescent="0.25">
      <c r="A549">
        <v>548</v>
      </c>
      <c r="B549" s="2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 t="str">
        <f>CHOOSE(H549+1,"Monday","Tuesday","Wednesday","Thursday","Friday","Saturday","Sunday")</f>
        <v>Tuesday</v>
      </c>
      <c r="J549">
        <v>2</v>
      </c>
      <c r="K549">
        <v>0.16</v>
      </c>
      <c r="L549">
        <v>0.1515</v>
      </c>
      <c r="M549">
        <v>0.64</v>
      </c>
      <c r="N549" s="1" t="str">
        <f>IF(Table2[[#This Row],[hum]]&lt;=0.8,"Humid",IF(Table2[[#This Row],[hum]]&gt;=0.8,"High Humid"))</f>
        <v>Humid</v>
      </c>
      <c r="O549">
        <v>0.25369999999999998</v>
      </c>
      <c r="P549">
        <v>3</v>
      </c>
      <c r="Q549">
        <v>21</v>
      </c>
      <c r="R549">
        <v>24</v>
      </c>
    </row>
    <row r="550" spans="1:18" x14ac:dyDescent="0.25">
      <c r="A550">
        <v>549</v>
      </c>
      <c r="B550" s="2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 t="str">
        <f>CHOOSE(H550+1,"Monday","Tuesday","Wednesday","Thursday","Friday","Saturday","Sunday")</f>
        <v>Wednesday</v>
      </c>
      <c r="J550">
        <v>2</v>
      </c>
      <c r="K550">
        <v>0.16</v>
      </c>
      <c r="L550">
        <v>0.13639999999999999</v>
      </c>
      <c r="M550">
        <v>0.69</v>
      </c>
      <c r="N550" s="1" t="str">
        <f>IF(Table2[[#This Row],[hum]]&lt;=0.8,"Humid",IF(Table2[[#This Row],[hum]]&gt;=0.8,"High Humid"))</f>
        <v>Humid</v>
      </c>
      <c r="O550">
        <v>0.28360000000000002</v>
      </c>
      <c r="P550">
        <v>3</v>
      </c>
      <c r="Q550">
        <v>6</v>
      </c>
      <c r="R550">
        <v>9</v>
      </c>
    </row>
    <row r="551" spans="1:18" x14ac:dyDescent="0.25">
      <c r="A551">
        <v>550</v>
      </c>
      <c r="B551" s="2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 t="str">
        <f>CHOOSE(H551+1,"Monday","Tuesday","Wednesday","Thursday","Friday","Saturday","Sunday")</f>
        <v>Wednesday</v>
      </c>
      <c r="J551">
        <v>2</v>
      </c>
      <c r="K551">
        <v>0.16</v>
      </c>
      <c r="L551">
        <v>0.16669999999999999</v>
      </c>
      <c r="M551">
        <v>0.69</v>
      </c>
      <c r="N551" s="1" t="str">
        <f>IF(Table2[[#This Row],[hum]]&lt;=0.8,"Humid",IF(Table2[[#This Row],[hum]]&gt;=0.8,"High Humid"))</f>
        <v>Humid</v>
      </c>
      <c r="O551">
        <v>0.16420000000000001</v>
      </c>
      <c r="P551">
        <v>0</v>
      </c>
      <c r="Q551">
        <v>5</v>
      </c>
      <c r="R551">
        <v>5</v>
      </c>
    </row>
    <row r="552" spans="1:18" x14ac:dyDescent="0.25">
      <c r="A552">
        <v>551</v>
      </c>
      <c r="B552" s="2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 t="str">
        <f>CHOOSE(H552+1,"Monday","Tuesday","Wednesday","Thursday","Friday","Saturday","Sunday")</f>
        <v>Wednesday</v>
      </c>
      <c r="J552">
        <v>1</v>
      </c>
      <c r="K552">
        <v>0.16</v>
      </c>
      <c r="L552">
        <v>0.1515</v>
      </c>
      <c r="M552">
        <v>0.69</v>
      </c>
      <c r="N552" s="1" t="str">
        <f>IF(Table2[[#This Row],[hum]]&lt;=0.8,"Humid",IF(Table2[[#This Row],[hum]]&gt;=0.8,"High Humid"))</f>
        <v>Humid</v>
      </c>
      <c r="O552">
        <v>0.22389999999999999</v>
      </c>
      <c r="P552">
        <v>0</v>
      </c>
      <c r="Q552">
        <v>2</v>
      </c>
      <c r="R552">
        <v>2</v>
      </c>
    </row>
    <row r="553" spans="1:18" x14ac:dyDescent="0.25">
      <c r="A553">
        <v>552</v>
      </c>
      <c r="B553" s="2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 t="str">
        <f>CHOOSE(H553+1,"Monday","Tuesday","Wednesday","Thursday","Friday","Saturday","Sunday")</f>
        <v>Wednesday</v>
      </c>
      <c r="J553">
        <v>1</v>
      </c>
      <c r="K553">
        <v>0.14000000000000001</v>
      </c>
      <c r="L553">
        <v>0.16669999999999999</v>
      </c>
      <c r="M553">
        <v>0.74</v>
      </c>
      <c r="N553" s="1" t="str">
        <f>IF(Table2[[#This Row],[hum]]&lt;=0.8,"Humid",IF(Table2[[#This Row],[hum]]&gt;=0.8,"High Humid"))</f>
        <v>Humid</v>
      </c>
      <c r="O553">
        <v>0.1045</v>
      </c>
      <c r="P553">
        <v>0</v>
      </c>
      <c r="Q553">
        <v>1</v>
      </c>
      <c r="R553">
        <v>1</v>
      </c>
    </row>
    <row r="554" spans="1:18" x14ac:dyDescent="0.25">
      <c r="A554">
        <v>553</v>
      </c>
      <c r="B554" s="2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 t="str">
        <f>CHOOSE(H554+1,"Monday","Tuesday","Wednesday","Thursday","Friday","Saturday","Sunday")</f>
        <v>Wednesday</v>
      </c>
      <c r="J554">
        <v>1</v>
      </c>
      <c r="K554">
        <v>0.14000000000000001</v>
      </c>
      <c r="L554">
        <v>0.13639999999999999</v>
      </c>
      <c r="M554">
        <v>0.74</v>
      </c>
      <c r="N554" s="1" t="str">
        <f>IF(Table2[[#This Row],[hum]]&lt;=0.8,"Humid",IF(Table2[[#This Row],[hum]]&gt;=0.8,"High Humid"))</f>
        <v>Humid</v>
      </c>
      <c r="O554">
        <v>0.22389999999999999</v>
      </c>
      <c r="P554">
        <v>0</v>
      </c>
      <c r="Q554">
        <v>9</v>
      </c>
      <c r="R554">
        <v>9</v>
      </c>
    </row>
    <row r="555" spans="1:18" x14ac:dyDescent="0.25">
      <c r="A555">
        <v>554</v>
      </c>
      <c r="B555" s="2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 t="str">
        <f>CHOOSE(H555+1,"Monday","Tuesday","Wednesday","Thursday","Friday","Saturday","Sunday")</f>
        <v>Wednesday</v>
      </c>
      <c r="J555">
        <v>1</v>
      </c>
      <c r="K555">
        <v>0.16</v>
      </c>
      <c r="L555">
        <v>0.18179999999999999</v>
      </c>
      <c r="M555">
        <v>0.74</v>
      </c>
      <c r="N555" s="1" t="str">
        <f>IF(Table2[[#This Row],[hum]]&lt;=0.8,"Humid",IF(Table2[[#This Row],[hum]]&gt;=0.8,"High Humid"))</f>
        <v>Humid</v>
      </c>
      <c r="O555">
        <v>0.1045</v>
      </c>
      <c r="P555">
        <v>1</v>
      </c>
      <c r="Q555">
        <v>35</v>
      </c>
      <c r="R555">
        <v>36</v>
      </c>
    </row>
    <row r="556" spans="1:18" x14ac:dyDescent="0.25">
      <c r="A556">
        <v>555</v>
      </c>
      <c r="B556" s="2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 t="str">
        <f>CHOOSE(H556+1,"Monday","Tuesday","Wednesday","Thursday","Friday","Saturday","Sunday")</f>
        <v>Wednesday</v>
      </c>
      <c r="J556">
        <v>1</v>
      </c>
      <c r="K556">
        <v>0.16</v>
      </c>
      <c r="L556">
        <v>0.1515</v>
      </c>
      <c r="M556">
        <v>0.74</v>
      </c>
      <c r="N556" s="1" t="str">
        <f>IF(Table2[[#This Row],[hum]]&lt;=0.8,"Humid",IF(Table2[[#This Row],[hum]]&gt;=0.8,"High Humid"))</f>
        <v>Humid</v>
      </c>
      <c r="O556">
        <v>0.22389999999999999</v>
      </c>
      <c r="P556">
        <v>5</v>
      </c>
      <c r="Q556">
        <v>103</v>
      </c>
      <c r="R556">
        <v>108</v>
      </c>
    </row>
    <row r="557" spans="1:18" x14ac:dyDescent="0.25">
      <c r="A557">
        <v>556</v>
      </c>
      <c r="B557" s="2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 t="str">
        <f>CHOOSE(H557+1,"Monday","Tuesday","Wednesday","Thursday","Friday","Saturday","Sunday")</f>
        <v>Wednesday</v>
      </c>
      <c r="J557">
        <v>2</v>
      </c>
      <c r="K557">
        <v>0.16</v>
      </c>
      <c r="L557">
        <v>0.18179999999999999</v>
      </c>
      <c r="M557">
        <v>0.74</v>
      </c>
      <c r="N557" s="1" t="str">
        <f>IF(Table2[[#This Row],[hum]]&lt;=0.8,"Humid",IF(Table2[[#This Row],[hum]]&gt;=0.8,"High Humid"))</f>
        <v>Humid</v>
      </c>
      <c r="O557">
        <v>0.1343</v>
      </c>
      <c r="P557">
        <v>5</v>
      </c>
      <c r="Q557">
        <v>233</v>
      </c>
      <c r="R557">
        <v>238</v>
      </c>
    </row>
    <row r="558" spans="1:18" x14ac:dyDescent="0.25">
      <c r="A558">
        <v>557</v>
      </c>
      <c r="B558" s="2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 t="str">
        <f>CHOOSE(H558+1,"Monday","Tuesday","Wednesday","Thursday","Friday","Saturday","Sunday")</f>
        <v>Wednesday</v>
      </c>
      <c r="J558">
        <v>2</v>
      </c>
      <c r="K558">
        <v>0.2</v>
      </c>
      <c r="L558">
        <v>0.2273</v>
      </c>
      <c r="M558">
        <v>0.64</v>
      </c>
      <c r="N558" s="1" t="str">
        <f>IF(Table2[[#This Row],[hum]]&lt;=0.8,"Humid",IF(Table2[[#This Row],[hum]]&gt;=0.8,"High Humid"))</f>
        <v>Humid</v>
      </c>
      <c r="O558">
        <v>8.9599999999999999E-2</v>
      </c>
      <c r="P558">
        <v>10</v>
      </c>
      <c r="Q558">
        <v>134</v>
      </c>
      <c r="R558">
        <v>144</v>
      </c>
    </row>
    <row r="559" spans="1:18" x14ac:dyDescent="0.25">
      <c r="A559">
        <v>558</v>
      </c>
      <c r="B559" s="2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 t="str">
        <f>CHOOSE(H559+1,"Monday","Tuesday","Wednesday","Thursday","Friday","Saturday","Sunday")</f>
        <v>Wednesday</v>
      </c>
      <c r="J559">
        <v>2</v>
      </c>
      <c r="K559">
        <v>0.22</v>
      </c>
      <c r="L559">
        <v>0.2424</v>
      </c>
      <c r="M559">
        <v>0.6</v>
      </c>
      <c r="N559" s="1" t="str">
        <f>IF(Table2[[#This Row],[hum]]&lt;=0.8,"Humid",IF(Table2[[#This Row],[hum]]&gt;=0.8,"High Humid"))</f>
        <v>Humid</v>
      </c>
      <c r="O559">
        <v>0.1045</v>
      </c>
      <c r="P559">
        <v>6</v>
      </c>
      <c r="Q559">
        <v>49</v>
      </c>
      <c r="R559">
        <v>55</v>
      </c>
    </row>
    <row r="560" spans="1:18" x14ac:dyDescent="0.25">
      <c r="A560">
        <v>559</v>
      </c>
      <c r="B560" s="2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 t="str">
        <f>CHOOSE(H560+1,"Monday","Tuesday","Wednesday","Thursday","Friday","Saturday","Sunday")</f>
        <v>Wednesday</v>
      </c>
      <c r="J560">
        <v>2</v>
      </c>
      <c r="K560">
        <v>0.24</v>
      </c>
      <c r="L560">
        <v>0.2424</v>
      </c>
      <c r="M560">
        <v>0.6</v>
      </c>
      <c r="N560" s="1" t="str">
        <f>IF(Table2[[#This Row],[hum]]&lt;=0.8,"Humid",IF(Table2[[#This Row],[hum]]&gt;=0.8,"High Humid"))</f>
        <v>Humid</v>
      </c>
      <c r="O560">
        <v>0.1343</v>
      </c>
      <c r="P560">
        <v>6</v>
      </c>
      <c r="Q560">
        <v>55</v>
      </c>
      <c r="R560">
        <v>61</v>
      </c>
    </row>
    <row r="561" spans="1:18" x14ac:dyDescent="0.25">
      <c r="A561">
        <v>560</v>
      </c>
      <c r="B561" s="2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 t="str">
        <f>CHOOSE(H561+1,"Monday","Tuesday","Wednesday","Thursday","Friday","Saturday","Sunday")</f>
        <v>Wednesday</v>
      </c>
      <c r="J561">
        <v>2</v>
      </c>
      <c r="K561">
        <v>0.26</v>
      </c>
      <c r="L561">
        <v>0.28789999999999999</v>
      </c>
      <c r="M561">
        <v>0.56000000000000005</v>
      </c>
      <c r="N561" s="1" t="str">
        <f>IF(Table2[[#This Row],[hum]]&lt;=0.8,"Humid",IF(Table2[[#This Row],[hum]]&gt;=0.8,"High Humid"))</f>
        <v>Humid</v>
      </c>
      <c r="O561">
        <v>8.9599999999999999E-2</v>
      </c>
      <c r="P561">
        <v>21</v>
      </c>
      <c r="Q561">
        <v>85</v>
      </c>
      <c r="R561">
        <v>106</v>
      </c>
    </row>
    <row r="562" spans="1:18" x14ac:dyDescent="0.25">
      <c r="A562">
        <v>561</v>
      </c>
      <c r="B562" s="2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 t="str">
        <f>CHOOSE(H562+1,"Monday","Tuesday","Wednesday","Thursday","Friday","Saturday","Sunday")</f>
        <v>Wednesday</v>
      </c>
      <c r="J562">
        <v>2</v>
      </c>
      <c r="K562">
        <v>0.26</v>
      </c>
      <c r="L562">
        <v>0.2727</v>
      </c>
      <c r="M562">
        <v>0.56000000000000005</v>
      </c>
      <c r="N562" s="1" t="str">
        <f>IF(Table2[[#This Row],[hum]]&lt;=0.8,"Humid",IF(Table2[[#This Row],[hum]]&gt;=0.8,"High Humid"))</f>
        <v>Humid</v>
      </c>
      <c r="O562">
        <v>0.1343</v>
      </c>
      <c r="P562">
        <v>21</v>
      </c>
      <c r="Q562">
        <v>72</v>
      </c>
      <c r="R562">
        <v>93</v>
      </c>
    </row>
    <row r="563" spans="1:18" x14ac:dyDescent="0.25">
      <c r="A563">
        <v>562</v>
      </c>
      <c r="B563" s="2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 t="str">
        <f>CHOOSE(H563+1,"Monday","Tuesday","Wednesday","Thursday","Friday","Saturday","Sunday")</f>
        <v>Wednesday</v>
      </c>
      <c r="J563">
        <v>2</v>
      </c>
      <c r="K563">
        <v>0.3</v>
      </c>
      <c r="L563">
        <v>0.33329999999999999</v>
      </c>
      <c r="M563">
        <v>0.45</v>
      </c>
      <c r="N563" s="1" t="str">
        <f>IF(Table2[[#This Row],[hum]]&lt;=0.8,"Humid",IF(Table2[[#This Row],[hum]]&gt;=0.8,"High Humid"))</f>
        <v>Humid</v>
      </c>
      <c r="O563">
        <v>0</v>
      </c>
      <c r="P563">
        <v>11</v>
      </c>
      <c r="Q563">
        <v>57</v>
      </c>
      <c r="R563">
        <v>68</v>
      </c>
    </row>
    <row r="564" spans="1:18" x14ac:dyDescent="0.25">
      <c r="A564">
        <v>563</v>
      </c>
      <c r="B564" s="2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 t="str">
        <f>CHOOSE(H564+1,"Monday","Tuesday","Wednesday","Thursday","Friday","Saturday","Sunday")</f>
        <v>Wednesday</v>
      </c>
      <c r="J564">
        <v>2</v>
      </c>
      <c r="K564">
        <v>0.32</v>
      </c>
      <c r="L564">
        <v>0.34849999999999998</v>
      </c>
      <c r="M564">
        <v>0.42</v>
      </c>
      <c r="N564" s="1" t="str">
        <f>IF(Table2[[#This Row],[hum]]&lt;=0.8,"Humid",IF(Table2[[#This Row],[hum]]&gt;=0.8,"High Humid"))</f>
        <v>Humid</v>
      </c>
      <c r="O564">
        <v>0</v>
      </c>
      <c r="P564">
        <v>21</v>
      </c>
      <c r="Q564">
        <v>63</v>
      </c>
      <c r="R564">
        <v>84</v>
      </c>
    </row>
    <row r="565" spans="1:18" x14ac:dyDescent="0.25">
      <c r="A565">
        <v>564</v>
      </c>
      <c r="B565" s="2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 t="str">
        <f>CHOOSE(H565+1,"Monday","Tuesday","Wednesday","Thursday","Friday","Saturday","Sunday")</f>
        <v>Wednesday</v>
      </c>
      <c r="J565">
        <v>2</v>
      </c>
      <c r="K565">
        <v>0.32</v>
      </c>
      <c r="L565">
        <v>0.34849999999999998</v>
      </c>
      <c r="M565">
        <v>0.42</v>
      </c>
      <c r="N565" s="1" t="str">
        <f>IF(Table2[[#This Row],[hum]]&lt;=0.8,"Humid",IF(Table2[[#This Row],[hum]]&gt;=0.8,"High Humid"))</f>
        <v>Humid</v>
      </c>
      <c r="O565">
        <v>0</v>
      </c>
      <c r="P565">
        <v>14</v>
      </c>
      <c r="Q565">
        <v>102</v>
      </c>
      <c r="R565">
        <v>116</v>
      </c>
    </row>
    <row r="566" spans="1:18" x14ac:dyDescent="0.25">
      <c r="A566">
        <v>565</v>
      </c>
      <c r="B566" s="2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 t="str">
        <f>CHOOSE(H566+1,"Monday","Tuesday","Wednesday","Thursday","Friday","Saturday","Sunday")</f>
        <v>Wednesday</v>
      </c>
      <c r="J566">
        <v>1</v>
      </c>
      <c r="K566">
        <v>0.3</v>
      </c>
      <c r="L566">
        <v>0.33329999999999999</v>
      </c>
      <c r="M566">
        <v>0.45</v>
      </c>
      <c r="N566" s="1" t="str">
        <f>IF(Table2[[#This Row],[hum]]&lt;=0.8,"Humid",IF(Table2[[#This Row],[hum]]&gt;=0.8,"High Humid"))</f>
        <v>Humid</v>
      </c>
      <c r="O566">
        <v>0</v>
      </c>
      <c r="P566">
        <v>14</v>
      </c>
      <c r="Q566">
        <v>208</v>
      </c>
      <c r="R566">
        <v>222</v>
      </c>
    </row>
    <row r="567" spans="1:18" x14ac:dyDescent="0.25">
      <c r="A567">
        <v>566</v>
      </c>
      <c r="B567" s="2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 t="str">
        <f>CHOOSE(H567+1,"Monday","Tuesday","Wednesday","Thursday","Friday","Saturday","Sunday")</f>
        <v>Wednesday</v>
      </c>
      <c r="J567">
        <v>2</v>
      </c>
      <c r="K567">
        <v>0.3</v>
      </c>
      <c r="L567">
        <v>0.31819999999999998</v>
      </c>
      <c r="M567">
        <v>0.49</v>
      </c>
      <c r="N567" s="1" t="str">
        <f>IF(Table2[[#This Row],[hum]]&lt;=0.8,"Humid",IF(Table2[[#This Row],[hum]]&gt;=0.8,"High Humid"))</f>
        <v>Humid</v>
      </c>
      <c r="O567">
        <v>8.9599999999999999E-2</v>
      </c>
      <c r="P567">
        <v>7</v>
      </c>
      <c r="Q567">
        <v>218</v>
      </c>
      <c r="R567">
        <v>225</v>
      </c>
    </row>
    <row r="568" spans="1:18" x14ac:dyDescent="0.25">
      <c r="A568">
        <v>567</v>
      </c>
      <c r="B568" s="2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 t="str">
        <f>CHOOSE(H568+1,"Monday","Tuesday","Wednesday","Thursday","Friday","Saturday","Sunday")</f>
        <v>Wednesday</v>
      </c>
      <c r="J568">
        <v>2</v>
      </c>
      <c r="K568">
        <v>0.26</v>
      </c>
      <c r="L568">
        <v>0.2576</v>
      </c>
      <c r="M568">
        <v>0.65</v>
      </c>
      <c r="N568" s="1" t="str">
        <f>IF(Table2[[#This Row],[hum]]&lt;=0.8,"Humid",IF(Table2[[#This Row],[hum]]&gt;=0.8,"High Humid"))</f>
        <v>Humid</v>
      </c>
      <c r="O568">
        <v>0.16420000000000001</v>
      </c>
      <c r="P568">
        <v>13</v>
      </c>
      <c r="Q568">
        <v>133</v>
      </c>
      <c r="R568">
        <v>146</v>
      </c>
    </row>
    <row r="569" spans="1:18" x14ac:dyDescent="0.25">
      <c r="A569">
        <v>568</v>
      </c>
      <c r="B569" s="2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 t="str">
        <f>CHOOSE(H569+1,"Monday","Tuesday","Wednesday","Thursday","Friday","Saturday","Sunday")</f>
        <v>Wednesday</v>
      </c>
      <c r="J569">
        <v>1</v>
      </c>
      <c r="K569">
        <v>0.24</v>
      </c>
      <c r="L569">
        <v>0.2273</v>
      </c>
      <c r="M569">
        <v>0.65</v>
      </c>
      <c r="N569" s="1" t="str">
        <f>IF(Table2[[#This Row],[hum]]&lt;=0.8,"Humid",IF(Table2[[#This Row],[hum]]&gt;=0.8,"High Humid"))</f>
        <v>Humid</v>
      </c>
      <c r="O569">
        <v>0.19400000000000001</v>
      </c>
      <c r="P569">
        <v>16</v>
      </c>
      <c r="Q569">
        <v>103</v>
      </c>
      <c r="R569">
        <v>119</v>
      </c>
    </row>
    <row r="570" spans="1:18" x14ac:dyDescent="0.25">
      <c r="A570">
        <v>569</v>
      </c>
      <c r="B570" s="2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 t="str">
        <f>CHOOSE(H570+1,"Monday","Tuesday","Wednesday","Thursday","Friday","Saturday","Sunday")</f>
        <v>Wednesday</v>
      </c>
      <c r="J570">
        <v>1</v>
      </c>
      <c r="K570">
        <v>0.24</v>
      </c>
      <c r="L570">
        <v>0.2273</v>
      </c>
      <c r="M570">
        <v>0.65</v>
      </c>
      <c r="N570" s="1" t="str">
        <f>IF(Table2[[#This Row],[hum]]&lt;=0.8,"Humid",IF(Table2[[#This Row],[hum]]&gt;=0.8,"High Humid"))</f>
        <v>Humid</v>
      </c>
      <c r="O570">
        <v>0.19400000000000001</v>
      </c>
      <c r="P570">
        <v>5</v>
      </c>
      <c r="Q570">
        <v>40</v>
      </c>
      <c r="R570">
        <v>45</v>
      </c>
    </row>
    <row r="571" spans="1:18" x14ac:dyDescent="0.25">
      <c r="A571">
        <v>570</v>
      </c>
      <c r="B571" s="2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 t="str">
        <f>CHOOSE(H571+1,"Monday","Tuesday","Wednesday","Thursday","Friday","Saturday","Sunday")</f>
        <v>Wednesday</v>
      </c>
      <c r="J571">
        <v>1</v>
      </c>
      <c r="K571">
        <v>0.22</v>
      </c>
      <c r="L571">
        <v>0.2273</v>
      </c>
      <c r="M571">
        <v>0.64</v>
      </c>
      <c r="N571" s="1" t="str">
        <f>IF(Table2[[#This Row],[hum]]&lt;=0.8,"Humid",IF(Table2[[#This Row],[hum]]&gt;=0.8,"High Humid"))</f>
        <v>Humid</v>
      </c>
      <c r="O571">
        <v>0.16420000000000001</v>
      </c>
      <c r="P571">
        <v>4</v>
      </c>
      <c r="Q571">
        <v>49</v>
      </c>
      <c r="R571">
        <v>53</v>
      </c>
    </row>
    <row r="572" spans="1:18" x14ac:dyDescent="0.25">
      <c r="A572">
        <v>571</v>
      </c>
      <c r="B572" s="2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 t="str">
        <f>CHOOSE(H572+1,"Monday","Tuesday","Wednesday","Thursday","Friday","Saturday","Sunday")</f>
        <v>Wednesday</v>
      </c>
      <c r="J572">
        <v>2</v>
      </c>
      <c r="K572">
        <v>0.22</v>
      </c>
      <c r="L572">
        <v>0.2273</v>
      </c>
      <c r="M572">
        <v>0.64</v>
      </c>
      <c r="N572" s="1" t="str">
        <f>IF(Table2[[#This Row],[hum]]&lt;=0.8,"Humid",IF(Table2[[#This Row],[hum]]&gt;=0.8,"High Humid"))</f>
        <v>Humid</v>
      </c>
      <c r="O572">
        <v>0.16420000000000001</v>
      </c>
      <c r="P572">
        <v>3</v>
      </c>
      <c r="Q572">
        <v>37</v>
      </c>
      <c r="R572">
        <v>40</v>
      </c>
    </row>
    <row r="573" spans="1:18" x14ac:dyDescent="0.25">
      <c r="A573">
        <v>572</v>
      </c>
      <c r="B573" s="2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 t="str">
        <f>CHOOSE(H573+1,"Monday","Tuesday","Wednesday","Thursday","Friday","Saturday","Sunday")</f>
        <v>Thursday</v>
      </c>
      <c r="J573">
        <v>2</v>
      </c>
      <c r="K573">
        <v>0.22</v>
      </c>
      <c r="L573">
        <v>0.2273</v>
      </c>
      <c r="M573">
        <v>0.69</v>
      </c>
      <c r="N573" s="1" t="str">
        <f>IF(Table2[[#This Row],[hum]]&lt;=0.8,"Humid",IF(Table2[[#This Row],[hum]]&gt;=0.8,"High Humid"))</f>
        <v>Humid</v>
      </c>
      <c r="O573">
        <v>0.1343</v>
      </c>
      <c r="P573">
        <v>3</v>
      </c>
      <c r="Q573">
        <v>14</v>
      </c>
      <c r="R573">
        <v>17</v>
      </c>
    </row>
    <row r="574" spans="1:18" x14ac:dyDescent="0.25">
      <c r="A574">
        <v>573</v>
      </c>
      <c r="B574" s="2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 t="str">
        <f>CHOOSE(H574+1,"Monday","Tuesday","Wednesday","Thursday","Friday","Saturday","Sunday")</f>
        <v>Thursday</v>
      </c>
      <c r="J574">
        <v>2</v>
      </c>
      <c r="K574">
        <v>0.24</v>
      </c>
      <c r="L574">
        <v>0.2424</v>
      </c>
      <c r="M574">
        <v>0.65</v>
      </c>
      <c r="N574" s="1" t="str">
        <f>IF(Table2[[#This Row],[hum]]&lt;=0.8,"Humid",IF(Table2[[#This Row],[hum]]&gt;=0.8,"High Humid"))</f>
        <v>Humid</v>
      </c>
      <c r="O574">
        <v>0.1343</v>
      </c>
      <c r="P574">
        <v>0</v>
      </c>
      <c r="Q574">
        <v>5</v>
      </c>
      <c r="R574">
        <v>5</v>
      </c>
    </row>
    <row r="575" spans="1:18" x14ac:dyDescent="0.25">
      <c r="A575">
        <v>574</v>
      </c>
      <c r="B575" s="2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 t="str">
        <f>CHOOSE(H575+1,"Monday","Tuesday","Wednesday","Thursday","Friday","Saturday","Sunday")</f>
        <v>Thursday</v>
      </c>
      <c r="J575">
        <v>3</v>
      </c>
      <c r="K575">
        <v>0.22</v>
      </c>
      <c r="L575">
        <v>0.2273</v>
      </c>
      <c r="M575">
        <v>0.69</v>
      </c>
      <c r="N575" s="1" t="str">
        <f>IF(Table2[[#This Row],[hum]]&lt;=0.8,"Humid",IF(Table2[[#This Row],[hum]]&gt;=0.8,"High Humid"))</f>
        <v>Humid</v>
      </c>
      <c r="O575">
        <v>0.19400000000000001</v>
      </c>
      <c r="P575">
        <v>3</v>
      </c>
      <c r="Q575">
        <v>7</v>
      </c>
      <c r="R575">
        <v>10</v>
      </c>
    </row>
    <row r="576" spans="1:18" x14ac:dyDescent="0.25">
      <c r="A576">
        <v>575</v>
      </c>
      <c r="B576" s="2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 t="str">
        <f>CHOOSE(H576+1,"Monday","Tuesday","Wednesday","Thursday","Friday","Saturday","Sunday")</f>
        <v>Thursday</v>
      </c>
      <c r="J576">
        <v>3</v>
      </c>
      <c r="K576">
        <v>0.2</v>
      </c>
      <c r="L576">
        <v>0.18179999999999999</v>
      </c>
      <c r="M576">
        <v>0.86</v>
      </c>
      <c r="N576" s="1" t="str">
        <f>IF(Table2[[#This Row],[hum]]&lt;=0.8,"Humid",IF(Table2[[#This Row],[hum]]&gt;=0.8,"High Humid"))</f>
        <v>High Humid</v>
      </c>
      <c r="O576">
        <v>0.28360000000000002</v>
      </c>
      <c r="P576">
        <v>0</v>
      </c>
      <c r="Q576">
        <v>1</v>
      </c>
      <c r="R576">
        <v>1</v>
      </c>
    </row>
    <row r="577" spans="1:18" x14ac:dyDescent="0.25">
      <c r="A577">
        <v>576</v>
      </c>
      <c r="B577" s="2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 t="str">
        <f>CHOOSE(H577+1,"Monday","Tuesday","Wednesday","Thursday","Friday","Saturday","Sunday")</f>
        <v>Thursday</v>
      </c>
      <c r="J577">
        <v>3</v>
      </c>
      <c r="K577">
        <v>0.2</v>
      </c>
      <c r="L577">
        <v>0.18179999999999999</v>
      </c>
      <c r="M577">
        <v>0.86</v>
      </c>
      <c r="N577" s="1" t="str">
        <f>IF(Table2[[#This Row],[hum]]&lt;=0.8,"Humid",IF(Table2[[#This Row],[hum]]&gt;=0.8,"High Humid"))</f>
        <v>High Humid</v>
      </c>
      <c r="O577">
        <v>0.28360000000000002</v>
      </c>
      <c r="P577">
        <v>0</v>
      </c>
      <c r="Q577">
        <v>8</v>
      </c>
      <c r="R577">
        <v>8</v>
      </c>
    </row>
    <row r="578" spans="1:18" x14ac:dyDescent="0.25">
      <c r="A578">
        <v>577</v>
      </c>
      <c r="B578" s="2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 t="str">
        <f>CHOOSE(H578+1,"Monday","Tuesday","Wednesday","Thursday","Friday","Saturday","Sunday")</f>
        <v>Thursday</v>
      </c>
      <c r="J578">
        <v>3</v>
      </c>
      <c r="K578">
        <v>0.22</v>
      </c>
      <c r="L578">
        <v>0.21210000000000001</v>
      </c>
      <c r="M578">
        <v>0.87</v>
      </c>
      <c r="N578" s="1" t="str">
        <f>IF(Table2[[#This Row],[hum]]&lt;=0.8,"Humid",IF(Table2[[#This Row],[hum]]&gt;=0.8,"High Humid"))</f>
        <v>High Humid</v>
      </c>
      <c r="O578">
        <v>0.29849999999999999</v>
      </c>
      <c r="P578">
        <v>1</v>
      </c>
      <c r="Q578">
        <v>29</v>
      </c>
      <c r="R578">
        <v>30</v>
      </c>
    </row>
    <row r="579" spans="1:18" x14ac:dyDescent="0.25">
      <c r="A579">
        <v>578</v>
      </c>
      <c r="B579" s="2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 t="str">
        <f>CHOOSE(H579+1,"Monday","Tuesday","Wednesday","Thursday","Friday","Saturday","Sunday")</f>
        <v>Thursday</v>
      </c>
      <c r="J579">
        <v>3</v>
      </c>
      <c r="K579">
        <v>0.22</v>
      </c>
      <c r="L579">
        <v>0.21210000000000001</v>
      </c>
      <c r="M579">
        <v>0.87</v>
      </c>
      <c r="N579" s="1" t="str">
        <f>IF(Table2[[#This Row],[hum]]&lt;=0.8,"Humid",IF(Table2[[#This Row],[hum]]&gt;=0.8,"High Humid"))</f>
        <v>High Humid</v>
      </c>
      <c r="O579">
        <v>0.29849999999999999</v>
      </c>
      <c r="P579">
        <v>3</v>
      </c>
      <c r="Q579">
        <v>69</v>
      </c>
      <c r="R579">
        <v>72</v>
      </c>
    </row>
    <row r="580" spans="1:18" x14ac:dyDescent="0.25">
      <c r="A580">
        <v>579</v>
      </c>
      <c r="B580" s="2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 t="str">
        <f>CHOOSE(H580+1,"Monday","Tuesday","Wednesday","Thursday","Friday","Saturday","Sunday")</f>
        <v>Thursday</v>
      </c>
      <c r="J580">
        <v>3</v>
      </c>
      <c r="K580">
        <v>0.22</v>
      </c>
      <c r="L580">
        <v>0.21210000000000001</v>
      </c>
      <c r="M580">
        <v>0.87</v>
      </c>
      <c r="N580" s="1" t="str">
        <f>IF(Table2[[#This Row],[hum]]&lt;=0.8,"Humid",IF(Table2[[#This Row],[hum]]&gt;=0.8,"High Humid"))</f>
        <v>High Humid</v>
      </c>
      <c r="O580">
        <v>0.29849999999999999</v>
      </c>
      <c r="P580">
        <v>3</v>
      </c>
      <c r="Q580">
        <v>55</v>
      </c>
      <c r="R580">
        <v>58</v>
      </c>
    </row>
    <row r="581" spans="1:18" x14ac:dyDescent="0.25">
      <c r="A581">
        <v>580</v>
      </c>
      <c r="B581" s="2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 t="str">
        <f>CHOOSE(H581+1,"Monday","Tuesday","Wednesday","Thursday","Friday","Saturday","Sunday")</f>
        <v>Thursday</v>
      </c>
      <c r="J581">
        <v>3</v>
      </c>
      <c r="K581">
        <v>0.22</v>
      </c>
      <c r="L581">
        <v>0.21210000000000001</v>
      </c>
      <c r="M581">
        <v>0.93</v>
      </c>
      <c r="N581" s="1" t="str">
        <f>IF(Table2[[#This Row],[hum]]&lt;=0.8,"Humid",IF(Table2[[#This Row],[hum]]&gt;=0.8,"High Humid"))</f>
        <v>High Humid</v>
      </c>
      <c r="O581">
        <v>0.28360000000000002</v>
      </c>
      <c r="P581">
        <v>2</v>
      </c>
      <c r="Q581">
        <v>26</v>
      </c>
      <c r="R581">
        <v>28</v>
      </c>
    </row>
    <row r="582" spans="1:18" x14ac:dyDescent="0.25">
      <c r="A582">
        <v>581</v>
      </c>
      <c r="B582" s="2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 t="str">
        <f>CHOOSE(H582+1,"Monday","Tuesday","Wednesday","Thursday","Friday","Saturday","Sunday")</f>
        <v>Thursday</v>
      </c>
      <c r="J582">
        <v>3</v>
      </c>
      <c r="K582">
        <v>0.22</v>
      </c>
      <c r="L582">
        <v>0.19700000000000001</v>
      </c>
      <c r="M582">
        <v>0.93</v>
      </c>
      <c r="N582" s="1" t="str">
        <f>IF(Table2[[#This Row],[hum]]&lt;=0.8,"Humid",IF(Table2[[#This Row],[hum]]&gt;=0.8,"High Humid"))</f>
        <v>High Humid</v>
      </c>
      <c r="O582">
        <v>0.32840000000000003</v>
      </c>
      <c r="P582">
        <v>6</v>
      </c>
      <c r="Q582">
        <v>35</v>
      </c>
      <c r="R582">
        <v>41</v>
      </c>
    </row>
    <row r="583" spans="1:18" x14ac:dyDescent="0.25">
      <c r="A583">
        <v>582</v>
      </c>
      <c r="B583" s="2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 t="str">
        <f>CHOOSE(H583+1,"Monday","Tuesday","Wednesday","Thursday","Friday","Saturday","Sunday")</f>
        <v>Thursday</v>
      </c>
      <c r="J583">
        <v>3</v>
      </c>
      <c r="K583">
        <v>0.22</v>
      </c>
      <c r="L583">
        <v>0.19700000000000001</v>
      </c>
      <c r="M583">
        <v>0.93</v>
      </c>
      <c r="N583" s="1" t="str">
        <f>IF(Table2[[#This Row],[hum]]&lt;=0.8,"Humid",IF(Table2[[#This Row],[hum]]&gt;=0.8,"High Humid"))</f>
        <v>High Humid</v>
      </c>
      <c r="O583">
        <v>0.32840000000000003</v>
      </c>
      <c r="P583">
        <v>7</v>
      </c>
      <c r="Q583">
        <v>41</v>
      </c>
      <c r="R583">
        <v>48</v>
      </c>
    </row>
    <row r="584" spans="1:18" x14ac:dyDescent="0.25">
      <c r="A584">
        <v>583</v>
      </c>
      <c r="B584" s="2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 t="str">
        <f>CHOOSE(H584+1,"Monday","Tuesday","Wednesday","Thursday","Friday","Saturday","Sunday")</f>
        <v>Thursday</v>
      </c>
      <c r="J584">
        <v>3</v>
      </c>
      <c r="K584">
        <v>0.22</v>
      </c>
      <c r="L584">
        <v>0.19700000000000001</v>
      </c>
      <c r="M584">
        <v>0.93</v>
      </c>
      <c r="N584" s="1" t="str">
        <f>IF(Table2[[#This Row],[hum]]&lt;=0.8,"Humid",IF(Table2[[#This Row],[hum]]&gt;=0.8,"High Humid"))</f>
        <v>High Humid</v>
      </c>
      <c r="O584">
        <v>0.32840000000000003</v>
      </c>
      <c r="P584">
        <v>4</v>
      </c>
      <c r="Q584">
        <v>43</v>
      </c>
      <c r="R584">
        <v>47</v>
      </c>
    </row>
    <row r="585" spans="1:18" x14ac:dyDescent="0.25">
      <c r="A585">
        <v>584</v>
      </c>
      <c r="B585" s="2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 t="str">
        <f>CHOOSE(H585+1,"Monday","Tuesday","Wednesday","Thursday","Friday","Saturday","Sunday")</f>
        <v>Thursday</v>
      </c>
      <c r="J585">
        <v>3</v>
      </c>
      <c r="K585">
        <v>0.22</v>
      </c>
      <c r="L585">
        <v>0.19700000000000001</v>
      </c>
      <c r="M585">
        <v>0.93</v>
      </c>
      <c r="N585" s="1" t="str">
        <f>IF(Table2[[#This Row],[hum]]&lt;=0.8,"Humid",IF(Table2[[#This Row],[hum]]&gt;=0.8,"High Humid"))</f>
        <v>High Humid</v>
      </c>
      <c r="O585">
        <v>0.35820000000000002</v>
      </c>
      <c r="P585">
        <v>0</v>
      </c>
      <c r="Q585">
        <v>36</v>
      </c>
      <c r="R585">
        <v>36</v>
      </c>
    </row>
    <row r="586" spans="1:18" x14ac:dyDescent="0.25">
      <c r="A586">
        <v>585</v>
      </c>
      <c r="B586" s="2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 t="str">
        <f>CHOOSE(H586+1,"Monday","Tuesday","Wednesday","Thursday","Friday","Saturday","Sunday")</f>
        <v>Thursday</v>
      </c>
      <c r="J586">
        <v>3</v>
      </c>
      <c r="K586">
        <v>0.22</v>
      </c>
      <c r="L586">
        <v>0.18179999999999999</v>
      </c>
      <c r="M586">
        <v>0.93</v>
      </c>
      <c r="N586" s="1" t="str">
        <f>IF(Table2[[#This Row],[hum]]&lt;=0.8,"Humid",IF(Table2[[#This Row],[hum]]&gt;=0.8,"High Humid"))</f>
        <v>High Humid</v>
      </c>
      <c r="O586">
        <v>0.4627</v>
      </c>
      <c r="P586">
        <v>1</v>
      </c>
      <c r="Q586">
        <v>42</v>
      </c>
      <c r="R586">
        <v>43</v>
      </c>
    </row>
    <row r="587" spans="1:18" x14ac:dyDescent="0.25">
      <c r="A587">
        <v>586</v>
      </c>
      <c r="B587" s="2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 t="str">
        <f>CHOOSE(H587+1,"Monday","Tuesday","Wednesday","Thursday","Friday","Saturday","Sunday")</f>
        <v>Thursday</v>
      </c>
      <c r="J587">
        <v>4</v>
      </c>
      <c r="K587">
        <v>0.22</v>
      </c>
      <c r="L587">
        <v>0.19700000000000001</v>
      </c>
      <c r="M587">
        <v>0.93</v>
      </c>
      <c r="N587" s="1" t="str">
        <f>IF(Table2[[#This Row],[hum]]&lt;=0.8,"Humid",IF(Table2[[#This Row],[hum]]&gt;=0.8,"High Humid"))</f>
        <v>High Humid</v>
      </c>
      <c r="O587">
        <v>0.32840000000000003</v>
      </c>
      <c r="P587">
        <v>1</v>
      </c>
      <c r="Q587">
        <v>35</v>
      </c>
      <c r="R587">
        <v>36</v>
      </c>
    </row>
    <row r="588" spans="1:18" x14ac:dyDescent="0.25">
      <c r="A588">
        <v>587</v>
      </c>
      <c r="B588" s="2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 t="str">
        <f>CHOOSE(H588+1,"Monday","Tuesday","Wednesday","Thursday","Friday","Saturday","Sunday")</f>
        <v>Thursday</v>
      </c>
      <c r="J588">
        <v>3</v>
      </c>
      <c r="K588">
        <v>0.2</v>
      </c>
      <c r="L588">
        <v>0.18179999999999999</v>
      </c>
      <c r="M588">
        <v>0.93</v>
      </c>
      <c r="N588" s="1" t="str">
        <f>IF(Table2[[#This Row],[hum]]&lt;=0.8,"Humid",IF(Table2[[#This Row],[hum]]&gt;=0.8,"High Humid"))</f>
        <v>High Humid</v>
      </c>
      <c r="O588">
        <v>0.35820000000000002</v>
      </c>
      <c r="P588">
        <v>0</v>
      </c>
      <c r="Q588">
        <v>26</v>
      </c>
      <c r="R588">
        <v>26</v>
      </c>
    </row>
    <row r="589" spans="1:18" x14ac:dyDescent="0.25">
      <c r="A589">
        <v>588</v>
      </c>
      <c r="B589" s="2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 t="str">
        <f>CHOOSE(H589+1,"Monday","Tuesday","Wednesday","Thursday","Friday","Saturday","Sunday")</f>
        <v>Friday</v>
      </c>
      <c r="J589">
        <v>1</v>
      </c>
      <c r="K589">
        <v>0.22</v>
      </c>
      <c r="L589">
        <v>0.2273</v>
      </c>
      <c r="M589">
        <v>0.55000000000000004</v>
      </c>
      <c r="N589" s="1" t="str">
        <f>IF(Table2[[#This Row],[hum]]&lt;=0.8,"Humid",IF(Table2[[#This Row],[hum]]&gt;=0.8,"High Humid"))</f>
        <v>Humid</v>
      </c>
      <c r="O589">
        <v>0.19400000000000001</v>
      </c>
      <c r="P589">
        <v>1</v>
      </c>
      <c r="Q589">
        <v>23</v>
      </c>
      <c r="R589">
        <v>24</v>
      </c>
    </row>
    <row r="590" spans="1:18" x14ac:dyDescent="0.25">
      <c r="A590">
        <v>589</v>
      </c>
      <c r="B590" s="2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 t="str">
        <f>CHOOSE(H590+1,"Monday","Tuesday","Wednesday","Thursday","Friday","Saturday","Sunday")</f>
        <v>Friday</v>
      </c>
      <c r="J590">
        <v>1</v>
      </c>
      <c r="K590">
        <v>0.22</v>
      </c>
      <c r="L590">
        <v>0.2424</v>
      </c>
      <c r="M590">
        <v>0.55000000000000004</v>
      </c>
      <c r="N590" s="1" t="str">
        <f>IF(Table2[[#This Row],[hum]]&lt;=0.8,"Humid",IF(Table2[[#This Row],[hum]]&gt;=0.8,"High Humid"))</f>
        <v>Humid</v>
      </c>
      <c r="O590">
        <v>0.1045</v>
      </c>
      <c r="P590">
        <v>2</v>
      </c>
      <c r="Q590">
        <v>82</v>
      </c>
      <c r="R590">
        <v>84</v>
      </c>
    </row>
    <row r="591" spans="1:18" x14ac:dyDescent="0.25">
      <c r="A591">
        <v>590</v>
      </c>
      <c r="B591" s="2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 t="str">
        <f>CHOOSE(H591+1,"Monday","Tuesday","Wednesday","Thursday","Friday","Saturday","Sunday")</f>
        <v>Friday</v>
      </c>
      <c r="J591">
        <v>1</v>
      </c>
      <c r="K591">
        <v>0.2</v>
      </c>
      <c r="L591">
        <v>0.2273</v>
      </c>
      <c r="M591">
        <v>0.69</v>
      </c>
      <c r="N591" s="1" t="str">
        <f>IF(Table2[[#This Row],[hum]]&lt;=0.8,"Humid",IF(Table2[[#This Row],[hum]]&gt;=0.8,"High Humid"))</f>
        <v>Humid</v>
      </c>
      <c r="O591">
        <v>8.9599999999999999E-2</v>
      </c>
      <c r="P591">
        <v>3</v>
      </c>
      <c r="Q591">
        <v>101</v>
      </c>
      <c r="R591">
        <v>104</v>
      </c>
    </row>
    <row r="592" spans="1:18" x14ac:dyDescent="0.25">
      <c r="A592">
        <v>591</v>
      </c>
      <c r="B592" s="2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 t="str">
        <f>CHOOSE(H592+1,"Monday","Tuesday","Wednesday","Thursday","Friday","Saturday","Sunday")</f>
        <v>Friday</v>
      </c>
      <c r="J592">
        <v>1</v>
      </c>
      <c r="K592">
        <v>0.2</v>
      </c>
      <c r="L592">
        <v>0.2273</v>
      </c>
      <c r="M592">
        <v>0.69</v>
      </c>
      <c r="N592" s="1" t="str">
        <f>IF(Table2[[#This Row],[hum]]&lt;=0.8,"Humid",IF(Table2[[#This Row],[hum]]&gt;=0.8,"High Humid"))</f>
        <v>Humid</v>
      </c>
      <c r="O592">
        <v>8.9599999999999999E-2</v>
      </c>
      <c r="P592">
        <v>3</v>
      </c>
      <c r="Q592">
        <v>76</v>
      </c>
      <c r="R592">
        <v>79</v>
      </c>
    </row>
    <row r="593" spans="1:18" x14ac:dyDescent="0.25">
      <c r="A593">
        <v>592</v>
      </c>
      <c r="B593" s="2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 t="str">
        <f>CHOOSE(H593+1,"Monday","Tuesday","Wednesday","Thursday","Friday","Saturday","Sunday")</f>
        <v>Friday</v>
      </c>
      <c r="J593">
        <v>1</v>
      </c>
      <c r="K593">
        <v>0.18</v>
      </c>
      <c r="L593">
        <v>0.21210000000000001</v>
      </c>
      <c r="M593">
        <v>0.74</v>
      </c>
      <c r="N593" s="1" t="str">
        <f>IF(Table2[[#This Row],[hum]]&lt;=0.8,"Humid",IF(Table2[[#This Row],[hum]]&gt;=0.8,"High Humid"))</f>
        <v>Humid</v>
      </c>
      <c r="O593">
        <v>8.9599999999999999E-2</v>
      </c>
      <c r="P593">
        <v>4</v>
      </c>
      <c r="Q593">
        <v>55</v>
      </c>
      <c r="R593">
        <v>59</v>
      </c>
    </row>
    <row r="594" spans="1:18" x14ac:dyDescent="0.25">
      <c r="A594">
        <v>593</v>
      </c>
      <c r="B594" s="2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 t="str">
        <f>CHOOSE(H594+1,"Monday","Tuesday","Wednesday","Thursday","Friday","Saturday","Sunday")</f>
        <v>Friday</v>
      </c>
      <c r="J594">
        <v>1</v>
      </c>
      <c r="K594">
        <v>0.18</v>
      </c>
      <c r="L594">
        <v>0.21210000000000001</v>
      </c>
      <c r="M594">
        <v>0.74</v>
      </c>
      <c r="N594" s="1" t="str">
        <f>IF(Table2[[#This Row],[hum]]&lt;=0.8,"Humid",IF(Table2[[#This Row],[hum]]&gt;=0.8,"High Humid"))</f>
        <v>Humid</v>
      </c>
      <c r="O594">
        <v>8.9599999999999999E-2</v>
      </c>
      <c r="P594">
        <v>2</v>
      </c>
      <c r="Q594">
        <v>36</v>
      </c>
      <c r="R594">
        <v>38</v>
      </c>
    </row>
    <row r="595" spans="1:18" x14ac:dyDescent="0.25">
      <c r="A595">
        <v>594</v>
      </c>
      <c r="B595" s="2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 t="str">
        <f>CHOOSE(H595+1,"Monday","Tuesday","Wednesday","Thursday","Friday","Saturday","Sunday")</f>
        <v>Friday</v>
      </c>
      <c r="J595">
        <v>1</v>
      </c>
      <c r="K595">
        <v>0.18</v>
      </c>
      <c r="L595">
        <v>0.21210000000000001</v>
      </c>
      <c r="M595">
        <v>0.74</v>
      </c>
      <c r="N595" s="1" t="str">
        <f>IF(Table2[[#This Row],[hum]]&lt;=0.8,"Humid",IF(Table2[[#This Row],[hum]]&gt;=0.8,"High Humid"))</f>
        <v>Humid</v>
      </c>
      <c r="O595">
        <v>8.9599999999999999E-2</v>
      </c>
      <c r="P595">
        <v>0</v>
      </c>
      <c r="Q595">
        <v>27</v>
      </c>
      <c r="R595">
        <v>27</v>
      </c>
    </row>
    <row r="596" spans="1:18" x14ac:dyDescent="0.25">
      <c r="A596">
        <v>595</v>
      </c>
      <c r="B596" s="2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 t="str">
        <f>CHOOSE(H596+1,"Monday","Tuesday","Wednesday","Thursday","Friday","Saturday","Sunday")</f>
        <v>Friday</v>
      </c>
      <c r="J596">
        <v>1</v>
      </c>
      <c r="K596">
        <v>0.18</v>
      </c>
      <c r="L596">
        <v>0.19700000000000001</v>
      </c>
      <c r="M596">
        <v>0.8</v>
      </c>
      <c r="N596" s="1" t="str">
        <f>IF(Table2[[#This Row],[hum]]&lt;=0.8,"Humid",IF(Table2[[#This Row],[hum]]&gt;=0.8,"High Humid"))</f>
        <v>Humid</v>
      </c>
      <c r="O596">
        <v>0.16420000000000001</v>
      </c>
      <c r="P596">
        <v>0</v>
      </c>
      <c r="Q596">
        <v>16</v>
      </c>
      <c r="R596">
        <v>16</v>
      </c>
    </row>
    <row r="597" spans="1:18" x14ac:dyDescent="0.25">
      <c r="A597">
        <v>596</v>
      </c>
      <c r="B597" s="2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 t="str">
        <f>CHOOSE(H597+1,"Monday","Tuesday","Wednesday","Thursday","Friday","Saturday","Sunday")</f>
        <v>Saturday</v>
      </c>
      <c r="J597">
        <v>2</v>
      </c>
      <c r="K597">
        <v>0.2</v>
      </c>
      <c r="L597">
        <v>0.21210000000000001</v>
      </c>
      <c r="M597">
        <v>0.75</v>
      </c>
      <c r="N597" s="1" t="str">
        <f>IF(Table2[[#This Row],[hum]]&lt;=0.8,"Humid",IF(Table2[[#This Row],[hum]]&gt;=0.8,"High Humid"))</f>
        <v>Humid</v>
      </c>
      <c r="O597">
        <v>0.1343</v>
      </c>
      <c r="P597">
        <v>0</v>
      </c>
      <c r="Q597">
        <v>9</v>
      </c>
      <c r="R597">
        <v>9</v>
      </c>
    </row>
    <row r="598" spans="1:18" x14ac:dyDescent="0.25">
      <c r="A598">
        <v>597</v>
      </c>
      <c r="B598" s="2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 t="str">
        <f>CHOOSE(H598+1,"Monday","Tuesday","Wednesday","Thursday","Friday","Saturday","Sunday")</f>
        <v>Saturday</v>
      </c>
      <c r="J598">
        <v>2</v>
      </c>
      <c r="K598">
        <v>0.2</v>
      </c>
      <c r="L598">
        <v>0.21210000000000001</v>
      </c>
      <c r="M598">
        <v>0.75</v>
      </c>
      <c r="N598" s="1" t="str">
        <f>IF(Table2[[#This Row],[hum]]&lt;=0.8,"Humid",IF(Table2[[#This Row],[hum]]&gt;=0.8,"High Humid"))</f>
        <v>Humid</v>
      </c>
      <c r="O598">
        <v>0.1343</v>
      </c>
      <c r="P598">
        <v>1</v>
      </c>
      <c r="Q598">
        <v>2</v>
      </c>
      <c r="R598">
        <v>3</v>
      </c>
    </row>
    <row r="599" spans="1:18" x14ac:dyDescent="0.25">
      <c r="A599">
        <v>598</v>
      </c>
      <c r="B599" s="2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 t="str">
        <f>CHOOSE(H599+1,"Monday","Tuesday","Wednesday","Thursday","Friday","Saturday","Sunday")</f>
        <v>Saturday</v>
      </c>
      <c r="J599">
        <v>2</v>
      </c>
      <c r="K599">
        <v>0.2</v>
      </c>
      <c r="L599">
        <v>0.21210000000000001</v>
      </c>
      <c r="M599">
        <v>0.75</v>
      </c>
      <c r="N599" s="1" t="str">
        <f>IF(Table2[[#This Row],[hum]]&lt;=0.8,"Humid",IF(Table2[[#This Row],[hum]]&gt;=0.8,"High Humid"))</f>
        <v>Humid</v>
      </c>
      <c r="O599">
        <v>0.16420000000000001</v>
      </c>
      <c r="P599">
        <v>0</v>
      </c>
      <c r="Q599">
        <v>2</v>
      </c>
      <c r="R599">
        <v>2</v>
      </c>
    </row>
    <row r="600" spans="1:18" x14ac:dyDescent="0.25">
      <c r="A600">
        <v>599</v>
      </c>
      <c r="B600" s="2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 t="str">
        <f>CHOOSE(H600+1,"Monday","Tuesday","Wednesday","Thursday","Friday","Saturday","Sunday")</f>
        <v>Saturday</v>
      </c>
      <c r="J600">
        <v>2</v>
      </c>
      <c r="K600">
        <v>0.2</v>
      </c>
      <c r="L600">
        <v>0.2273</v>
      </c>
      <c r="M600">
        <v>0.75</v>
      </c>
      <c r="N600" s="1" t="str">
        <f>IF(Table2[[#This Row],[hum]]&lt;=0.8,"Humid",IF(Table2[[#This Row],[hum]]&gt;=0.8,"High Humid"))</f>
        <v>Humid</v>
      </c>
      <c r="O600">
        <v>0.1045</v>
      </c>
      <c r="P600">
        <v>1</v>
      </c>
      <c r="Q600">
        <v>0</v>
      </c>
      <c r="R600">
        <v>1</v>
      </c>
    </row>
    <row r="601" spans="1:18" x14ac:dyDescent="0.25">
      <c r="A601">
        <v>600</v>
      </c>
      <c r="B601" s="2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 t="str">
        <f>CHOOSE(H601+1,"Monday","Tuesday","Wednesday","Thursday","Friday","Saturday","Sunday")</f>
        <v>Saturday</v>
      </c>
      <c r="J601">
        <v>2</v>
      </c>
      <c r="K601">
        <v>0.18</v>
      </c>
      <c r="L601">
        <v>0.21210000000000001</v>
      </c>
      <c r="M601">
        <v>0.8</v>
      </c>
      <c r="N601" s="1" t="str">
        <f>IF(Table2[[#This Row],[hum]]&lt;=0.8,"Humid",IF(Table2[[#This Row],[hum]]&gt;=0.8,"High Humid"))</f>
        <v>Humid</v>
      </c>
      <c r="O601">
        <v>0.1045</v>
      </c>
      <c r="P601">
        <v>0</v>
      </c>
      <c r="Q601">
        <v>4</v>
      </c>
      <c r="R601">
        <v>4</v>
      </c>
    </row>
    <row r="602" spans="1:18" x14ac:dyDescent="0.25">
      <c r="A602">
        <v>601</v>
      </c>
      <c r="B602" s="2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 t="str">
        <f>CHOOSE(H602+1,"Monday","Tuesday","Wednesday","Thursday","Friday","Saturday","Sunday")</f>
        <v>Saturday</v>
      </c>
      <c r="J602">
        <v>2</v>
      </c>
      <c r="K602">
        <v>0.18</v>
      </c>
      <c r="L602">
        <v>0.19700000000000001</v>
      </c>
      <c r="M602">
        <v>0.8</v>
      </c>
      <c r="N602" s="1" t="str">
        <f>IF(Table2[[#This Row],[hum]]&lt;=0.8,"Humid",IF(Table2[[#This Row],[hum]]&gt;=0.8,"High Humid"))</f>
        <v>Humid</v>
      </c>
      <c r="O602">
        <v>0.1343</v>
      </c>
      <c r="P602">
        <v>0</v>
      </c>
      <c r="Q602">
        <v>16</v>
      </c>
      <c r="R602">
        <v>16</v>
      </c>
    </row>
    <row r="603" spans="1:18" x14ac:dyDescent="0.25">
      <c r="A603">
        <v>602</v>
      </c>
      <c r="B603" s="2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 t="str">
        <f>CHOOSE(H603+1,"Monday","Tuesday","Wednesday","Thursday","Friday","Saturday","Sunday")</f>
        <v>Saturday</v>
      </c>
      <c r="J603">
        <v>2</v>
      </c>
      <c r="K603">
        <v>0.16</v>
      </c>
      <c r="L603">
        <v>0.19700000000000001</v>
      </c>
      <c r="M603">
        <v>0.86</v>
      </c>
      <c r="N603" s="1" t="str">
        <f>IF(Table2[[#This Row],[hum]]&lt;=0.8,"Humid",IF(Table2[[#This Row],[hum]]&gt;=0.8,"High Humid"))</f>
        <v>High Humid</v>
      </c>
      <c r="O603">
        <v>8.9599999999999999E-2</v>
      </c>
      <c r="P603">
        <v>2</v>
      </c>
      <c r="Q603">
        <v>58</v>
      </c>
      <c r="R603">
        <v>60</v>
      </c>
    </row>
    <row r="604" spans="1:18" x14ac:dyDescent="0.25">
      <c r="A604">
        <v>603</v>
      </c>
      <c r="B604" s="2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 t="str">
        <f>CHOOSE(H604+1,"Monday","Tuesday","Wednesday","Thursday","Friday","Saturday","Sunday")</f>
        <v>Saturday</v>
      </c>
      <c r="J604">
        <v>2</v>
      </c>
      <c r="K604">
        <v>0.16</v>
      </c>
      <c r="L604">
        <v>0.19700000000000001</v>
      </c>
      <c r="M604">
        <v>0.86</v>
      </c>
      <c r="N604" s="1" t="str">
        <f>IF(Table2[[#This Row],[hum]]&lt;=0.8,"Humid",IF(Table2[[#This Row],[hum]]&gt;=0.8,"High Humid"))</f>
        <v>High Humid</v>
      </c>
      <c r="O604">
        <v>8.9599999999999999E-2</v>
      </c>
      <c r="P604">
        <v>2</v>
      </c>
      <c r="Q604">
        <v>155</v>
      </c>
      <c r="R604">
        <v>157</v>
      </c>
    </row>
    <row r="605" spans="1:18" x14ac:dyDescent="0.25">
      <c r="A605">
        <v>604</v>
      </c>
      <c r="B605" s="2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 t="str">
        <f>CHOOSE(H605+1,"Monday","Tuesday","Wednesday","Thursday","Friday","Saturday","Sunday")</f>
        <v>Saturday</v>
      </c>
      <c r="J605">
        <v>3</v>
      </c>
      <c r="K605">
        <v>0.18</v>
      </c>
      <c r="L605">
        <v>0.21210000000000001</v>
      </c>
      <c r="M605">
        <v>0.86</v>
      </c>
      <c r="N605" s="1" t="str">
        <f>IF(Table2[[#This Row],[hum]]&lt;=0.8,"Humid",IF(Table2[[#This Row],[hum]]&gt;=0.8,"High Humid"))</f>
        <v>High Humid</v>
      </c>
      <c r="O605">
        <v>8.9599999999999999E-2</v>
      </c>
      <c r="P605">
        <v>6</v>
      </c>
      <c r="Q605">
        <v>95</v>
      </c>
      <c r="R605">
        <v>101</v>
      </c>
    </row>
    <row r="606" spans="1:18" x14ac:dyDescent="0.25">
      <c r="A606">
        <v>605</v>
      </c>
      <c r="B606" s="2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 t="str">
        <f>CHOOSE(H606+1,"Monday","Tuesday","Wednesday","Thursday","Friday","Saturday","Sunday")</f>
        <v>Saturday</v>
      </c>
      <c r="J606">
        <v>3</v>
      </c>
      <c r="K606">
        <v>0.18</v>
      </c>
      <c r="L606">
        <v>0.21210000000000001</v>
      </c>
      <c r="M606">
        <v>0.86</v>
      </c>
      <c r="N606" s="1" t="str">
        <f>IF(Table2[[#This Row],[hum]]&lt;=0.8,"Humid",IF(Table2[[#This Row],[hum]]&gt;=0.8,"High Humid"))</f>
        <v>High Humid</v>
      </c>
      <c r="O606">
        <v>0.1045</v>
      </c>
      <c r="P606">
        <v>0</v>
      </c>
      <c r="Q606">
        <v>49</v>
      </c>
      <c r="R606">
        <v>49</v>
      </c>
    </row>
    <row r="607" spans="1:18" x14ac:dyDescent="0.25">
      <c r="A607">
        <v>606</v>
      </c>
      <c r="B607" s="2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 t="str">
        <f>CHOOSE(H607+1,"Monday","Tuesday","Wednesday","Thursday","Friday","Saturday","Sunday")</f>
        <v>Saturday</v>
      </c>
      <c r="J607">
        <v>3</v>
      </c>
      <c r="K607">
        <v>0.18</v>
      </c>
      <c r="L607">
        <v>0.21210000000000001</v>
      </c>
      <c r="M607">
        <v>0.93</v>
      </c>
      <c r="N607" s="1" t="str">
        <f>IF(Table2[[#This Row],[hum]]&lt;=0.8,"Humid",IF(Table2[[#This Row],[hum]]&gt;=0.8,"High Humid"))</f>
        <v>High Humid</v>
      </c>
      <c r="O607">
        <v>0.1045</v>
      </c>
      <c r="P607">
        <v>0</v>
      </c>
      <c r="Q607">
        <v>30</v>
      </c>
      <c r="R607">
        <v>30</v>
      </c>
    </row>
    <row r="608" spans="1:18" x14ac:dyDescent="0.25">
      <c r="A608">
        <v>607</v>
      </c>
      <c r="B608" s="2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 t="str">
        <f>CHOOSE(H608+1,"Monday","Tuesday","Wednesday","Thursday","Friday","Saturday","Sunday")</f>
        <v>Saturday</v>
      </c>
      <c r="J608">
        <v>3</v>
      </c>
      <c r="K608">
        <v>0.18</v>
      </c>
      <c r="L608">
        <v>0.21210000000000001</v>
      </c>
      <c r="M608">
        <v>0.93</v>
      </c>
      <c r="N608" s="1" t="str">
        <f>IF(Table2[[#This Row],[hum]]&lt;=0.8,"Humid",IF(Table2[[#This Row],[hum]]&gt;=0.8,"High Humid"))</f>
        <v>High Humid</v>
      </c>
      <c r="O608">
        <v>0.1045</v>
      </c>
      <c r="P608">
        <v>1</v>
      </c>
      <c r="Q608">
        <v>28</v>
      </c>
      <c r="R608">
        <v>29</v>
      </c>
    </row>
    <row r="609" spans="1:18" x14ac:dyDescent="0.25">
      <c r="A609">
        <v>608</v>
      </c>
      <c r="B609" s="2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 t="str">
        <f>CHOOSE(H609+1,"Monday","Tuesday","Wednesday","Thursday","Friday","Saturday","Sunday")</f>
        <v>Saturday</v>
      </c>
      <c r="J609">
        <v>3</v>
      </c>
      <c r="K609">
        <v>0.18</v>
      </c>
      <c r="L609">
        <v>0.21210000000000001</v>
      </c>
      <c r="M609">
        <v>0.93</v>
      </c>
      <c r="N609" s="1" t="str">
        <f>IF(Table2[[#This Row],[hum]]&lt;=0.8,"Humid",IF(Table2[[#This Row],[hum]]&gt;=0.8,"High Humid"))</f>
        <v>High Humid</v>
      </c>
      <c r="O609">
        <v>0.1045</v>
      </c>
      <c r="P609">
        <v>0</v>
      </c>
      <c r="Q609">
        <v>31</v>
      </c>
      <c r="R609">
        <v>31</v>
      </c>
    </row>
    <row r="610" spans="1:18" x14ac:dyDescent="0.25">
      <c r="A610">
        <v>609</v>
      </c>
      <c r="B610" s="2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 t="str">
        <f>CHOOSE(H610+1,"Monday","Tuesday","Wednesday","Thursday","Friday","Saturday","Sunday")</f>
        <v>Saturday</v>
      </c>
      <c r="J610">
        <v>3</v>
      </c>
      <c r="K610">
        <v>0.22</v>
      </c>
      <c r="L610">
        <v>0.2727</v>
      </c>
      <c r="M610">
        <v>0.8</v>
      </c>
      <c r="N610" s="1" t="str">
        <f>IF(Table2[[#This Row],[hum]]&lt;=0.8,"Humid",IF(Table2[[#This Row],[hum]]&gt;=0.8,"High Humid"))</f>
        <v>Humid</v>
      </c>
      <c r="O610">
        <v>0</v>
      </c>
      <c r="P610">
        <v>2</v>
      </c>
      <c r="Q610">
        <v>36</v>
      </c>
      <c r="R610">
        <v>38</v>
      </c>
    </row>
    <row r="611" spans="1:18" x14ac:dyDescent="0.25">
      <c r="A611">
        <v>610</v>
      </c>
      <c r="B611" s="2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 t="str">
        <f>CHOOSE(H611+1,"Monday","Tuesday","Wednesday","Thursday","Friday","Saturday","Sunday")</f>
        <v>Saturday</v>
      </c>
      <c r="J611">
        <v>2</v>
      </c>
      <c r="K611">
        <v>0.2</v>
      </c>
      <c r="L611">
        <v>0.2576</v>
      </c>
      <c r="M611">
        <v>0.86</v>
      </c>
      <c r="N611" s="1" t="str">
        <f>IF(Table2[[#This Row],[hum]]&lt;=0.8,"Humid",IF(Table2[[#This Row],[hum]]&gt;=0.8,"High Humid"))</f>
        <v>High Humid</v>
      </c>
      <c r="O611">
        <v>0</v>
      </c>
      <c r="P611">
        <v>1</v>
      </c>
      <c r="Q611">
        <v>40</v>
      </c>
      <c r="R611">
        <v>41</v>
      </c>
    </row>
  </sheetData>
  <pageMargins left="0.7" right="0.7" top="0.75" bottom="0.75" header="0.3" footer="0.3"/>
  <pageSetup paperSize="9" orientation="portrait" horizontalDpi="0" verticalDpi="0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😎Sheet-A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bhujade</dc:creator>
  <cp:lastModifiedBy>Arvind bhujade</cp:lastModifiedBy>
  <dcterms:created xsi:type="dcterms:W3CDTF">2026-07-24T17:55:11Z</dcterms:created>
  <dcterms:modified xsi:type="dcterms:W3CDTF">2026-07-24T17:55:44Z</dcterms:modified>
</cp:coreProperties>
</file>