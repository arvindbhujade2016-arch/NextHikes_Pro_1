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d.docs.live.net/a04e64ecad6baa87/Desktop/my project/"/>
    </mc:Choice>
  </mc:AlternateContent>
  <xr:revisionPtr revIDLastSave="0" documentId="8_{FBAB7BAC-2E59-46F8-ACCC-39A7AE83F4A5}" xr6:coauthVersionLast="47" xr6:coauthVersionMax="47" xr10:uidLastSave="{00000000-0000-0000-0000-000000000000}"/>
  <bookViews>
    <workbookView xWindow="-120" yWindow="-120" windowWidth="20730" windowHeight="11040" xr2:uid="{144FAB5E-F943-4C11-BD24-F57A386D8802}"/>
  </bookViews>
  <sheets>
    <sheet name="😊dataset_3" sheetId="1" r:id="rId1"/>
  </sheets>
  <definedNames>
    <definedName name="Slicer_Column1">#N/A</definedName>
  </definedNames>
  <calcPr calcId="191029"/>
  <pivotCaches>
    <pivotCache cacheId="17"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L2" i="1"/>
  <c r="O2" i="1"/>
  <c r="I3" i="1"/>
  <c r="L3" i="1"/>
  <c r="O3" i="1"/>
  <c r="I4" i="1"/>
  <c r="L4" i="1"/>
  <c r="O4" i="1"/>
  <c r="I5" i="1"/>
  <c r="L5" i="1"/>
  <c r="O5" i="1"/>
  <c r="I6" i="1"/>
  <c r="L6" i="1"/>
  <c r="O6" i="1"/>
  <c r="I7" i="1"/>
  <c r="L7" i="1"/>
  <c r="O7" i="1"/>
  <c r="I8" i="1"/>
  <c r="L8" i="1"/>
  <c r="O8" i="1"/>
  <c r="I9" i="1"/>
  <c r="L9" i="1"/>
  <c r="O9" i="1"/>
  <c r="I10" i="1"/>
  <c r="L10" i="1"/>
  <c r="O10" i="1"/>
  <c r="I11" i="1"/>
  <c r="L11" i="1"/>
  <c r="O11" i="1"/>
  <c r="I12" i="1"/>
  <c r="L12" i="1"/>
  <c r="O12" i="1"/>
  <c r="I13" i="1"/>
  <c r="L13" i="1"/>
  <c r="O13" i="1"/>
  <c r="I14" i="1"/>
  <c r="L14" i="1"/>
  <c r="O14" i="1"/>
  <c r="I15" i="1"/>
  <c r="L15" i="1"/>
  <c r="O15" i="1"/>
  <c r="I16" i="1"/>
  <c r="L16" i="1"/>
  <c r="O16" i="1"/>
  <c r="I17" i="1"/>
  <c r="L17" i="1"/>
  <c r="O17" i="1"/>
  <c r="I18" i="1"/>
  <c r="L18" i="1"/>
  <c r="O18" i="1"/>
  <c r="I19" i="1"/>
  <c r="L19" i="1"/>
  <c r="O19" i="1"/>
  <c r="I20" i="1"/>
  <c r="L20" i="1"/>
  <c r="O20" i="1"/>
  <c r="I21" i="1"/>
  <c r="L21" i="1"/>
  <c r="O21" i="1"/>
  <c r="I22" i="1"/>
  <c r="L22" i="1"/>
  <c r="O22" i="1"/>
  <c r="I23" i="1"/>
  <c r="L23" i="1"/>
  <c r="O23" i="1"/>
  <c r="I24" i="1"/>
  <c r="L24" i="1"/>
  <c r="O24" i="1"/>
  <c r="I25" i="1"/>
  <c r="L25" i="1"/>
  <c r="O25" i="1"/>
  <c r="I26" i="1"/>
  <c r="L26" i="1"/>
  <c r="O26" i="1"/>
  <c r="I27" i="1"/>
  <c r="L27" i="1"/>
  <c r="O27" i="1"/>
  <c r="I28" i="1"/>
  <c r="L28" i="1"/>
  <c r="O28" i="1"/>
  <c r="I29" i="1"/>
  <c r="L29" i="1"/>
  <c r="O29" i="1"/>
  <c r="I30" i="1"/>
  <c r="L30" i="1"/>
  <c r="O30" i="1"/>
  <c r="I31" i="1"/>
  <c r="L31" i="1"/>
  <c r="O31" i="1"/>
  <c r="I32" i="1"/>
  <c r="L32" i="1"/>
  <c r="O32" i="1"/>
  <c r="I33" i="1"/>
  <c r="L33" i="1"/>
  <c r="O33" i="1"/>
  <c r="I34" i="1"/>
  <c r="L34" i="1"/>
  <c r="O34" i="1"/>
  <c r="I35" i="1"/>
  <c r="L35" i="1"/>
  <c r="O35" i="1"/>
  <c r="I36" i="1"/>
  <c r="L36" i="1"/>
  <c r="O36" i="1"/>
  <c r="I37" i="1"/>
  <c r="L37" i="1"/>
  <c r="O37" i="1"/>
  <c r="I38" i="1"/>
  <c r="L38" i="1"/>
  <c r="O38" i="1"/>
  <c r="I39" i="1"/>
  <c r="L39" i="1"/>
  <c r="O39" i="1"/>
  <c r="I40" i="1"/>
  <c r="L40" i="1"/>
  <c r="O40" i="1"/>
  <c r="I41" i="1"/>
  <c r="L41" i="1"/>
  <c r="O41" i="1"/>
  <c r="I42" i="1"/>
  <c r="L42" i="1"/>
  <c r="O42" i="1"/>
  <c r="I43" i="1"/>
  <c r="L43" i="1"/>
  <c r="O43" i="1"/>
  <c r="I44" i="1"/>
  <c r="L44" i="1"/>
  <c r="O44" i="1"/>
  <c r="I45" i="1"/>
  <c r="L45" i="1"/>
  <c r="O45" i="1"/>
  <c r="I46" i="1"/>
  <c r="L46" i="1"/>
  <c r="O46" i="1"/>
  <c r="I47" i="1"/>
  <c r="L47" i="1"/>
  <c r="O47" i="1"/>
  <c r="I48" i="1"/>
  <c r="L48" i="1"/>
  <c r="O48" i="1"/>
  <c r="I49" i="1"/>
  <c r="L49" i="1"/>
  <c r="O49" i="1"/>
  <c r="I50" i="1"/>
  <c r="L50" i="1"/>
  <c r="O50" i="1"/>
  <c r="I51" i="1"/>
  <c r="L51" i="1"/>
  <c r="O51" i="1"/>
  <c r="I52" i="1"/>
  <c r="L52" i="1"/>
  <c r="O52" i="1"/>
  <c r="I53" i="1"/>
  <c r="L53" i="1"/>
  <c r="O53" i="1"/>
  <c r="I54" i="1"/>
  <c r="L54" i="1"/>
  <c r="O54" i="1"/>
  <c r="I55" i="1"/>
  <c r="L55" i="1"/>
  <c r="O55" i="1"/>
  <c r="I56" i="1"/>
  <c r="L56" i="1"/>
  <c r="O56" i="1"/>
  <c r="I57" i="1"/>
  <c r="L57" i="1"/>
  <c r="O57" i="1"/>
  <c r="I58" i="1"/>
  <c r="L58" i="1"/>
  <c r="O58" i="1"/>
  <c r="I59" i="1"/>
  <c r="L59" i="1"/>
  <c r="O59" i="1"/>
  <c r="I60" i="1"/>
  <c r="L60" i="1"/>
  <c r="O60" i="1"/>
  <c r="I61" i="1"/>
  <c r="L61" i="1"/>
  <c r="O61" i="1"/>
  <c r="I62" i="1"/>
  <c r="L62" i="1"/>
  <c r="O62" i="1"/>
  <c r="I63" i="1"/>
  <c r="L63" i="1"/>
  <c r="O63" i="1"/>
  <c r="I64" i="1"/>
  <c r="L64" i="1"/>
  <c r="O64" i="1"/>
  <c r="I65" i="1"/>
  <c r="L65" i="1"/>
  <c r="O65" i="1"/>
  <c r="I66" i="1"/>
  <c r="L66" i="1"/>
  <c r="O66" i="1"/>
  <c r="I67" i="1"/>
  <c r="L67" i="1"/>
  <c r="O67" i="1"/>
  <c r="I68" i="1"/>
  <c r="L68" i="1"/>
  <c r="O68" i="1"/>
  <c r="I69" i="1"/>
  <c r="L69" i="1"/>
  <c r="O69" i="1"/>
  <c r="I70" i="1"/>
  <c r="L70" i="1"/>
  <c r="O70" i="1"/>
  <c r="I71" i="1"/>
  <c r="L71" i="1"/>
  <c r="O71" i="1"/>
  <c r="I72" i="1"/>
  <c r="L72" i="1"/>
  <c r="O72" i="1"/>
  <c r="I73" i="1"/>
  <c r="L73" i="1"/>
  <c r="O73" i="1"/>
  <c r="I74" i="1"/>
  <c r="L74" i="1"/>
  <c r="O74" i="1"/>
  <c r="I75" i="1"/>
  <c r="L75" i="1"/>
  <c r="O75" i="1"/>
  <c r="I76" i="1"/>
  <c r="L76" i="1"/>
  <c r="O76" i="1"/>
  <c r="I77" i="1"/>
  <c r="L77" i="1"/>
  <c r="O77" i="1"/>
  <c r="I78" i="1"/>
  <c r="L78" i="1"/>
  <c r="O78" i="1"/>
  <c r="I79" i="1"/>
  <c r="L79" i="1"/>
  <c r="O79" i="1"/>
  <c r="I80" i="1"/>
  <c r="L80" i="1"/>
  <c r="O80" i="1"/>
  <c r="I81" i="1"/>
  <c r="L81" i="1"/>
  <c r="O81" i="1"/>
  <c r="I82" i="1"/>
  <c r="L82" i="1"/>
  <c r="O82" i="1"/>
  <c r="I83" i="1"/>
  <c r="L83" i="1"/>
  <c r="O83" i="1"/>
  <c r="I84" i="1"/>
  <c r="L84" i="1"/>
  <c r="O84" i="1"/>
  <c r="I85" i="1"/>
  <c r="L85" i="1"/>
  <c r="O85" i="1"/>
  <c r="I86" i="1"/>
  <c r="L86" i="1"/>
  <c r="O86" i="1"/>
  <c r="I87" i="1"/>
  <c r="L87" i="1"/>
  <c r="O87" i="1"/>
  <c r="I88" i="1"/>
  <c r="L88" i="1"/>
  <c r="O88" i="1"/>
  <c r="I89" i="1"/>
  <c r="L89" i="1"/>
  <c r="O89" i="1"/>
  <c r="I90" i="1"/>
  <c r="L90" i="1"/>
  <c r="O90" i="1"/>
  <c r="I91" i="1"/>
  <c r="L91" i="1"/>
  <c r="O91" i="1"/>
  <c r="I92" i="1"/>
  <c r="L92" i="1"/>
  <c r="O92" i="1"/>
  <c r="I93" i="1"/>
  <c r="L93" i="1"/>
  <c r="O93" i="1"/>
  <c r="I94" i="1"/>
  <c r="L94" i="1"/>
  <c r="O94" i="1"/>
  <c r="I95" i="1"/>
  <c r="L95" i="1"/>
  <c r="O95" i="1"/>
  <c r="I96" i="1"/>
  <c r="L96" i="1"/>
  <c r="O96" i="1"/>
  <c r="I97" i="1"/>
  <c r="L97" i="1"/>
  <c r="O97" i="1"/>
  <c r="I98" i="1"/>
  <c r="L98" i="1"/>
  <c r="O98" i="1"/>
  <c r="I99" i="1"/>
  <c r="L99" i="1"/>
  <c r="O99" i="1"/>
  <c r="I100" i="1"/>
  <c r="L100" i="1"/>
  <c r="O100" i="1"/>
  <c r="I101" i="1"/>
  <c r="L101" i="1"/>
  <c r="O101" i="1"/>
  <c r="I102" i="1"/>
  <c r="L102" i="1"/>
  <c r="O102" i="1"/>
  <c r="I103" i="1"/>
  <c r="L103" i="1"/>
  <c r="O103" i="1"/>
  <c r="I104" i="1"/>
  <c r="L104" i="1"/>
  <c r="O104" i="1"/>
  <c r="I105" i="1"/>
  <c r="L105" i="1"/>
  <c r="O105" i="1"/>
  <c r="I106" i="1"/>
  <c r="L106" i="1"/>
  <c r="O106" i="1"/>
  <c r="I107" i="1"/>
  <c r="L107" i="1"/>
  <c r="O107" i="1"/>
  <c r="I108" i="1"/>
  <c r="L108" i="1"/>
  <c r="O108" i="1"/>
  <c r="I109" i="1"/>
  <c r="L109" i="1"/>
  <c r="O109" i="1"/>
  <c r="I110" i="1"/>
  <c r="L110" i="1"/>
  <c r="O110" i="1"/>
  <c r="I111" i="1"/>
  <c r="L111" i="1"/>
  <c r="O111" i="1"/>
  <c r="I112" i="1"/>
  <c r="L112" i="1"/>
  <c r="O112" i="1"/>
  <c r="I113" i="1"/>
  <c r="L113" i="1"/>
  <c r="O113" i="1"/>
  <c r="I114" i="1"/>
  <c r="L114" i="1"/>
  <c r="O114" i="1"/>
  <c r="I115" i="1"/>
  <c r="L115" i="1"/>
  <c r="O115" i="1"/>
  <c r="I116" i="1"/>
  <c r="L116" i="1"/>
  <c r="O116" i="1"/>
  <c r="I117" i="1"/>
  <c r="L117" i="1"/>
  <c r="O117" i="1"/>
  <c r="I118" i="1"/>
  <c r="L118" i="1"/>
  <c r="O118" i="1"/>
  <c r="I119" i="1"/>
  <c r="L119" i="1"/>
  <c r="O119" i="1"/>
  <c r="I120" i="1"/>
  <c r="L120" i="1"/>
  <c r="O120" i="1"/>
  <c r="I121" i="1"/>
  <c r="L121" i="1"/>
  <c r="O121" i="1"/>
  <c r="I122" i="1"/>
  <c r="L122" i="1"/>
  <c r="O122" i="1"/>
  <c r="I123" i="1"/>
  <c r="L123" i="1"/>
  <c r="O123" i="1"/>
  <c r="I124" i="1"/>
  <c r="L124" i="1"/>
  <c r="O124" i="1"/>
  <c r="I125" i="1"/>
  <c r="L125" i="1"/>
  <c r="O125" i="1"/>
  <c r="I126" i="1"/>
  <c r="L126" i="1"/>
  <c r="O126" i="1"/>
  <c r="I127" i="1"/>
  <c r="L127" i="1"/>
  <c r="O127" i="1"/>
  <c r="I128" i="1"/>
  <c r="L128" i="1"/>
  <c r="O128" i="1"/>
  <c r="I129" i="1"/>
  <c r="L129" i="1"/>
  <c r="O129" i="1"/>
  <c r="I130" i="1"/>
  <c r="L130" i="1"/>
  <c r="O130" i="1"/>
  <c r="I131" i="1"/>
  <c r="L131" i="1"/>
  <c r="O131" i="1"/>
  <c r="I132" i="1"/>
  <c r="L132" i="1"/>
  <c r="O132" i="1"/>
  <c r="I133" i="1"/>
  <c r="L133" i="1"/>
  <c r="O133" i="1"/>
  <c r="I134" i="1"/>
  <c r="L134" i="1"/>
  <c r="O134" i="1"/>
  <c r="I135" i="1"/>
  <c r="L135" i="1"/>
  <c r="O135" i="1"/>
  <c r="I136" i="1"/>
  <c r="L136" i="1"/>
  <c r="O136" i="1"/>
  <c r="I137" i="1"/>
  <c r="L137" i="1"/>
  <c r="O137" i="1"/>
  <c r="I138" i="1"/>
  <c r="L138" i="1"/>
  <c r="O138" i="1"/>
  <c r="I139" i="1"/>
  <c r="L139" i="1"/>
  <c r="O139" i="1"/>
  <c r="I140" i="1"/>
  <c r="L140" i="1"/>
  <c r="O140" i="1"/>
  <c r="I141" i="1"/>
  <c r="L141" i="1"/>
  <c r="O141" i="1"/>
  <c r="I142" i="1"/>
  <c r="L142" i="1"/>
  <c r="O142" i="1"/>
  <c r="I143" i="1"/>
  <c r="L143" i="1"/>
  <c r="O143" i="1"/>
  <c r="I144" i="1"/>
  <c r="L144" i="1"/>
  <c r="O144" i="1"/>
  <c r="I145" i="1"/>
  <c r="L145" i="1"/>
  <c r="O145" i="1"/>
  <c r="I146" i="1"/>
  <c r="L146" i="1"/>
  <c r="O146" i="1"/>
  <c r="I147" i="1"/>
  <c r="L147" i="1"/>
  <c r="O147" i="1"/>
  <c r="I148" i="1"/>
  <c r="L148" i="1"/>
  <c r="O148" i="1"/>
  <c r="I149" i="1"/>
  <c r="L149" i="1"/>
  <c r="O149" i="1"/>
  <c r="I150" i="1"/>
  <c r="L150" i="1"/>
  <c r="O150" i="1"/>
  <c r="I151" i="1"/>
  <c r="L151" i="1"/>
  <c r="O151" i="1"/>
  <c r="I152" i="1"/>
  <c r="L152" i="1"/>
  <c r="O152" i="1"/>
  <c r="I153" i="1"/>
  <c r="L153" i="1"/>
  <c r="O153" i="1"/>
  <c r="I154" i="1"/>
  <c r="L154" i="1"/>
  <c r="O154" i="1"/>
  <c r="I155" i="1"/>
  <c r="L155" i="1"/>
  <c r="O155" i="1"/>
  <c r="I156" i="1"/>
  <c r="L156" i="1"/>
  <c r="O156" i="1"/>
  <c r="I157" i="1"/>
  <c r="L157" i="1"/>
  <c r="O157" i="1"/>
  <c r="I158" i="1"/>
  <c r="L158" i="1"/>
  <c r="O158" i="1"/>
  <c r="I159" i="1"/>
  <c r="L159" i="1"/>
  <c r="O159" i="1"/>
  <c r="I160" i="1"/>
  <c r="L160" i="1"/>
  <c r="O160" i="1"/>
  <c r="I161" i="1"/>
  <c r="L161" i="1"/>
  <c r="O161" i="1"/>
  <c r="I162" i="1"/>
  <c r="L162" i="1"/>
  <c r="O162" i="1"/>
  <c r="I163" i="1"/>
  <c r="L163" i="1"/>
  <c r="O163" i="1"/>
  <c r="I164" i="1"/>
  <c r="L164" i="1"/>
  <c r="O164" i="1"/>
  <c r="I165" i="1"/>
  <c r="L165" i="1"/>
  <c r="O165" i="1"/>
  <c r="I166" i="1"/>
  <c r="L166" i="1"/>
  <c r="O166" i="1"/>
  <c r="I167" i="1"/>
  <c r="L167" i="1"/>
  <c r="O167" i="1"/>
  <c r="I168" i="1"/>
  <c r="L168" i="1"/>
  <c r="O168" i="1"/>
  <c r="I169" i="1"/>
  <c r="L169" i="1"/>
  <c r="O169" i="1"/>
  <c r="I170" i="1"/>
  <c r="L170" i="1"/>
  <c r="O170" i="1"/>
  <c r="I171" i="1"/>
  <c r="L171" i="1"/>
  <c r="O171" i="1"/>
  <c r="I172" i="1"/>
  <c r="L172" i="1"/>
  <c r="O172" i="1"/>
  <c r="I173" i="1"/>
  <c r="L173" i="1"/>
  <c r="O173" i="1"/>
  <c r="I174" i="1"/>
  <c r="L174" i="1"/>
  <c r="O174" i="1"/>
  <c r="I175" i="1"/>
  <c r="L175" i="1"/>
  <c r="O175" i="1"/>
  <c r="I176" i="1"/>
  <c r="L176" i="1"/>
  <c r="O176" i="1"/>
  <c r="I177" i="1"/>
  <c r="L177" i="1"/>
  <c r="O177" i="1"/>
  <c r="I178" i="1"/>
  <c r="L178" i="1"/>
  <c r="O178" i="1"/>
  <c r="I179" i="1"/>
  <c r="L179" i="1"/>
  <c r="O179" i="1"/>
  <c r="I180" i="1"/>
  <c r="L180" i="1"/>
  <c r="O180" i="1"/>
  <c r="I181" i="1"/>
  <c r="L181" i="1"/>
  <c r="O181" i="1"/>
  <c r="I182" i="1"/>
  <c r="L182" i="1"/>
  <c r="O182" i="1"/>
  <c r="I183" i="1"/>
  <c r="L183" i="1"/>
  <c r="O183" i="1"/>
  <c r="I184" i="1"/>
  <c r="L184" i="1"/>
  <c r="O184" i="1"/>
  <c r="I185" i="1"/>
  <c r="L185" i="1"/>
  <c r="O185" i="1"/>
  <c r="I186" i="1"/>
  <c r="L186" i="1"/>
  <c r="O186" i="1"/>
  <c r="I187" i="1"/>
  <c r="L187" i="1"/>
  <c r="O187" i="1"/>
  <c r="I188" i="1"/>
  <c r="L188" i="1"/>
  <c r="O188" i="1"/>
  <c r="I189" i="1"/>
  <c r="L189" i="1"/>
  <c r="O189" i="1"/>
  <c r="I190" i="1"/>
  <c r="L190" i="1"/>
  <c r="O190" i="1"/>
  <c r="I191" i="1"/>
  <c r="L191" i="1"/>
  <c r="O191" i="1"/>
  <c r="I192" i="1"/>
  <c r="L192" i="1"/>
  <c r="O192" i="1"/>
  <c r="I193" i="1"/>
  <c r="L193" i="1"/>
  <c r="O193" i="1"/>
  <c r="I194" i="1"/>
  <c r="L194" i="1"/>
  <c r="O194" i="1"/>
  <c r="I195" i="1"/>
  <c r="L195" i="1"/>
  <c r="O195" i="1"/>
  <c r="I196" i="1"/>
  <c r="L196" i="1"/>
  <c r="O196" i="1"/>
  <c r="I197" i="1"/>
  <c r="L197" i="1"/>
  <c r="O197" i="1"/>
  <c r="I198" i="1"/>
  <c r="L198" i="1"/>
  <c r="O198" i="1"/>
  <c r="I199" i="1"/>
  <c r="L199" i="1"/>
  <c r="O199" i="1"/>
  <c r="I200" i="1"/>
  <c r="L200" i="1"/>
  <c r="O200" i="1"/>
  <c r="I201" i="1"/>
  <c r="L201" i="1"/>
  <c r="O201" i="1"/>
  <c r="I202" i="1"/>
  <c r="L202" i="1"/>
  <c r="O202" i="1"/>
  <c r="I203" i="1"/>
  <c r="L203" i="1"/>
  <c r="O203" i="1"/>
  <c r="I204" i="1"/>
  <c r="L204" i="1"/>
  <c r="O204" i="1"/>
  <c r="I205" i="1"/>
  <c r="L205" i="1"/>
  <c r="O205" i="1"/>
  <c r="I206" i="1"/>
  <c r="L206" i="1"/>
  <c r="O206" i="1"/>
  <c r="I207" i="1"/>
  <c r="L207" i="1"/>
  <c r="O207" i="1"/>
  <c r="I208" i="1"/>
  <c r="L208" i="1"/>
  <c r="O208" i="1"/>
  <c r="I209" i="1"/>
  <c r="L209" i="1"/>
  <c r="O209" i="1"/>
  <c r="I210" i="1"/>
  <c r="L210" i="1"/>
  <c r="O210" i="1"/>
  <c r="I211" i="1"/>
  <c r="L211" i="1"/>
  <c r="O211" i="1"/>
  <c r="I212" i="1"/>
  <c r="L212" i="1"/>
  <c r="O212" i="1"/>
  <c r="I213" i="1"/>
  <c r="L213" i="1"/>
  <c r="O213" i="1"/>
  <c r="I214" i="1"/>
  <c r="L214" i="1"/>
  <c r="O214" i="1"/>
  <c r="I215" i="1"/>
  <c r="L215" i="1"/>
  <c r="O215" i="1"/>
  <c r="I216" i="1"/>
  <c r="L216" i="1"/>
  <c r="O216" i="1"/>
  <c r="I217" i="1"/>
  <c r="L217" i="1"/>
  <c r="O217" i="1"/>
  <c r="I218" i="1"/>
  <c r="L218" i="1"/>
  <c r="O218" i="1"/>
  <c r="I219" i="1"/>
  <c r="L219" i="1"/>
  <c r="O219" i="1"/>
  <c r="I220" i="1"/>
  <c r="L220" i="1"/>
  <c r="O220" i="1"/>
  <c r="I221" i="1"/>
  <c r="L221" i="1"/>
  <c r="O221" i="1"/>
  <c r="I222" i="1"/>
  <c r="L222" i="1"/>
  <c r="O222" i="1"/>
  <c r="I223" i="1"/>
  <c r="L223" i="1"/>
  <c r="O223" i="1"/>
  <c r="I224" i="1"/>
  <c r="L224" i="1"/>
  <c r="O224" i="1"/>
  <c r="I225" i="1"/>
  <c r="L225" i="1"/>
  <c r="O225" i="1"/>
  <c r="I226" i="1"/>
  <c r="L226" i="1"/>
  <c r="O226" i="1"/>
  <c r="I227" i="1"/>
  <c r="L227" i="1"/>
  <c r="O227" i="1"/>
  <c r="I228" i="1"/>
  <c r="L228" i="1"/>
  <c r="O228" i="1"/>
  <c r="I229" i="1"/>
  <c r="L229" i="1"/>
  <c r="O229" i="1"/>
  <c r="I230" i="1"/>
  <c r="L230" i="1"/>
  <c r="O230" i="1"/>
  <c r="I231" i="1"/>
  <c r="L231" i="1"/>
  <c r="O231" i="1"/>
  <c r="I232" i="1"/>
  <c r="L232" i="1"/>
  <c r="O232" i="1"/>
  <c r="I233" i="1"/>
  <c r="L233" i="1"/>
  <c r="O233" i="1"/>
  <c r="I234" i="1"/>
  <c r="L234" i="1"/>
  <c r="O234" i="1"/>
  <c r="I235" i="1"/>
  <c r="L235" i="1"/>
  <c r="O235" i="1"/>
  <c r="I236" i="1"/>
  <c r="L236" i="1"/>
  <c r="O236" i="1"/>
  <c r="I237" i="1"/>
  <c r="L237" i="1"/>
  <c r="O237" i="1"/>
  <c r="I238" i="1"/>
  <c r="L238" i="1"/>
  <c r="O238" i="1"/>
  <c r="I239" i="1"/>
  <c r="L239" i="1"/>
  <c r="O239" i="1"/>
  <c r="I240" i="1"/>
  <c r="L240" i="1"/>
  <c r="O240" i="1"/>
  <c r="I241" i="1"/>
  <c r="L241" i="1"/>
  <c r="O241" i="1"/>
  <c r="I242" i="1"/>
  <c r="L242" i="1"/>
  <c r="O242" i="1"/>
  <c r="I243" i="1"/>
  <c r="L243" i="1"/>
  <c r="O243" i="1"/>
  <c r="I244" i="1"/>
  <c r="L244" i="1"/>
  <c r="O244" i="1"/>
  <c r="I245" i="1"/>
  <c r="L245" i="1"/>
  <c r="O245" i="1"/>
  <c r="I246" i="1"/>
  <c r="L246" i="1"/>
  <c r="O246" i="1"/>
  <c r="I247" i="1"/>
  <c r="L247" i="1"/>
  <c r="O247" i="1"/>
  <c r="I248" i="1"/>
  <c r="L248" i="1"/>
  <c r="O248" i="1"/>
  <c r="I249" i="1"/>
  <c r="L249" i="1"/>
  <c r="O249" i="1"/>
  <c r="I250" i="1"/>
  <c r="L250" i="1"/>
  <c r="O250" i="1"/>
  <c r="I251" i="1"/>
  <c r="L251" i="1"/>
  <c r="O251" i="1"/>
  <c r="I252" i="1"/>
  <c r="L252" i="1"/>
  <c r="O252" i="1"/>
  <c r="I253" i="1"/>
  <c r="L253" i="1"/>
  <c r="O253" i="1"/>
  <c r="I254" i="1"/>
  <c r="L254" i="1"/>
  <c r="O254" i="1"/>
  <c r="I255" i="1"/>
  <c r="L255" i="1"/>
  <c r="O255" i="1"/>
  <c r="I256" i="1"/>
  <c r="L256" i="1"/>
  <c r="O256" i="1"/>
  <c r="I257" i="1"/>
  <c r="L257" i="1"/>
  <c r="O257" i="1"/>
  <c r="I258" i="1"/>
  <c r="L258" i="1"/>
  <c r="O258" i="1"/>
  <c r="I259" i="1"/>
  <c r="L259" i="1"/>
  <c r="O259" i="1"/>
  <c r="I260" i="1"/>
  <c r="L260" i="1"/>
  <c r="O260" i="1"/>
  <c r="I261" i="1"/>
  <c r="L261" i="1"/>
  <c r="O261" i="1"/>
  <c r="I262" i="1"/>
  <c r="L262" i="1"/>
  <c r="O262" i="1"/>
  <c r="I263" i="1"/>
  <c r="L263" i="1"/>
  <c r="O263" i="1"/>
  <c r="I264" i="1"/>
  <c r="L264" i="1"/>
  <c r="O264" i="1"/>
  <c r="I265" i="1"/>
  <c r="L265" i="1"/>
  <c r="O265" i="1"/>
  <c r="I266" i="1"/>
  <c r="L266" i="1"/>
  <c r="O266" i="1"/>
  <c r="I267" i="1"/>
  <c r="L267" i="1"/>
  <c r="O267" i="1"/>
  <c r="I268" i="1"/>
  <c r="L268" i="1"/>
  <c r="O268" i="1"/>
  <c r="I269" i="1"/>
  <c r="L269" i="1"/>
  <c r="O269" i="1"/>
  <c r="I270" i="1"/>
  <c r="L270" i="1"/>
  <c r="O270" i="1"/>
  <c r="I271" i="1"/>
  <c r="L271" i="1"/>
  <c r="O271" i="1"/>
  <c r="I272" i="1"/>
  <c r="L272" i="1"/>
  <c r="O272" i="1"/>
  <c r="I273" i="1"/>
  <c r="L273" i="1"/>
  <c r="O273" i="1"/>
  <c r="I274" i="1"/>
  <c r="L274" i="1"/>
  <c r="O274" i="1"/>
  <c r="I275" i="1"/>
  <c r="L275" i="1"/>
  <c r="O275" i="1"/>
  <c r="I276" i="1"/>
  <c r="L276" i="1"/>
  <c r="O276" i="1"/>
  <c r="I277" i="1"/>
  <c r="L277" i="1"/>
  <c r="O277" i="1"/>
  <c r="I278" i="1"/>
  <c r="L278" i="1"/>
  <c r="O278" i="1"/>
  <c r="I279" i="1"/>
  <c r="L279" i="1"/>
  <c r="O279" i="1"/>
  <c r="I280" i="1"/>
  <c r="L280" i="1"/>
  <c r="O280" i="1"/>
  <c r="I281" i="1"/>
  <c r="L281" i="1"/>
  <c r="O281" i="1"/>
  <c r="I282" i="1"/>
  <c r="L282" i="1"/>
  <c r="O282" i="1"/>
  <c r="I283" i="1"/>
  <c r="L283" i="1"/>
  <c r="O283" i="1"/>
  <c r="I284" i="1"/>
  <c r="L284" i="1"/>
  <c r="O284" i="1"/>
  <c r="I285" i="1"/>
  <c r="L285" i="1"/>
  <c r="O285" i="1"/>
  <c r="I286" i="1"/>
  <c r="L286" i="1"/>
  <c r="O286" i="1"/>
  <c r="I287" i="1"/>
  <c r="L287" i="1"/>
  <c r="O287" i="1"/>
  <c r="I288" i="1"/>
  <c r="L288" i="1"/>
  <c r="O288" i="1"/>
  <c r="I289" i="1"/>
  <c r="L289" i="1"/>
  <c r="O289" i="1"/>
  <c r="I290" i="1"/>
  <c r="L290" i="1"/>
  <c r="O290" i="1"/>
  <c r="I291" i="1"/>
  <c r="L291" i="1"/>
  <c r="O291" i="1"/>
  <c r="I292" i="1"/>
  <c r="L292" i="1"/>
  <c r="O292" i="1"/>
  <c r="I293" i="1"/>
  <c r="L293" i="1"/>
  <c r="O293" i="1"/>
  <c r="I294" i="1"/>
  <c r="L294" i="1"/>
  <c r="O294" i="1"/>
  <c r="I295" i="1"/>
  <c r="L295" i="1"/>
  <c r="O295" i="1"/>
  <c r="I296" i="1"/>
  <c r="L296" i="1"/>
  <c r="O296" i="1"/>
  <c r="I297" i="1"/>
  <c r="L297" i="1"/>
  <c r="O297" i="1"/>
  <c r="I298" i="1"/>
  <c r="L298" i="1"/>
  <c r="O298" i="1"/>
  <c r="I299" i="1"/>
  <c r="L299" i="1"/>
  <c r="O299" i="1"/>
  <c r="I300" i="1"/>
  <c r="L300" i="1"/>
  <c r="O300" i="1"/>
  <c r="I301" i="1"/>
  <c r="L301" i="1"/>
  <c r="O301" i="1"/>
  <c r="I302" i="1"/>
  <c r="L302" i="1"/>
  <c r="O302" i="1"/>
  <c r="I303" i="1"/>
  <c r="L303" i="1"/>
  <c r="O303" i="1"/>
  <c r="I304" i="1"/>
  <c r="L304" i="1"/>
  <c r="O304" i="1"/>
  <c r="I305" i="1"/>
  <c r="L305" i="1"/>
  <c r="O305" i="1"/>
  <c r="I306" i="1"/>
  <c r="L306" i="1"/>
  <c r="O306" i="1"/>
  <c r="I307" i="1"/>
  <c r="L307" i="1"/>
  <c r="O307" i="1"/>
  <c r="I308" i="1"/>
  <c r="L308" i="1"/>
  <c r="O308" i="1"/>
  <c r="I309" i="1"/>
  <c r="L309" i="1"/>
  <c r="O309" i="1"/>
  <c r="I310" i="1"/>
  <c r="L310" i="1"/>
  <c r="O310" i="1"/>
  <c r="I311" i="1"/>
  <c r="L311" i="1"/>
  <c r="O311" i="1"/>
  <c r="I312" i="1"/>
  <c r="L312" i="1"/>
  <c r="O312" i="1"/>
  <c r="I313" i="1"/>
  <c r="L313" i="1"/>
  <c r="O313" i="1"/>
  <c r="I314" i="1"/>
  <c r="L314" i="1"/>
  <c r="O314" i="1"/>
  <c r="I315" i="1"/>
  <c r="L315" i="1"/>
  <c r="O315" i="1"/>
  <c r="I316" i="1"/>
  <c r="L316" i="1"/>
  <c r="O316" i="1"/>
  <c r="I317" i="1"/>
  <c r="L317" i="1"/>
  <c r="O317" i="1"/>
  <c r="I318" i="1"/>
  <c r="L318" i="1"/>
  <c r="O318" i="1"/>
  <c r="I319" i="1"/>
  <c r="L319" i="1"/>
  <c r="O319" i="1"/>
  <c r="I320" i="1"/>
  <c r="L320" i="1"/>
  <c r="O320" i="1"/>
  <c r="I321" i="1"/>
  <c r="L321" i="1"/>
  <c r="O321" i="1"/>
  <c r="I322" i="1"/>
  <c r="L322" i="1"/>
  <c r="O322" i="1"/>
  <c r="I323" i="1"/>
  <c r="L323" i="1"/>
  <c r="O323" i="1"/>
  <c r="I324" i="1"/>
  <c r="L324" i="1"/>
  <c r="O324" i="1"/>
  <c r="I325" i="1"/>
  <c r="L325" i="1"/>
  <c r="O325" i="1"/>
  <c r="I326" i="1"/>
  <c r="L326" i="1"/>
  <c r="O326" i="1"/>
  <c r="I327" i="1"/>
  <c r="L327" i="1"/>
  <c r="O327" i="1"/>
  <c r="I328" i="1"/>
  <c r="L328" i="1"/>
  <c r="O328" i="1"/>
  <c r="I329" i="1"/>
  <c r="L329" i="1"/>
  <c r="O329" i="1"/>
  <c r="I330" i="1"/>
  <c r="L330" i="1"/>
  <c r="O330" i="1"/>
  <c r="I331" i="1"/>
  <c r="L331" i="1"/>
  <c r="O331" i="1"/>
  <c r="I332" i="1"/>
  <c r="L332" i="1"/>
  <c r="O332" i="1"/>
  <c r="I333" i="1"/>
  <c r="L333" i="1"/>
  <c r="O333" i="1"/>
  <c r="I334" i="1"/>
  <c r="L334" i="1"/>
  <c r="O334" i="1"/>
  <c r="I335" i="1"/>
  <c r="L335" i="1"/>
  <c r="O335" i="1"/>
  <c r="I336" i="1"/>
  <c r="L336" i="1"/>
  <c r="O336" i="1"/>
  <c r="I337" i="1"/>
  <c r="L337" i="1"/>
  <c r="O337" i="1"/>
  <c r="I338" i="1"/>
  <c r="L338" i="1"/>
  <c r="O338" i="1"/>
  <c r="I339" i="1"/>
  <c r="L339" i="1"/>
  <c r="O339" i="1"/>
  <c r="I340" i="1"/>
  <c r="L340" i="1"/>
  <c r="O340" i="1"/>
  <c r="I341" i="1"/>
  <c r="L341" i="1"/>
  <c r="O341" i="1"/>
  <c r="I342" i="1"/>
  <c r="L342" i="1"/>
  <c r="O342" i="1"/>
  <c r="I343" i="1"/>
  <c r="L343" i="1"/>
  <c r="O343" i="1"/>
  <c r="I344" i="1"/>
  <c r="L344" i="1"/>
  <c r="O344" i="1"/>
  <c r="I345" i="1"/>
  <c r="L345" i="1"/>
  <c r="O345" i="1"/>
  <c r="I346" i="1"/>
  <c r="L346" i="1"/>
  <c r="O346" i="1"/>
  <c r="I347" i="1"/>
  <c r="L347" i="1"/>
  <c r="O347" i="1"/>
  <c r="I348" i="1"/>
  <c r="L348" i="1"/>
  <c r="O348" i="1"/>
  <c r="I349" i="1"/>
  <c r="L349" i="1"/>
  <c r="O349" i="1"/>
  <c r="I350" i="1"/>
  <c r="L350" i="1"/>
  <c r="O350" i="1"/>
  <c r="I351" i="1"/>
  <c r="L351" i="1"/>
  <c r="O351" i="1"/>
  <c r="I352" i="1"/>
  <c r="L352" i="1"/>
  <c r="O352" i="1"/>
  <c r="I353" i="1"/>
  <c r="L353" i="1"/>
  <c r="O353" i="1"/>
  <c r="I354" i="1"/>
  <c r="L354" i="1"/>
  <c r="O354" i="1"/>
  <c r="I355" i="1"/>
  <c r="L355" i="1"/>
  <c r="O355" i="1"/>
  <c r="I356" i="1"/>
  <c r="L356" i="1"/>
  <c r="O356" i="1"/>
  <c r="I357" i="1"/>
  <c r="L357" i="1"/>
  <c r="O357" i="1"/>
  <c r="I358" i="1"/>
  <c r="L358" i="1"/>
  <c r="O358" i="1"/>
  <c r="I359" i="1"/>
  <c r="L359" i="1"/>
  <c r="O359" i="1"/>
  <c r="I360" i="1"/>
  <c r="L360" i="1"/>
  <c r="O360" i="1"/>
  <c r="I361" i="1"/>
  <c r="L361" i="1"/>
  <c r="O361" i="1"/>
  <c r="I362" i="1"/>
  <c r="L362" i="1"/>
  <c r="O362" i="1"/>
  <c r="I363" i="1"/>
  <c r="L363" i="1"/>
  <c r="O363" i="1"/>
  <c r="I364" i="1"/>
  <c r="L364" i="1"/>
  <c r="O364" i="1"/>
  <c r="I365" i="1"/>
  <c r="L365" i="1"/>
  <c r="O365" i="1"/>
  <c r="I366" i="1"/>
  <c r="L366" i="1"/>
  <c r="O366" i="1"/>
  <c r="I367" i="1"/>
  <c r="L367" i="1"/>
  <c r="O367" i="1"/>
  <c r="I368" i="1"/>
  <c r="L368" i="1"/>
  <c r="O368" i="1"/>
  <c r="I369" i="1"/>
  <c r="L369" i="1"/>
  <c r="O369" i="1"/>
  <c r="I370" i="1"/>
  <c r="L370" i="1"/>
  <c r="O370" i="1"/>
  <c r="I371" i="1"/>
  <c r="L371" i="1"/>
  <c r="O371" i="1"/>
  <c r="I372" i="1"/>
  <c r="L372" i="1"/>
  <c r="O372" i="1"/>
  <c r="I373" i="1"/>
  <c r="L373" i="1"/>
  <c r="O373" i="1"/>
  <c r="I374" i="1"/>
  <c r="L374" i="1"/>
  <c r="O374" i="1"/>
  <c r="I375" i="1"/>
  <c r="L375" i="1"/>
  <c r="O375" i="1"/>
  <c r="I376" i="1"/>
  <c r="L376" i="1"/>
  <c r="O376" i="1"/>
  <c r="I377" i="1"/>
  <c r="L377" i="1"/>
  <c r="O377" i="1"/>
  <c r="I378" i="1"/>
  <c r="L378" i="1"/>
  <c r="O378" i="1"/>
  <c r="I379" i="1"/>
  <c r="L379" i="1"/>
  <c r="O379" i="1"/>
  <c r="I380" i="1"/>
  <c r="L380" i="1"/>
  <c r="O380" i="1"/>
  <c r="I381" i="1"/>
  <c r="L381" i="1"/>
  <c r="O381" i="1"/>
  <c r="I382" i="1"/>
  <c r="L382" i="1"/>
  <c r="O382" i="1"/>
  <c r="I383" i="1"/>
  <c r="L383" i="1"/>
  <c r="O383" i="1"/>
  <c r="I384" i="1"/>
  <c r="L384" i="1"/>
  <c r="O384" i="1"/>
  <c r="I385" i="1"/>
  <c r="L385" i="1"/>
  <c r="O385" i="1"/>
  <c r="I386" i="1"/>
  <c r="L386" i="1"/>
  <c r="O386" i="1"/>
  <c r="I387" i="1"/>
  <c r="L387" i="1"/>
  <c r="O387" i="1"/>
  <c r="I388" i="1"/>
  <c r="L388" i="1"/>
  <c r="O388" i="1"/>
  <c r="I389" i="1"/>
  <c r="L389" i="1"/>
  <c r="O389" i="1"/>
  <c r="I390" i="1"/>
  <c r="L390" i="1"/>
  <c r="O390" i="1"/>
  <c r="I391" i="1"/>
  <c r="L391" i="1"/>
  <c r="O391" i="1"/>
</calcChain>
</file>

<file path=xl/sharedStrings.xml><?xml version="1.0" encoding="utf-8"?>
<sst xmlns="http://schemas.openxmlformats.org/spreadsheetml/2006/main" count="30" uniqueCount="30">
  <si>
    <t>Saturday</t>
  </si>
  <si>
    <t>Friday</t>
  </si>
  <si>
    <t>Thursday</t>
  </si>
  <si>
    <t>Wednesday</t>
  </si>
  <si>
    <t>Tuesday</t>
  </si>
  <si>
    <t>Monday</t>
  </si>
  <si>
    <t>Sunday</t>
  </si>
  <si>
    <t>Sum of cnt</t>
  </si>
  <si>
    <t>Sum of registered</t>
  </si>
  <si>
    <t>Sum of casual</t>
  </si>
  <si>
    <t>Row Labels</t>
  </si>
  <si>
    <t>cnt</t>
  </si>
  <si>
    <t>registered</t>
  </si>
  <si>
    <t>casual</t>
  </si>
  <si>
    <t>windspeed</t>
  </si>
  <si>
    <t>Humidity</t>
  </si>
  <si>
    <t>hum</t>
  </si>
  <si>
    <t>atemp</t>
  </si>
  <si>
    <t>Temputure</t>
  </si>
  <si>
    <t>temp</t>
  </si>
  <si>
    <t>weathersit</t>
  </si>
  <si>
    <t>Column1</t>
  </si>
  <si>
    <t>weekday</t>
  </si>
  <si>
    <t>holiday</t>
  </si>
  <si>
    <t>hr</t>
  </si>
  <si>
    <t>mnth</t>
  </si>
  <si>
    <t>yr</t>
  </si>
  <si>
    <t>season</t>
  </si>
  <si>
    <t>dteday</t>
  </si>
  <si>
    <t>instant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</si>
</sst>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Alignment="1">
      <alignment horizontal="left"/>
    </xf>
    <xf numFmtId="0" fontId="0" fillId="0" borderId="0" xfId="0" pivotButton="1"/>
    <xf numFmtId="0" fontId="1" fillId="0" borderId="0" xfId="0" applyFont="1"/>
  </cellXfs>
  <cellStyles count="1">
    <cellStyle name="Normal" xfId="0" builtinId="0"/>
  </cellStyles>
  <dxfs count="21">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[Dataset_3.xlsx]😊dataset_3!PivotTable5</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strRef>
              <c:f>'😊dataset_3'!$V$4</c:f>
              <c:strCache>
                <c:ptCount val="1"/>
                <c:pt idx="0">
                  <c:v>Sum of casual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4F-45E3-A5EA-F80ECCBFDA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4F-45E3-A5EA-F80ECCBFDA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4F-45E3-A5EA-F80ECCBFDA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4F-45E3-A5EA-F80ECCBFDAA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F4F-45E3-A5EA-F80ECCBFDAA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F4F-45E3-A5EA-F80ECCBFDAA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F4F-45E3-A5EA-F80ECCBFDAA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F4F-45E3-A5EA-F80ECCBFDA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'😊dataset_3'!$U$5:$U$11</c:f>
              <c:strCache>
                <c:ptCount val="7"/>
                <c:pt idx="0">
                  <c:v>Sunday</c:v>
                </c:pt>
                <c:pt idx="1">
                  <c:v>Monday</c:v>
                </c:pt>
                <c:pt idx="2">
                  <c:v>Tuesday</c:v>
                </c:pt>
                <c:pt idx="3">
                  <c:v>Wednesday</c:v>
                </c:pt>
                <c:pt idx="4">
                  <c:v>Thursday</c:v>
                </c:pt>
                <c:pt idx="5">
                  <c:v>Friday</c:v>
                </c:pt>
                <c:pt idx="6">
                  <c:v>Saturday</c:v>
                </c:pt>
              </c:strCache>
            </c:strRef>
          </c:cat>
          <c:val>
            <c:numRef>
              <c:f>'😊dataset_3'!$V$5:$V$11</c:f>
              <c:numCache>
                <c:formatCode>General</c:formatCode>
                <c:ptCount val="7"/>
                <c:pt idx="0">
                  <c:v>511</c:v>
                </c:pt>
                <c:pt idx="1">
                  <c:v>891</c:v>
                </c:pt>
                <c:pt idx="2">
                  <c:v>170</c:v>
                </c:pt>
                <c:pt idx="3">
                  <c:v>111</c:v>
                </c:pt>
                <c:pt idx="4">
                  <c:v>125</c:v>
                </c:pt>
                <c:pt idx="5">
                  <c:v>108</c:v>
                </c:pt>
                <c:pt idx="6">
                  <c:v>259</c:v>
                </c:pt>
              </c:numCache>
            </c:numRef>
          </c:val>
          <c:extLst>
            <c:ext xmlns:c16="http://schemas.microsoft.com/office/drawing/2014/chart" uri="{C3380CC4-5D6E-409C-BE32-E72D297353CC}">
              <c16:uniqueId val="{00000010-6F4F-45E3-A5EA-F80ECCBFDAAE}"/>
            </c:ext>
          </c:extLst>
        </c:ser>
        <c:ser>
          <c:idx val="1"/>
          <c:order val="1"/>
          <c:tx>
            <c:strRef>
              <c:f>'😊dataset_3'!$W$4</c:f>
              <c:strCache>
                <c:ptCount val="1"/>
                <c:pt idx="0">
                  <c:v>Sum of registered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6F4F-45E3-A5EA-F80ECCBFDA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6F4F-45E3-A5EA-F80ECCBFDA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6F4F-45E3-A5EA-F80ECCBFDA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6F4F-45E3-A5EA-F80ECCBFDAA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6F4F-45E3-A5EA-F80ECCBFDAA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6F4F-45E3-A5EA-F80ECCBFDAA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6F4F-45E3-A5EA-F80ECCBFDAA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6F4F-45E3-A5EA-F80ECCBFDA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'😊dataset_3'!$U$5:$U$11</c:f>
              <c:strCache>
                <c:ptCount val="7"/>
                <c:pt idx="0">
                  <c:v>Sunday</c:v>
                </c:pt>
                <c:pt idx="1">
                  <c:v>Monday</c:v>
                </c:pt>
                <c:pt idx="2">
                  <c:v>Tuesday</c:v>
                </c:pt>
                <c:pt idx="3">
                  <c:v>Wednesday</c:v>
                </c:pt>
                <c:pt idx="4">
                  <c:v>Thursday</c:v>
                </c:pt>
                <c:pt idx="5">
                  <c:v>Friday</c:v>
                </c:pt>
                <c:pt idx="6">
                  <c:v>Saturday</c:v>
                </c:pt>
              </c:strCache>
            </c:strRef>
          </c:cat>
          <c:val>
            <c:numRef>
              <c:f>'😊dataset_3'!$W$5:$W$11</c:f>
              <c:numCache>
                <c:formatCode>General</c:formatCode>
                <c:ptCount val="7"/>
                <c:pt idx="0">
                  <c:v>3064</c:v>
                </c:pt>
                <c:pt idx="1">
                  <c:v>3417</c:v>
                </c:pt>
                <c:pt idx="2">
                  <c:v>3194</c:v>
                </c:pt>
                <c:pt idx="3">
                  <c:v>2779</c:v>
                </c:pt>
                <c:pt idx="4">
                  <c:v>3006</c:v>
                </c:pt>
                <c:pt idx="5">
                  <c:v>2980</c:v>
                </c:pt>
                <c:pt idx="6">
                  <c:v>3791</c:v>
                </c:pt>
              </c:numCache>
            </c:numRef>
          </c:val>
          <c:extLst>
            <c:ext xmlns:c16="http://schemas.microsoft.com/office/drawing/2014/chart" uri="{C3380CC4-5D6E-409C-BE32-E72D297353CC}">
              <c16:uniqueId val="{00000021-6F4F-45E3-A5EA-F80ECCBFDAAE}"/>
            </c:ext>
          </c:extLst>
        </c:ser>
        <c:ser>
          <c:idx val="2"/>
          <c:order val="2"/>
          <c:tx>
            <c:strRef>
              <c:f>'😊dataset_3'!$X$4</c:f>
              <c:strCache>
                <c:ptCount val="1"/>
                <c:pt idx="0">
                  <c:v>Sum of cnt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F4F-45E3-A5EA-F80ECCBFDA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F4F-45E3-A5EA-F80ECCBFDA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F4F-45E3-A5EA-F80ECCBFDA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F4F-45E3-A5EA-F80ECCBFDAA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F4F-45E3-A5EA-F80ECCBFDAA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F4F-45E3-A5EA-F80ECCBFDAA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F4F-45E3-A5EA-F80ECCBFDAA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F4F-45E3-A5EA-F80ECCBFDA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'😊dataset_3'!$U$5:$U$11</c:f>
              <c:strCache>
                <c:ptCount val="7"/>
                <c:pt idx="0">
                  <c:v>Sunday</c:v>
                </c:pt>
                <c:pt idx="1">
                  <c:v>Monday</c:v>
                </c:pt>
                <c:pt idx="2">
                  <c:v>Tuesday</c:v>
                </c:pt>
                <c:pt idx="3">
                  <c:v>Wednesday</c:v>
                </c:pt>
                <c:pt idx="4">
                  <c:v>Thursday</c:v>
                </c:pt>
                <c:pt idx="5">
                  <c:v>Friday</c:v>
                </c:pt>
                <c:pt idx="6">
                  <c:v>Saturday</c:v>
                </c:pt>
              </c:strCache>
            </c:strRef>
          </c:cat>
          <c:val>
            <c:numRef>
              <c:f>'😊dataset_3'!$X$5:$X$11</c:f>
              <c:numCache>
                <c:formatCode>General</c:formatCode>
                <c:ptCount val="7"/>
                <c:pt idx="0">
                  <c:v>3575</c:v>
                </c:pt>
                <c:pt idx="1">
                  <c:v>4308</c:v>
                </c:pt>
                <c:pt idx="2">
                  <c:v>3364</c:v>
                </c:pt>
                <c:pt idx="3">
                  <c:v>2890</c:v>
                </c:pt>
                <c:pt idx="4">
                  <c:v>3131</c:v>
                </c:pt>
                <c:pt idx="5">
                  <c:v>3088</c:v>
                </c:pt>
                <c:pt idx="6">
                  <c:v>4050</c:v>
                </c:pt>
              </c:numCache>
            </c:numRef>
          </c:val>
          <c:extLst>
            <c:ext xmlns:c16="http://schemas.microsoft.com/office/drawing/2014/chart" uri="{C3380CC4-5D6E-409C-BE32-E72D297353CC}">
              <c16:uniqueId val="{00000032-6F4F-45E3-A5EA-F80ECCBFDAAE}"/>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438150</xdr:colOff>
      <xdr:row>11</xdr:row>
      <xdr:rowOff>80962</xdr:rowOff>
    </xdr:from>
    <xdr:to>
      <xdr:col>25</xdr:col>
      <xdr:colOff>228600</xdr:colOff>
      <xdr:row>25</xdr:row>
      <xdr:rowOff>23812</xdr:rowOff>
    </xdr:to>
    <xdr:graphicFrame macro="">
      <xdr:nvGraphicFramePr>
        <xdr:cNvPr id="2" name="Chart 1">
          <a:extLst>
            <a:ext uri="{FF2B5EF4-FFF2-40B4-BE49-F238E27FC236}">
              <a16:creationId xmlns:a16="http://schemas.microsoft.com/office/drawing/2014/main" id="{9657C964-1DC4-47BA-BA24-1E8CBC0F7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25</xdr:col>
      <xdr:colOff>400050</xdr:colOff>
      <xdr:row>3</xdr:row>
      <xdr:rowOff>76200</xdr:rowOff>
    </xdr:from>
    <xdr:ext cx="1828800" cy="2524125"/>
    <mc:AlternateContent xmlns:mc="http://schemas.openxmlformats.org/markup-compatibility/2006">
      <mc:Choice xmlns:a14="http://schemas.microsoft.com/office/drawing/2010/main" Requires="a14">
        <xdr:graphicFrame macro="">
          <xdr:nvGraphicFramePr>
            <xdr:cNvPr id="3" name="Column1">
              <a:extLst>
                <a:ext uri="{FF2B5EF4-FFF2-40B4-BE49-F238E27FC236}">
                  <a16:creationId xmlns:a16="http://schemas.microsoft.com/office/drawing/2014/main" id="{58616DA3-72B0-4C1B-BB24-DD48733C6A00}"/>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18354675" y="647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nal%20Projects/NextHike%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bhujade" refreshedDate="46227.95741516204" createdVersion="7" refreshedVersion="7" minRefreshableVersion="3" recordCount="390" xr:uid="{C8234086-AFEC-4BA5-8DE2-1F6E700A9032}">
  <cacheSource type="worksheet">
    <worksheetSource name="Table5" r:id="rId2"/>
  </cacheSource>
  <cacheFields count="19">
    <cacheField name="instant" numFmtId="0">
      <sharedItems containsSemiMixedTypes="0" containsString="0" containsNumber="1" containsInteger="1" minValue="611" maxValue="1000"/>
    </cacheField>
    <cacheField name="dteday" numFmtId="164">
      <sharedItems containsSemiMixedTypes="0" containsNonDate="0" containsDate="1" containsString="0" minDate="2011-01-28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Column1" numFmtId="0">
      <sharedItems count="7">
        <s v="Sunday"/>
        <s v="Saturday"/>
        <s v="Friday"/>
        <s v="Thursday"/>
        <s v="Wednesday"/>
        <s v="Tuesday"/>
        <s v="Monday"/>
      </sharedItems>
    </cacheField>
    <cacheField name="weathersit" numFmtId="0">
      <sharedItems containsSemiMixedTypes="0" containsString="0" containsNumber="1" containsInteger="1" minValue="1" maxValue="3"/>
    </cacheField>
    <cacheField name="temp" numFmtId="0">
      <sharedItems containsSemiMixedTypes="0" containsString="0" containsNumber="1" minValue="0.06" maxValue="0.42"/>
    </cacheField>
    <cacheField name="Temputure" numFmtId="0">
      <sharedItems/>
    </cacheField>
    <cacheField name="atemp" numFmtId="0">
      <sharedItems containsSemiMixedTypes="0" containsString="0" containsNumber="1" minValue="7.5800000000000006E-2" maxValue="0.42420000000000002"/>
    </cacheField>
    <cacheField name="hum" numFmtId="0">
      <sharedItems containsSemiMixedTypes="0" containsString="0" containsNumber="1" minValue="0.21" maxValue="1"/>
    </cacheField>
    <cacheField name="Humidity" numFmtId="0">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36">
        <n v="2"/>
        <n v="0"/>
        <n v="3"/>
        <n v="1"/>
        <n v="4"/>
        <n v="12"/>
        <n v="9"/>
        <n v="10"/>
        <n v="22"/>
        <n v="19"/>
        <n v="6"/>
        <n v="5"/>
        <n v="11"/>
        <n v="8"/>
        <n v="14"/>
        <n v="7"/>
        <n v="13"/>
        <n v="30"/>
        <n v="27"/>
        <n v="32"/>
        <n v="47"/>
        <n v="42"/>
        <n v="24"/>
        <n v="15"/>
        <n v="21"/>
        <n v="17"/>
        <n v="18"/>
        <n v="16"/>
        <n v="28"/>
        <n v="48"/>
        <n v="52"/>
        <n v="26"/>
        <n v="58"/>
        <n v="62"/>
        <n v="51"/>
        <n v="40"/>
      </sharedItems>
    </cacheField>
    <cacheField name="registered" numFmtId="0">
      <sharedItems containsSemiMixedTypes="0" containsString="0" containsNumber="1" containsInteger="1" minValue="0" maxValue="236"/>
    </cacheField>
    <cacheField name="cnt" numFmtId="0">
      <sharedItems containsSemiMixedTypes="0" containsString="0" containsNumber="1" containsInteger="1" minValue="1" maxValue="243"/>
    </cacheField>
  </cacheFields>
  <extLst>
    <ext xmlns:x14="http://schemas.microsoft.com/office/spreadsheetml/2009/9/main" uri="{725AE2AE-9491-48be-B2B4-4EB974FC3084}">
      <x14:pivotCacheDefinition pivotCacheId="1518945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19"/>
    <d v="2011-01-29T00:00:00"/>
    <n v="1"/>
    <n v="0"/>
    <n v="1"/>
    <n v="0"/>
    <b v="0"/>
    <n v="6"/>
    <x v="0"/>
    <n v="1"/>
    <n v="0.22"/>
    <s v="Cold"/>
    <n v="0.19700000000000001"/>
    <n v="0.64"/>
    <s v="High Humid"/>
    <n v="0.35820000000000002"/>
    <x v="0"/>
    <n v="26"/>
    <n v="28"/>
  </r>
  <r>
    <n v="620"/>
    <d v="2011-01-29T00:00:00"/>
    <n v="1"/>
    <n v="0"/>
    <n v="1"/>
    <n v="1"/>
    <b v="0"/>
    <n v="6"/>
    <x v="0"/>
    <n v="1"/>
    <n v="0.22"/>
    <s v="Cold"/>
    <n v="0.2273"/>
    <n v="0.64"/>
    <s v="High Humid"/>
    <n v="0.19400000000000001"/>
    <x v="1"/>
    <n v="20"/>
    <n v="20"/>
  </r>
  <r>
    <n v="621"/>
    <d v="2011-01-29T00:00:00"/>
    <n v="1"/>
    <n v="0"/>
    <n v="1"/>
    <n v="2"/>
    <b v="0"/>
    <n v="6"/>
    <x v="0"/>
    <n v="1"/>
    <n v="0.22"/>
    <s v="Cold"/>
    <n v="0.2273"/>
    <n v="0.64"/>
    <s v="High Humid"/>
    <n v="0.16420000000000001"/>
    <x v="1"/>
    <n v="15"/>
    <n v="15"/>
  </r>
  <r>
    <n v="622"/>
    <d v="2011-01-29T00:00:00"/>
    <n v="1"/>
    <n v="0"/>
    <n v="1"/>
    <n v="3"/>
    <b v="0"/>
    <n v="6"/>
    <x v="0"/>
    <n v="1"/>
    <n v="0.2"/>
    <s v="Cold"/>
    <n v="0.21210000000000001"/>
    <n v="0.64"/>
    <s v="High Humid"/>
    <n v="0.1343"/>
    <x v="2"/>
    <n v="5"/>
    <n v="8"/>
  </r>
  <r>
    <n v="623"/>
    <d v="2011-01-29T00:00:00"/>
    <n v="1"/>
    <n v="0"/>
    <n v="1"/>
    <n v="4"/>
    <b v="0"/>
    <n v="6"/>
    <x v="0"/>
    <n v="1"/>
    <n v="0.16"/>
    <s v="Cold"/>
    <n v="0.18179999999999999"/>
    <n v="0.69"/>
    <s v="High Humid"/>
    <n v="0.1045"/>
    <x v="3"/>
    <n v="2"/>
    <n v="3"/>
  </r>
  <r>
    <n v="624"/>
    <d v="2011-01-29T00:00:00"/>
    <n v="1"/>
    <n v="0"/>
    <n v="1"/>
    <n v="6"/>
    <b v="0"/>
    <n v="6"/>
    <x v="0"/>
    <n v="1"/>
    <n v="0.16"/>
    <s v="Cold"/>
    <n v="0.18179999999999999"/>
    <n v="0.64"/>
    <s v="High Humid"/>
    <n v="0.1343"/>
    <x v="1"/>
    <n v="2"/>
    <n v="2"/>
  </r>
  <r>
    <n v="625"/>
    <d v="2011-01-29T00:00:00"/>
    <n v="1"/>
    <n v="0"/>
    <n v="1"/>
    <n v="7"/>
    <b v="0"/>
    <n v="6"/>
    <x v="0"/>
    <n v="1"/>
    <n v="0.16"/>
    <s v="Cold"/>
    <n v="0.18179999999999999"/>
    <n v="0.59"/>
    <s v="High Humid"/>
    <n v="0.1045"/>
    <x v="3"/>
    <n v="4"/>
    <n v="5"/>
  </r>
  <r>
    <n v="626"/>
    <d v="2011-01-29T00:00:00"/>
    <n v="1"/>
    <n v="0"/>
    <n v="1"/>
    <n v="8"/>
    <b v="0"/>
    <n v="6"/>
    <x v="0"/>
    <n v="1"/>
    <n v="0.18"/>
    <s v="Cold"/>
    <n v="0.19700000000000001"/>
    <n v="0.55000000000000004"/>
    <s v="High Humid"/>
    <n v="0.16420000000000001"/>
    <x v="2"/>
    <n v="31"/>
    <n v="34"/>
  </r>
  <r>
    <n v="627"/>
    <d v="2011-01-29T00:00:00"/>
    <n v="1"/>
    <n v="0"/>
    <n v="1"/>
    <n v="9"/>
    <b v="0"/>
    <n v="6"/>
    <x v="0"/>
    <n v="1"/>
    <n v="0.18"/>
    <s v="Cold"/>
    <n v="0.21210000000000001"/>
    <n v="0.59"/>
    <s v="High Humid"/>
    <n v="8.9599999999999999E-2"/>
    <x v="1"/>
    <n v="34"/>
    <n v="34"/>
  </r>
  <r>
    <n v="628"/>
    <d v="2011-01-29T00:00:00"/>
    <n v="1"/>
    <n v="0"/>
    <n v="1"/>
    <n v="10"/>
    <b v="0"/>
    <n v="6"/>
    <x v="0"/>
    <n v="2"/>
    <n v="0.18"/>
    <s v="Cold"/>
    <n v="0.21210000000000001"/>
    <n v="0.64"/>
    <s v="High Humid"/>
    <n v="0.1045"/>
    <x v="4"/>
    <n v="51"/>
    <n v="55"/>
  </r>
  <r>
    <n v="629"/>
    <d v="2011-01-29T00:00:00"/>
    <n v="1"/>
    <n v="0"/>
    <n v="1"/>
    <n v="11"/>
    <b v="0"/>
    <n v="6"/>
    <x v="0"/>
    <n v="2"/>
    <n v="0.18"/>
    <s v="Cold"/>
    <n v="0.19700000000000001"/>
    <n v="0.64"/>
    <s v="High Humid"/>
    <n v="0.1343"/>
    <x v="4"/>
    <n v="60"/>
    <n v="64"/>
  </r>
  <r>
    <n v="630"/>
    <d v="2011-01-29T00:00:00"/>
    <n v="1"/>
    <n v="0"/>
    <n v="1"/>
    <n v="12"/>
    <b v="0"/>
    <n v="6"/>
    <x v="0"/>
    <n v="2"/>
    <n v="0.2"/>
    <s v="Cold"/>
    <n v="0.19700000000000001"/>
    <n v="0.59"/>
    <s v="High Humid"/>
    <n v="0.19400000000000001"/>
    <x v="5"/>
    <n v="66"/>
    <n v="78"/>
  </r>
  <r>
    <n v="631"/>
    <d v="2011-01-29T00:00:00"/>
    <n v="1"/>
    <n v="0"/>
    <n v="1"/>
    <n v="13"/>
    <b v="0"/>
    <n v="6"/>
    <x v="0"/>
    <n v="2"/>
    <n v="0.22"/>
    <s v="Cold"/>
    <n v="0.2273"/>
    <n v="0.55000000000000004"/>
    <s v="High Humid"/>
    <n v="0.16420000000000001"/>
    <x v="6"/>
    <n v="56"/>
    <n v="65"/>
  </r>
  <r>
    <n v="632"/>
    <d v="2011-01-29T00:00:00"/>
    <n v="1"/>
    <n v="0"/>
    <n v="1"/>
    <n v="14"/>
    <b v="0"/>
    <n v="6"/>
    <x v="0"/>
    <n v="2"/>
    <n v="0.22"/>
    <s v="Cold"/>
    <n v="0.2273"/>
    <n v="0.6"/>
    <s v="High Humid"/>
    <n v="0.1343"/>
    <x v="7"/>
    <n v="89"/>
    <n v="99"/>
  </r>
  <r>
    <n v="633"/>
    <d v="2011-01-29T00:00:00"/>
    <n v="1"/>
    <n v="0"/>
    <n v="1"/>
    <n v="15"/>
    <b v="0"/>
    <n v="6"/>
    <x v="0"/>
    <n v="1"/>
    <n v="0.22"/>
    <s v="Cold"/>
    <n v="0.21210000000000001"/>
    <n v="0.69"/>
    <s v="High Humid"/>
    <n v="0.25369999999999998"/>
    <x v="8"/>
    <n v="98"/>
    <n v="120"/>
  </r>
  <r>
    <n v="634"/>
    <d v="2011-01-29T00:00:00"/>
    <n v="1"/>
    <n v="0"/>
    <n v="1"/>
    <n v="16"/>
    <b v="0"/>
    <n v="6"/>
    <x v="0"/>
    <n v="1"/>
    <n v="0.24"/>
    <s v="Cold"/>
    <n v="0.2424"/>
    <n v="0.6"/>
    <s v="High Humid"/>
    <n v="0.16420000000000001"/>
    <x v="9"/>
    <n v="88"/>
    <n v="107"/>
  </r>
  <r>
    <n v="635"/>
    <d v="2011-01-29T00:00:00"/>
    <n v="1"/>
    <n v="0"/>
    <n v="1"/>
    <n v="17"/>
    <b v="0"/>
    <n v="6"/>
    <x v="0"/>
    <n v="1"/>
    <n v="0.24"/>
    <s v="Cold"/>
    <n v="0.28789999999999999"/>
    <n v="0.6"/>
    <s v="High Humid"/>
    <n v="0"/>
    <x v="6"/>
    <n v="82"/>
    <n v="91"/>
  </r>
  <r>
    <n v="636"/>
    <d v="2011-01-29T00:00:00"/>
    <n v="1"/>
    <n v="0"/>
    <n v="1"/>
    <n v="18"/>
    <b v="0"/>
    <n v="6"/>
    <x v="0"/>
    <n v="1"/>
    <n v="0.22"/>
    <s v="Cold"/>
    <n v="0.2273"/>
    <n v="0.69"/>
    <s v="High Humid"/>
    <n v="0.1343"/>
    <x v="6"/>
    <n v="59"/>
    <n v="68"/>
  </r>
  <r>
    <n v="637"/>
    <d v="2011-01-29T00:00:00"/>
    <n v="1"/>
    <n v="0"/>
    <n v="1"/>
    <n v="19"/>
    <b v="0"/>
    <n v="6"/>
    <x v="0"/>
    <n v="2"/>
    <n v="0.22"/>
    <s v="Cold"/>
    <n v="0.21210000000000001"/>
    <n v="0.69"/>
    <s v="High Humid"/>
    <n v="0.25369999999999998"/>
    <x v="10"/>
    <n v="52"/>
    <n v="58"/>
  </r>
  <r>
    <n v="638"/>
    <d v="2011-01-29T00:00:00"/>
    <n v="1"/>
    <n v="0"/>
    <n v="1"/>
    <n v="20"/>
    <b v="0"/>
    <n v="6"/>
    <x v="0"/>
    <n v="1"/>
    <n v="0.18"/>
    <s v="Cold"/>
    <n v="0.21210000000000001"/>
    <n v="0.74"/>
    <s v="High Humid"/>
    <n v="8.9599999999999999E-2"/>
    <x v="3"/>
    <n v="42"/>
    <n v="43"/>
  </r>
  <r>
    <n v="639"/>
    <d v="2011-01-29T00:00:00"/>
    <n v="1"/>
    <n v="0"/>
    <n v="1"/>
    <n v="21"/>
    <b v="0"/>
    <n v="6"/>
    <x v="0"/>
    <n v="1"/>
    <n v="0.18"/>
    <s v="Cold"/>
    <n v="0.21210000000000001"/>
    <n v="0.74"/>
    <s v="High Humid"/>
    <n v="8.9599999999999999E-2"/>
    <x v="3"/>
    <n v="35"/>
    <n v="36"/>
  </r>
  <r>
    <n v="640"/>
    <d v="2011-01-29T00:00:00"/>
    <n v="1"/>
    <n v="0"/>
    <n v="1"/>
    <n v="22"/>
    <b v="0"/>
    <n v="6"/>
    <x v="0"/>
    <n v="1"/>
    <n v="0.16"/>
    <s v="Cold"/>
    <n v="0.19700000000000001"/>
    <n v="0.8"/>
    <s v="High Humid"/>
    <n v="8.9599999999999999E-2"/>
    <x v="4"/>
    <n v="28"/>
    <n v="32"/>
  </r>
  <r>
    <n v="641"/>
    <d v="2011-01-29T00:00:00"/>
    <n v="1"/>
    <n v="0"/>
    <n v="1"/>
    <n v="23"/>
    <b v="0"/>
    <n v="6"/>
    <x v="0"/>
    <n v="1"/>
    <n v="0.16"/>
    <s v="Cold"/>
    <n v="0.19700000000000001"/>
    <n v="0.8"/>
    <s v="High Humid"/>
    <n v="8.9599999999999999E-2"/>
    <x v="2"/>
    <n v="30"/>
    <n v="33"/>
  </r>
  <r>
    <n v="782"/>
    <d v="2011-02-05T00:00:00"/>
    <n v="1"/>
    <n v="0"/>
    <n v="2"/>
    <n v="0"/>
    <b v="0"/>
    <n v="6"/>
    <x v="0"/>
    <n v="2"/>
    <n v="0.24"/>
    <s v="Cold"/>
    <n v="0.2424"/>
    <n v="0.7"/>
    <s v="High Humid"/>
    <n v="0.16420000000000001"/>
    <x v="2"/>
    <n v="36"/>
    <n v="39"/>
  </r>
  <r>
    <n v="783"/>
    <d v="2011-02-05T00:00:00"/>
    <n v="1"/>
    <n v="0"/>
    <n v="2"/>
    <n v="1"/>
    <b v="0"/>
    <n v="6"/>
    <x v="0"/>
    <n v="2"/>
    <n v="0.24"/>
    <s v="Cold"/>
    <n v="0.2424"/>
    <n v="0.65"/>
    <s v="High Humid"/>
    <n v="0.16420000000000001"/>
    <x v="3"/>
    <n v="17"/>
    <n v="18"/>
  </r>
  <r>
    <n v="784"/>
    <d v="2011-02-05T00:00:00"/>
    <n v="1"/>
    <n v="0"/>
    <n v="2"/>
    <n v="2"/>
    <b v="0"/>
    <n v="6"/>
    <x v="0"/>
    <n v="2"/>
    <n v="0.24"/>
    <s v="Cold"/>
    <n v="0.2424"/>
    <n v="0.75"/>
    <s v="High Humid"/>
    <n v="0.16420000000000001"/>
    <x v="11"/>
    <n v="12"/>
    <n v="17"/>
  </r>
  <r>
    <n v="785"/>
    <d v="2011-02-05T00:00:00"/>
    <n v="1"/>
    <n v="0"/>
    <n v="2"/>
    <n v="3"/>
    <b v="0"/>
    <n v="6"/>
    <x v="0"/>
    <n v="2"/>
    <n v="0.24"/>
    <s v="Cold"/>
    <n v="0.2424"/>
    <n v="0.75"/>
    <s v="High Humid"/>
    <n v="0.16420000000000001"/>
    <x v="3"/>
    <n v="10"/>
    <n v="11"/>
  </r>
  <r>
    <n v="786"/>
    <d v="2011-02-05T00:00:00"/>
    <n v="1"/>
    <n v="0"/>
    <n v="2"/>
    <n v="4"/>
    <b v="0"/>
    <n v="6"/>
    <x v="0"/>
    <n v="3"/>
    <n v="0.22"/>
    <s v="Cold"/>
    <n v="0.2273"/>
    <n v="0.93"/>
    <s v="High Humid"/>
    <n v="0.1343"/>
    <x v="1"/>
    <n v="8"/>
    <n v="8"/>
  </r>
  <r>
    <n v="787"/>
    <d v="2011-02-05T00:00:00"/>
    <n v="1"/>
    <n v="0"/>
    <n v="2"/>
    <n v="5"/>
    <b v="0"/>
    <n v="6"/>
    <x v="0"/>
    <n v="3"/>
    <n v="0.2"/>
    <s v="Cold"/>
    <n v="0.2273"/>
    <n v="1"/>
    <s v="High Humid"/>
    <n v="8.9599999999999999E-2"/>
    <x v="1"/>
    <n v="9"/>
    <n v="9"/>
  </r>
  <r>
    <n v="788"/>
    <d v="2011-02-05T00:00:00"/>
    <n v="1"/>
    <n v="0"/>
    <n v="2"/>
    <n v="6"/>
    <b v="0"/>
    <n v="6"/>
    <x v="0"/>
    <n v="3"/>
    <n v="0.2"/>
    <s v="Cold"/>
    <n v="0.2576"/>
    <n v="1"/>
    <s v="High Humid"/>
    <n v="0"/>
    <x v="1"/>
    <n v="4"/>
    <n v="4"/>
  </r>
  <r>
    <n v="789"/>
    <d v="2011-02-05T00:00:00"/>
    <n v="1"/>
    <n v="0"/>
    <n v="2"/>
    <n v="7"/>
    <b v="0"/>
    <n v="6"/>
    <x v="0"/>
    <n v="3"/>
    <n v="0.22"/>
    <s v="Cold"/>
    <n v="0.2576"/>
    <n v="0.93"/>
    <s v="High Humid"/>
    <n v="8.9599999999999999E-2"/>
    <x v="1"/>
    <n v="4"/>
    <n v="4"/>
  </r>
  <r>
    <n v="790"/>
    <d v="2011-02-05T00:00:00"/>
    <n v="1"/>
    <n v="0"/>
    <n v="2"/>
    <n v="8"/>
    <b v="0"/>
    <n v="6"/>
    <x v="0"/>
    <n v="3"/>
    <n v="0.2"/>
    <s v="Cold"/>
    <n v="0.2273"/>
    <n v="1"/>
    <s v="High Humid"/>
    <n v="8.9599999999999999E-2"/>
    <x v="1"/>
    <n v="10"/>
    <n v="10"/>
  </r>
  <r>
    <n v="791"/>
    <d v="2011-02-05T00:00:00"/>
    <n v="1"/>
    <n v="0"/>
    <n v="2"/>
    <n v="9"/>
    <b v="0"/>
    <n v="6"/>
    <x v="0"/>
    <n v="3"/>
    <n v="0.2"/>
    <s v="Cold"/>
    <n v="0.2273"/>
    <n v="1"/>
    <s v="High Humid"/>
    <n v="8.9599999999999999E-2"/>
    <x v="2"/>
    <n v="17"/>
    <n v="20"/>
  </r>
  <r>
    <n v="792"/>
    <d v="2011-02-05T00:00:00"/>
    <n v="1"/>
    <n v="0"/>
    <n v="2"/>
    <n v="10"/>
    <b v="0"/>
    <n v="6"/>
    <x v="0"/>
    <n v="3"/>
    <n v="0.2"/>
    <s v="Cold"/>
    <n v="0.21210000000000001"/>
    <n v="1"/>
    <s v="High Humid"/>
    <n v="0.1343"/>
    <x v="2"/>
    <n v="31"/>
    <n v="34"/>
  </r>
  <r>
    <n v="793"/>
    <d v="2011-02-05T00:00:00"/>
    <n v="1"/>
    <n v="0"/>
    <n v="2"/>
    <n v="11"/>
    <b v="0"/>
    <n v="6"/>
    <x v="0"/>
    <n v="3"/>
    <n v="0.22"/>
    <s v="Cold"/>
    <n v="0.2273"/>
    <n v="1"/>
    <s v="High Humid"/>
    <n v="0.1343"/>
    <x v="3"/>
    <n v="46"/>
    <n v="47"/>
  </r>
  <r>
    <n v="794"/>
    <d v="2011-02-05T00:00:00"/>
    <n v="1"/>
    <n v="0"/>
    <n v="2"/>
    <n v="12"/>
    <b v="0"/>
    <n v="6"/>
    <x v="0"/>
    <n v="3"/>
    <n v="0.22"/>
    <s v="Cold"/>
    <n v="0.2273"/>
    <n v="1"/>
    <s v="High Humid"/>
    <n v="0.16420000000000001"/>
    <x v="7"/>
    <n v="42"/>
    <n v="52"/>
  </r>
  <r>
    <n v="795"/>
    <d v="2011-02-05T00:00:00"/>
    <n v="1"/>
    <n v="0"/>
    <n v="2"/>
    <n v="13"/>
    <b v="0"/>
    <n v="6"/>
    <x v="0"/>
    <n v="3"/>
    <n v="0.22"/>
    <s v="Cold"/>
    <n v="0.2273"/>
    <n v="1"/>
    <s v="High Humid"/>
    <n v="0.16420000000000001"/>
    <x v="7"/>
    <n v="62"/>
    <n v="72"/>
  </r>
  <r>
    <n v="796"/>
    <d v="2011-02-05T00:00:00"/>
    <n v="1"/>
    <n v="0"/>
    <n v="2"/>
    <n v="14"/>
    <b v="0"/>
    <n v="6"/>
    <x v="0"/>
    <n v="3"/>
    <n v="0.22"/>
    <s v="Cold"/>
    <n v="0.2727"/>
    <n v="1"/>
    <s v="High Humid"/>
    <n v="0"/>
    <x v="11"/>
    <n v="50"/>
    <n v="55"/>
  </r>
  <r>
    <n v="797"/>
    <d v="2011-02-05T00:00:00"/>
    <n v="1"/>
    <n v="0"/>
    <n v="2"/>
    <n v="15"/>
    <b v="0"/>
    <n v="6"/>
    <x v="0"/>
    <n v="3"/>
    <n v="0.22"/>
    <s v="Cold"/>
    <n v="0.2727"/>
    <n v="1"/>
    <s v="High Humid"/>
    <n v="0"/>
    <x v="12"/>
    <n v="49"/>
    <n v="60"/>
  </r>
  <r>
    <n v="798"/>
    <d v="2011-02-05T00:00:00"/>
    <n v="1"/>
    <n v="0"/>
    <n v="2"/>
    <n v="16"/>
    <b v="0"/>
    <n v="6"/>
    <x v="0"/>
    <n v="3"/>
    <n v="0.22"/>
    <s v="Cold"/>
    <n v="0.2273"/>
    <n v="1"/>
    <s v="High Humid"/>
    <n v="0.1343"/>
    <x v="13"/>
    <n v="63"/>
    <n v="71"/>
  </r>
  <r>
    <n v="799"/>
    <d v="2011-02-05T00:00:00"/>
    <n v="1"/>
    <n v="0"/>
    <n v="2"/>
    <n v="17"/>
    <b v="0"/>
    <n v="6"/>
    <x v="0"/>
    <n v="2"/>
    <n v="0.24"/>
    <s v="Cold"/>
    <n v="0.21210000000000001"/>
    <n v="1"/>
    <s v="High Humid"/>
    <n v="0.28360000000000002"/>
    <x v="14"/>
    <n v="64"/>
    <n v="78"/>
  </r>
  <r>
    <n v="800"/>
    <d v="2011-02-05T00:00:00"/>
    <n v="1"/>
    <n v="0"/>
    <n v="2"/>
    <n v="18"/>
    <b v="0"/>
    <n v="6"/>
    <x v="0"/>
    <n v="2"/>
    <n v="0.28000000000000003"/>
    <s v="Cold"/>
    <n v="0.2424"/>
    <n v="0.93"/>
    <s v="High Humid"/>
    <n v="0.44779999999999998"/>
    <x v="0"/>
    <n v="81"/>
    <n v="83"/>
  </r>
  <r>
    <n v="801"/>
    <d v="2011-02-05T00:00:00"/>
    <n v="1"/>
    <n v="0"/>
    <n v="2"/>
    <n v="19"/>
    <b v="0"/>
    <n v="6"/>
    <x v="0"/>
    <n v="2"/>
    <n v="0.28000000000000003"/>
    <s v="Cold"/>
    <n v="0.2424"/>
    <n v="0.93"/>
    <s v="High Humid"/>
    <n v="0.44779999999999998"/>
    <x v="10"/>
    <n v="78"/>
    <n v="84"/>
  </r>
  <r>
    <n v="802"/>
    <d v="2011-02-05T00:00:00"/>
    <n v="1"/>
    <n v="0"/>
    <n v="2"/>
    <n v="20"/>
    <b v="0"/>
    <n v="6"/>
    <x v="0"/>
    <n v="1"/>
    <n v="0.3"/>
    <s v="Cold"/>
    <n v="0.28789999999999999"/>
    <n v="0.87"/>
    <s v="High Humid"/>
    <n v="0.25369999999999998"/>
    <x v="11"/>
    <n v="64"/>
    <n v="69"/>
  </r>
  <r>
    <n v="803"/>
    <d v="2011-02-05T00:00:00"/>
    <n v="1"/>
    <n v="0"/>
    <n v="2"/>
    <n v="21"/>
    <b v="0"/>
    <n v="6"/>
    <x v="0"/>
    <n v="1"/>
    <n v="0.26"/>
    <s v="Cold"/>
    <n v="0.2576"/>
    <n v="1"/>
    <s v="High Humid"/>
    <n v="0.19400000000000001"/>
    <x v="2"/>
    <n v="53"/>
    <n v="56"/>
  </r>
  <r>
    <n v="804"/>
    <d v="2011-02-05T00:00:00"/>
    <n v="1"/>
    <n v="0"/>
    <n v="2"/>
    <n v="22"/>
    <b v="0"/>
    <n v="6"/>
    <x v="0"/>
    <n v="1"/>
    <n v="0.26"/>
    <s v="Cold"/>
    <n v="0.2727"/>
    <n v="0.93"/>
    <s v="High Humid"/>
    <n v="0.1343"/>
    <x v="0"/>
    <n v="43"/>
    <n v="45"/>
  </r>
  <r>
    <n v="805"/>
    <d v="2011-02-05T00:00:00"/>
    <n v="1"/>
    <n v="0"/>
    <n v="2"/>
    <n v="23"/>
    <b v="0"/>
    <n v="6"/>
    <x v="0"/>
    <n v="1"/>
    <n v="0.26"/>
    <s v="Cold"/>
    <n v="0.2576"/>
    <n v="0.93"/>
    <s v="High Humid"/>
    <n v="0.22389999999999999"/>
    <x v="15"/>
    <n v="52"/>
    <n v="59"/>
  </r>
  <r>
    <n v="946"/>
    <d v="2011-02-12T00:00:00"/>
    <n v="1"/>
    <n v="0"/>
    <n v="2"/>
    <n v="0"/>
    <b v="0"/>
    <n v="6"/>
    <x v="0"/>
    <n v="1"/>
    <n v="0.16"/>
    <s v="Cold"/>
    <n v="0.19700000000000001"/>
    <n v="0.69"/>
    <s v="High Humid"/>
    <n v="8.9599999999999999E-2"/>
    <x v="2"/>
    <n v="27"/>
    <n v="30"/>
  </r>
  <r>
    <n v="947"/>
    <d v="2011-02-12T00:00:00"/>
    <n v="1"/>
    <n v="0"/>
    <n v="2"/>
    <n v="1"/>
    <b v="0"/>
    <n v="6"/>
    <x v="0"/>
    <n v="1"/>
    <n v="0.14000000000000001"/>
    <s v="Cold"/>
    <n v="0.21210000000000001"/>
    <n v="0.86"/>
    <s v="High Humid"/>
    <n v="0"/>
    <x v="0"/>
    <n v="22"/>
    <n v="24"/>
  </r>
  <r>
    <n v="948"/>
    <d v="2011-02-12T00:00:00"/>
    <n v="1"/>
    <n v="0"/>
    <n v="2"/>
    <n v="2"/>
    <b v="0"/>
    <n v="6"/>
    <x v="0"/>
    <n v="1"/>
    <n v="0.14000000000000001"/>
    <s v="Cold"/>
    <n v="0.21210000000000001"/>
    <n v="0.8"/>
    <s v="High Humid"/>
    <n v="0"/>
    <x v="0"/>
    <n v="13"/>
    <n v="15"/>
  </r>
  <r>
    <n v="949"/>
    <d v="2011-02-12T00:00:00"/>
    <n v="1"/>
    <n v="0"/>
    <n v="2"/>
    <n v="3"/>
    <b v="0"/>
    <n v="6"/>
    <x v="0"/>
    <n v="1"/>
    <n v="0.12"/>
    <s v="Cold"/>
    <n v="0.19700000000000001"/>
    <n v="0.8"/>
    <s v="High Humid"/>
    <n v="0"/>
    <x v="2"/>
    <n v="7"/>
    <n v="10"/>
  </r>
  <r>
    <n v="950"/>
    <d v="2011-02-12T00:00:00"/>
    <n v="1"/>
    <n v="0"/>
    <n v="2"/>
    <n v="4"/>
    <b v="0"/>
    <n v="6"/>
    <x v="0"/>
    <n v="1"/>
    <n v="0.12"/>
    <s v="Cold"/>
    <n v="0.16669999999999999"/>
    <n v="0.74"/>
    <s v="High Humid"/>
    <n v="8.9599999999999999E-2"/>
    <x v="1"/>
    <n v="4"/>
    <n v="4"/>
  </r>
  <r>
    <n v="951"/>
    <d v="2011-02-12T00:00:00"/>
    <n v="1"/>
    <n v="0"/>
    <n v="2"/>
    <n v="5"/>
    <b v="0"/>
    <n v="6"/>
    <x v="0"/>
    <n v="1"/>
    <n v="0.12"/>
    <s v="Cold"/>
    <n v="0.16669999999999999"/>
    <n v="0.74"/>
    <s v="High Humid"/>
    <n v="8.9599999999999999E-2"/>
    <x v="1"/>
    <n v="1"/>
    <n v="1"/>
  </r>
  <r>
    <n v="952"/>
    <d v="2011-02-12T00:00:00"/>
    <n v="1"/>
    <n v="0"/>
    <n v="2"/>
    <n v="6"/>
    <b v="0"/>
    <n v="6"/>
    <x v="0"/>
    <n v="1"/>
    <n v="0.12"/>
    <s v="Cold"/>
    <n v="0.13639999999999999"/>
    <n v="0.93"/>
    <s v="High Humid"/>
    <n v="0.19400000000000001"/>
    <x v="3"/>
    <n v="1"/>
    <n v="2"/>
  </r>
  <r>
    <n v="953"/>
    <d v="2011-02-12T00:00:00"/>
    <n v="1"/>
    <n v="0"/>
    <n v="2"/>
    <n v="7"/>
    <b v="0"/>
    <n v="6"/>
    <x v="0"/>
    <n v="1"/>
    <n v="0.12"/>
    <s v="Cold"/>
    <n v="0.1515"/>
    <n v="0.8"/>
    <s v="High Humid"/>
    <n v="0.1045"/>
    <x v="0"/>
    <n v="9"/>
    <n v="11"/>
  </r>
  <r>
    <n v="954"/>
    <d v="2011-02-12T00:00:00"/>
    <n v="1"/>
    <n v="0"/>
    <n v="2"/>
    <n v="8"/>
    <b v="0"/>
    <n v="6"/>
    <x v="0"/>
    <n v="1"/>
    <n v="0.14000000000000001"/>
    <s v="Cold"/>
    <n v="0.1515"/>
    <n v="0.86"/>
    <s v="High Humid"/>
    <n v="0.1343"/>
    <x v="0"/>
    <n v="28"/>
    <n v="30"/>
  </r>
  <r>
    <n v="955"/>
    <d v="2011-02-12T00:00:00"/>
    <n v="1"/>
    <n v="0"/>
    <n v="2"/>
    <n v="9"/>
    <b v="0"/>
    <n v="6"/>
    <x v="0"/>
    <n v="1"/>
    <n v="0.16"/>
    <s v="Cold"/>
    <n v="0.18179999999999999"/>
    <n v="0.64"/>
    <s v="High Humid"/>
    <n v="0.1343"/>
    <x v="11"/>
    <n v="38"/>
    <n v="43"/>
  </r>
  <r>
    <n v="956"/>
    <d v="2011-02-12T00:00:00"/>
    <n v="1"/>
    <n v="0"/>
    <n v="2"/>
    <n v="10"/>
    <b v="0"/>
    <n v="6"/>
    <x v="0"/>
    <n v="1"/>
    <n v="0.22"/>
    <s v="Cold"/>
    <n v="0.21210000000000001"/>
    <n v="0.41"/>
    <s v="High Humid"/>
    <n v="0.25369999999999998"/>
    <x v="16"/>
    <n v="71"/>
    <n v="84"/>
  </r>
  <r>
    <n v="957"/>
    <d v="2011-02-12T00:00:00"/>
    <n v="1"/>
    <n v="0"/>
    <n v="2"/>
    <n v="11"/>
    <b v="0"/>
    <n v="6"/>
    <x v="0"/>
    <n v="1"/>
    <n v="0.3"/>
    <s v="Cold"/>
    <n v="0.2727"/>
    <n v="0.28000000000000003"/>
    <s v="Humid"/>
    <n v="0.32840000000000003"/>
    <x v="17"/>
    <n v="84"/>
    <n v="114"/>
  </r>
  <r>
    <n v="958"/>
    <d v="2011-02-12T00:00:00"/>
    <n v="1"/>
    <n v="0"/>
    <n v="2"/>
    <n v="12"/>
    <b v="0"/>
    <n v="6"/>
    <x v="0"/>
    <n v="1"/>
    <n v="0.3"/>
    <s v="Cold"/>
    <n v="0.2727"/>
    <n v="0.39"/>
    <s v="High Humid"/>
    <n v="0.4627"/>
    <x v="18"/>
    <n v="93"/>
    <n v="120"/>
  </r>
  <r>
    <n v="959"/>
    <d v="2011-02-12T00:00:00"/>
    <n v="1"/>
    <n v="0"/>
    <n v="2"/>
    <n v="13"/>
    <b v="0"/>
    <n v="6"/>
    <x v="0"/>
    <n v="1"/>
    <n v="0.3"/>
    <s v="Cold"/>
    <n v="0.2727"/>
    <n v="0.39"/>
    <s v="High Humid"/>
    <n v="0.41789999999999999"/>
    <x v="19"/>
    <n v="103"/>
    <n v="135"/>
  </r>
  <r>
    <n v="960"/>
    <d v="2011-02-12T00:00:00"/>
    <n v="1"/>
    <n v="0"/>
    <n v="2"/>
    <n v="14"/>
    <b v="0"/>
    <n v="6"/>
    <x v="0"/>
    <n v="1"/>
    <n v="0.34"/>
    <s v="Cold"/>
    <n v="0.31819999999999998"/>
    <n v="0.31"/>
    <s v="High Humid"/>
    <n v="0.28360000000000002"/>
    <x v="17"/>
    <n v="90"/>
    <n v="120"/>
  </r>
  <r>
    <n v="961"/>
    <d v="2011-02-12T00:00:00"/>
    <n v="1"/>
    <n v="0"/>
    <n v="2"/>
    <n v="15"/>
    <b v="0"/>
    <n v="6"/>
    <x v="0"/>
    <n v="1"/>
    <n v="0.34"/>
    <s v="Cold"/>
    <n v="0.30299999999999999"/>
    <n v="0.28999999999999998"/>
    <s v="Humid"/>
    <n v="0.41789999999999999"/>
    <x v="20"/>
    <n v="127"/>
    <n v="174"/>
  </r>
  <r>
    <n v="962"/>
    <d v="2011-02-12T00:00:00"/>
    <n v="1"/>
    <n v="0"/>
    <n v="2"/>
    <n v="16"/>
    <b v="0"/>
    <n v="6"/>
    <x v="0"/>
    <n v="1"/>
    <n v="0.34"/>
    <s v="Cold"/>
    <n v="0.30299999999999999"/>
    <n v="0.28999999999999998"/>
    <s v="Humid"/>
    <n v="0.41789999999999999"/>
    <x v="21"/>
    <n v="103"/>
    <n v="145"/>
  </r>
  <r>
    <n v="963"/>
    <d v="2011-02-12T00:00:00"/>
    <n v="1"/>
    <n v="0"/>
    <n v="2"/>
    <n v="17"/>
    <b v="0"/>
    <n v="6"/>
    <x v="0"/>
    <n v="1"/>
    <n v="0.32"/>
    <s v="Cold"/>
    <n v="0.28789999999999999"/>
    <n v="0.31"/>
    <s v="High Humid"/>
    <n v="0.52239999999999998"/>
    <x v="22"/>
    <n v="113"/>
    <n v="137"/>
  </r>
  <r>
    <n v="964"/>
    <d v="2011-02-12T00:00:00"/>
    <n v="1"/>
    <n v="0"/>
    <n v="2"/>
    <n v="18"/>
    <b v="0"/>
    <n v="6"/>
    <x v="0"/>
    <n v="1"/>
    <n v="0.28000000000000003"/>
    <s v="Cold"/>
    <n v="0.2576"/>
    <n v="0.38"/>
    <s v="High Humid"/>
    <n v="0.32840000000000003"/>
    <x v="4"/>
    <n v="60"/>
    <n v="64"/>
  </r>
  <r>
    <n v="965"/>
    <d v="2011-02-12T00:00:00"/>
    <n v="1"/>
    <n v="0"/>
    <n v="2"/>
    <n v="19"/>
    <b v="0"/>
    <n v="6"/>
    <x v="0"/>
    <n v="1"/>
    <n v="0.28000000000000003"/>
    <s v="Cold"/>
    <n v="0.2727"/>
    <n v="0.38"/>
    <s v="High Humid"/>
    <n v="0.16420000000000001"/>
    <x v="0"/>
    <n v="39"/>
    <n v="41"/>
  </r>
  <r>
    <n v="966"/>
    <d v="2011-02-12T00:00:00"/>
    <n v="1"/>
    <n v="0"/>
    <n v="2"/>
    <n v="20"/>
    <b v="0"/>
    <n v="6"/>
    <x v="0"/>
    <n v="1"/>
    <n v="0.26"/>
    <s v="Cold"/>
    <n v="0.2576"/>
    <n v="0.41"/>
    <s v="High Humid"/>
    <n v="0.22389999999999999"/>
    <x v="3"/>
    <n v="39"/>
    <n v="40"/>
  </r>
  <r>
    <n v="967"/>
    <d v="2011-02-12T00:00:00"/>
    <n v="1"/>
    <n v="0"/>
    <n v="2"/>
    <n v="21"/>
    <b v="0"/>
    <n v="6"/>
    <x v="0"/>
    <n v="1"/>
    <n v="0.26"/>
    <s v="Cold"/>
    <n v="0.30299999999999999"/>
    <n v="0.41"/>
    <s v="High Humid"/>
    <n v="0"/>
    <x v="6"/>
    <n v="42"/>
    <n v="51"/>
  </r>
  <r>
    <n v="968"/>
    <d v="2011-02-12T00:00:00"/>
    <n v="1"/>
    <n v="0"/>
    <n v="2"/>
    <n v="22"/>
    <b v="0"/>
    <n v="6"/>
    <x v="0"/>
    <n v="1"/>
    <n v="0.24"/>
    <s v="Cold"/>
    <n v="0.2576"/>
    <n v="0.44"/>
    <s v="High Humid"/>
    <n v="8.9599999999999999E-2"/>
    <x v="10"/>
    <n v="39"/>
    <n v="45"/>
  </r>
  <r>
    <n v="969"/>
    <d v="2011-02-12T00:00:00"/>
    <n v="1"/>
    <n v="0"/>
    <n v="2"/>
    <n v="23"/>
    <b v="0"/>
    <n v="6"/>
    <x v="0"/>
    <n v="1"/>
    <n v="0.22"/>
    <s v="Cold"/>
    <n v="0.2273"/>
    <n v="0.51"/>
    <s v="High Humid"/>
    <n v="0.1343"/>
    <x v="3"/>
    <n v="31"/>
    <n v="32"/>
  </r>
  <r>
    <n v="611"/>
    <d v="2011-01-28T00:00:00"/>
    <n v="1"/>
    <n v="0"/>
    <n v="1"/>
    <n v="16"/>
    <b v="0"/>
    <n v="5"/>
    <x v="1"/>
    <n v="1"/>
    <n v="0.22"/>
    <s v="Cold"/>
    <n v="0.2727"/>
    <n v="0.8"/>
    <s v="High Humid"/>
    <n v="0"/>
    <x v="7"/>
    <n v="70"/>
    <n v="80"/>
  </r>
  <r>
    <n v="612"/>
    <d v="2011-01-28T00:00:00"/>
    <n v="1"/>
    <n v="0"/>
    <n v="1"/>
    <n v="17"/>
    <b v="0"/>
    <n v="5"/>
    <x v="1"/>
    <n v="1"/>
    <n v="0.24"/>
    <s v="Cold"/>
    <n v="0.2424"/>
    <n v="0.75"/>
    <s v="High Humid"/>
    <n v="0.1343"/>
    <x v="0"/>
    <n v="147"/>
    <n v="149"/>
  </r>
  <r>
    <n v="613"/>
    <d v="2011-01-28T00:00:00"/>
    <n v="1"/>
    <n v="0"/>
    <n v="1"/>
    <n v="18"/>
    <b v="0"/>
    <n v="5"/>
    <x v="1"/>
    <n v="1"/>
    <n v="0.24"/>
    <s v="Cold"/>
    <n v="0.2273"/>
    <n v="0.75"/>
    <s v="High Humid"/>
    <n v="0.19400000000000001"/>
    <x v="0"/>
    <n v="107"/>
    <n v="109"/>
  </r>
  <r>
    <n v="614"/>
    <d v="2011-01-28T00:00:00"/>
    <n v="1"/>
    <n v="0"/>
    <n v="1"/>
    <n v="19"/>
    <b v="0"/>
    <n v="5"/>
    <x v="1"/>
    <n v="2"/>
    <n v="0.24"/>
    <s v="Cold"/>
    <n v="0.2424"/>
    <n v="0.75"/>
    <s v="High Humid"/>
    <n v="0.1343"/>
    <x v="11"/>
    <n v="84"/>
    <n v="89"/>
  </r>
  <r>
    <n v="615"/>
    <d v="2011-01-28T00:00:00"/>
    <n v="1"/>
    <n v="0"/>
    <n v="1"/>
    <n v="20"/>
    <b v="0"/>
    <n v="5"/>
    <x v="1"/>
    <n v="2"/>
    <n v="0.24"/>
    <s v="Cold"/>
    <n v="0.2273"/>
    <n v="0.7"/>
    <s v="High Humid"/>
    <n v="0.19400000000000001"/>
    <x v="3"/>
    <n v="61"/>
    <n v="62"/>
  </r>
  <r>
    <n v="616"/>
    <d v="2011-01-28T00:00:00"/>
    <n v="1"/>
    <n v="0"/>
    <n v="1"/>
    <n v="21"/>
    <b v="0"/>
    <n v="5"/>
    <x v="1"/>
    <n v="2"/>
    <n v="0.22"/>
    <s v="Cold"/>
    <n v="0.2273"/>
    <n v="0.75"/>
    <s v="High Humid"/>
    <n v="0.1343"/>
    <x v="3"/>
    <n v="57"/>
    <n v="58"/>
  </r>
  <r>
    <n v="617"/>
    <d v="2011-01-28T00:00:00"/>
    <n v="1"/>
    <n v="0"/>
    <n v="1"/>
    <n v="22"/>
    <b v="0"/>
    <n v="5"/>
    <x v="1"/>
    <n v="1"/>
    <n v="0.24"/>
    <s v="Cold"/>
    <n v="0.21210000000000001"/>
    <n v="0.65"/>
    <s v="High Humid"/>
    <n v="0.35820000000000002"/>
    <x v="1"/>
    <n v="26"/>
    <n v="26"/>
  </r>
  <r>
    <n v="618"/>
    <d v="2011-01-28T00:00:00"/>
    <n v="1"/>
    <n v="0"/>
    <n v="1"/>
    <n v="23"/>
    <b v="0"/>
    <n v="5"/>
    <x v="1"/>
    <n v="1"/>
    <n v="0.24"/>
    <s v="Cold"/>
    <n v="0.2273"/>
    <n v="0.6"/>
    <s v="High Humid"/>
    <n v="0.22389999999999999"/>
    <x v="3"/>
    <n v="22"/>
    <n v="23"/>
  </r>
  <r>
    <n v="759"/>
    <d v="2011-02-04T00:00:00"/>
    <n v="1"/>
    <n v="0"/>
    <n v="2"/>
    <n v="0"/>
    <b v="0"/>
    <n v="5"/>
    <x v="1"/>
    <n v="2"/>
    <n v="0.2"/>
    <s v="Cold"/>
    <n v="0.2576"/>
    <n v="0.44"/>
    <s v="High Humid"/>
    <n v="0"/>
    <x v="2"/>
    <n v="10"/>
    <n v="13"/>
  </r>
  <r>
    <n v="760"/>
    <d v="2011-02-04T00:00:00"/>
    <n v="1"/>
    <n v="0"/>
    <n v="2"/>
    <n v="1"/>
    <b v="0"/>
    <n v="5"/>
    <x v="1"/>
    <n v="2"/>
    <n v="0.16"/>
    <s v="Cold"/>
    <n v="0.2273"/>
    <n v="0.59"/>
    <s v="High Humid"/>
    <n v="0"/>
    <x v="1"/>
    <n v="7"/>
    <n v="7"/>
  </r>
  <r>
    <n v="761"/>
    <d v="2011-02-04T00:00:00"/>
    <n v="1"/>
    <n v="0"/>
    <n v="2"/>
    <n v="2"/>
    <b v="0"/>
    <n v="5"/>
    <x v="1"/>
    <n v="2"/>
    <n v="0.14000000000000001"/>
    <s v="Cold"/>
    <n v="0.16669999999999999"/>
    <n v="0.63"/>
    <s v="High Humid"/>
    <n v="0.1045"/>
    <x v="1"/>
    <n v="1"/>
    <n v="1"/>
  </r>
  <r>
    <n v="762"/>
    <d v="2011-02-04T00:00:00"/>
    <n v="1"/>
    <n v="0"/>
    <n v="2"/>
    <n v="3"/>
    <b v="0"/>
    <n v="5"/>
    <x v="1"/>
    <n v="2"/>
    <n v="0.14000000000000001"/>
    <s v="Cold"/>
    <n v="0.16669999999999999"/>
    <n v="0.63"/>
    <s v="High Humid"/>
    <n v="0.1045"/>
    <x v="1"/>
    <n v="1"/>
    <n v="1"/>
  </r>
  <r>
    <n v="763"/>
    <d v="2011-02-04T00:00:00"/>
    <n v="1"/>
    <n v="0"/>
    <n v="2"/>
    <n v="5"/>
    <b v="0"/>
    <n v="5"/>
    <x v="1"/>
    <n v="2"/>
    <n v="0.14000000000000001"/>
    <s v="Cold"/>
    <n v="0.1515"/>
    <n v="0.63"/>
    <s v="High Humid"/>
    <n v="0.1343"/>
    <x v="1"/>
    <n v="7"/>
    <n v="7"/>
  </r>
  <r>
    <n v="764"/>
    <d v="2011-02-04T00:00:00"/>
    <n v="1"/>
    <n v="0"/>
    <n v="2"/>
    <n v="6"/>
    <b v="0"/>
    <n v="5"/>
    <x v="1"/>
    <n v="2"/>
    <n v="0.16"/>
    <s v="Cold"/>
    <n v="0.2273"/>
    <n v="0.55000000000000004"/>
    <s v="High Humid"/>
    <n v="0"/>
    <x v="0"/>
    <n v="26"/>
    <n v="28"/>
  </r>
  <r>
    <n v="765"/>
    <d v="2011-02-04T00:00:00"/>
    <n v="1"/>
    <n v="0"/>
    <n v="2"/>
    <n v="7"/>
    <b v="0"/>
    <n v="5"/>
    <x v="1"/>
    <n v="1"/>
    <n v="0.14000000000000001"/>
    <s v="Cold"/>
    <n v="0.21210000000000001"/>
    <n v="0.59"/>
    <s v="High Humid"/>
    <n v="0"/>
    <x v="1"/>
    <n v="87"/>
    <n v="87"/>
  </r>
  <r>
    <n v="766"/>
    <d v="2011-02-04T00:00:00"/>
    <n v="1"/>
    <n v="0"/>
    <n v="2"/>
    <n v="8"/>
    <b v="0"/>
    <n v="5"/>
    <x v="1"/>
    <n v="1"/>
    <n v="0.14000000000000001"/>
    <s v="Cold"/>
    <n v="0.1515"/>
    <n v="0.74"/>
    <s v="High Humid"/>
    <n v="0.1343"/>
    <x v="2"/>
    <n v="217"/>
    <n v="220"/>
  </r>
  <r>
    <n v="767"/>
    <d v="2011-02-04T00:00:00"/>
    <n v="1"/>
    <n v="0"/>
    <n v="2"/>
    <n v="9"/>
    <b v="0"/>
    <n v="5"/>
    <x v="1"/>
    <n v="2"/>
    <n v="0.16"/>
    <s v="Cold"/>
    <n v="0.18179999999999999"/>
    <n v="0.8"/>
    <s v="High Humid"/>
    <n v="0.1343"/>
    <x v="2"/>
    <n v="124"/>
    <n v="127"/>
  </r>
  <r>
    <n v="768"/>
    <d v="2011-02-04T00:00:00"/>
    <n v="1"/>
    <n v="0"/>
    <n v="2"/>
    <n v="10"/>
    <b v="0"/>
    <n v="5"/>
    <x v="1"/>
    <n v="2"/>
    <n v="0.2"/>
    <s v="Cold"/>
    <n v="0.21210000000000001"/>
    <n v="0.51"/>
    <s v="High Humid"/>
    <n v="0.1343"/>
    <x v="11"/>
    <n v="46"/>
    <n v="51"/>
  </r>
  <r>
    <n v="769"/>
    <d v="2011-02-04T00:00:00"/>
    <n v="1"/>
    <n v="0"/>
    <n v="2"/>
    <n v="11"/>
    <b v="0"/>
    <n v="5"/>
    <x v="1"/>
    <n v="1"/>
    <n v="0.22"/>
    <s v="Cold"/>
    <n v="0.2273"/>
    <n v="0.51"/>
    <s v="High Humid"/>
    <n v="0.16420000000000001"/>
    <x v="2"/>
    <n v="61"/>
    <n v="64"/>
  </r>
  <r>
    <n v="770"/>
    <d v="2011-02-04T00:00:00"/>
    <n v="1"/>
    <n v="0"/>
    <n v="2"/>
    <n v="12"/>
    <b v="0"/>
    <n v="5"/>
    <x v="1"/>
    <n v="2"/>
    <n v="0.24"/>
    <s v="Cold"/>
    <n v="0.2424"/>
    <n v="0.48"/>
    <s v="High Humid"/>
    <n v="0.16420000000000001"/>
    <x v="13"/>
    <n v="78"/>
    <n v="86"/>
  </r>
  <r>
    <n v="771"/>
    <d v="2011-02-04T00:00:00"/>
    <n v="1"/>
    <n v="0"/>
    <n v="2"/>
    <n v="13"/>
    <b v="0"/>
    <n v="5"/>
    <x v="1"/>
    <n v="2"/>
    <n v="0.26"/>
    <s v="Cold"/>
    <n v="0.2576"/>
    <n v="0.5"/>
    <s v="High Humid"/>
    <n v="0.22389999999999999"/>
    <x v="6"/>
    <n v="73"/>
    <n v="82"/>
  </r>
  <r>
    <n v="772"/>
    <d v="2011-02-04T00:00:00"/>
    <n v="1"/>
    <n v="0"/>
    <n v="2"/>
    <n v="14"/>
    <b v="0"/>
    <n v="5"/>
    <x v="1"/>
    <n v="2"/>
    <n v="0.28000000000000003"/>
    <s v="Cold"/>
    <n v="0.2727"/>
    <n v="0.45"/>
    <s v="High Humid"/>
    <n v="0.16420000000000001"/>
    <x v="23"/>
    <n v="76"/>
    <n v="91"/>
  </r>
  <r>
    <n v="773"/>
    <d v="2011-02-04T00:00:00"/>
    <n v="1"/>
    <n v="0"/>
    <n v="2"/>
    <n v="15"/>
    <b v="0"/>
    <n v="5"/>
    <x v="1"/>
    <n v="2"/>
    <n v="0.28000000000000003"/>
    <s v="Cold"/>
    <n v="0.2727"/>
    <n v="0.48"/>
    <s v="High Humid"/>
    <n v="0.25369999999999998"/>
    <x v="6"/>
    <n v="81"/>
    <n v="90"/>
  </r>
  <r>
    <n v="774"/>
    <d v="2011-02-04T00:00:00"/>
    <n v="1"/>
    <n v="0"/>
    <n v="2"/>
    <n v="16"/>
    <b v="0"/>
    <n v="5"/>
    <x v="1"/>
    <n v="2"/>
    <n v="0.3"/>
    <s v="Cold"/>
    <n v="0.28789999999999999"/>
    <n v="0.42"/>
    <s v="High Humid"/>
    <n v="0.22389999999999999"/>
    <x v="13"/>
    <n v="91"/>
    <n v="99"/>
  </r>
  <r>
    <n v="775"/>
    <d v="2011-02-04T00:00:00"/>
    <n v="1"/>
    <n v="0"/>
    <n v="2"/>
    <n v="17"/>
    <b v="0"/>
    <n v="5"/>
    <x v="1"/>
    <n v="2"/>
    <n v="0.26"/>
    <s v="Cold"/>
    <n v="0.2727"/>
    <n v="0.56000000000000005"/>
    <s v="High Humid"/>
    <n v="0.1343"/>
    <x v="7"/>
    <n v="195"/>
    <n v="205"/>
  </r>
  <r>
    <n v="776"/>
    <d v="2011-02-04T00:00:00"/>
    <n v="1"/>
    <n v="0"/>
    <n v="2"/>
    <n v="18"/>
    <b v="0"/>
    <n v="5"/>
    <x v="1"/>
    <n v="2"/>
    <n v="0.24"/>
    <s v="Cold"/>
    <n v="0.2576"/>
    <n v="0.6"/>
    <s v="High Humid"/>
    <n v="0.1045"/>
    <x v="2"/>
    <n v="152"/>
    <n v="155"/>
  </r>
  <r>
    <n v="777"/>
    <d v="2011-02-04T00:00:00"/>
    <n v="1"/>
    <n v="0"/>
    <n v="2"/>
    <n v="19"/>
    <b v="0"/>
    <n v="5"/>
    <x v="1"/>
    <n v="2"/>
    <n v="0.24"/>
    <s v="Cold"/>
    <n v="0.2424"/>
    <n v="0.65"/>
    <s v="High Humid"/>
    <n v="0.1343"/>
    <x v="3"/>
    <n v="102"/>
    <n v="103"/>
  </r>
  <r>
    <n v="778"/>
    <d v="2011-02-04T00:00:00"/>
    <n v="1"/>
    <n v="0"/>
    <n v="2"/>
    <n v="20"/>
    <b v="0"/>
    <n v="5"/>
    <x v="1"/>
    <n v="2"/>
    <n v="0.24"/>
    <s v="Cold"/>
    <n v="0.2424"/>
    <n v="0.65"/>
    <s v="High Humid"/>
    <n v="0.16420000000000001"/>
    <x v="0"/>
    <n v="69"/>
    <n v="71"/>
  </r>
  <r>
    <n v="779"/>
    <d v="2011-02-04T00:00:00"/>
    <n v="1"/>
    <n v="0"/>
    <n v="2"/>
    <n v="21"/>
    <b v="0"/>
    <n v="5"/>
    <x v="1"/>
    <n v="2"/>
    <n v="0.24"/>
    <s v="Cold"/>
    <n v="0.2424"/>
    <n v="0.7"/>
    <s v="High Humid"/>
    <n v="0.16420000000000001"/>
    <x v="0"/>
    <n v="41"/>
    <n v="43"/>
  </r>
  <r>
    <n v="780"/>
    <d v="2011-02-04T00:00:00"/>
    <n v="1"/>
    <n v="0"/>
    <n v="2"/>
    <n v="22"/>
    <b v="0"/>
    <n v="5"/>
    <x v="1"/>
    <n v="2"/>
    <n v="0.24"/>
    <s v="Cold"/>
    <n v="0.2424"/>
    <n v="0.65"/>
    <s v="High Humid"/>
    <n v="0.16420000000000001"/>
    <x v="3"/>
    <n v="45"/>
    <n v="46"/>
  </r>
  <r>
    <n v="781"/>
    <d v="2011-02-04T00:00:00"/>
    <n v="1"/>
    <n v="0"/>
    <n v="2"/>
    <n v="23"/>
    <b v="0"/>
    <n v="5"/>
    <x v="1"/>
    <n v="2"/>
    <n v="0.24"/>
    <s v="Cold"/>
    <n v="0.2424"/>
    <n v="0.7"/>
    <s v="High Humid"/>
    <n v="0.1343"/>
    <x v="3"/>
    <n v="30"/>
    <n v="31"/>
  </r>
  <r>
    <n v="924"/>
    <d v="2011-02-11T00:00:00"/>
    <n v="1"/>
    <n v="0"/>
    <n v="2"/>
    <n v="0"/>
    <b v="0"/>
    <n v="5"/>
    <x v="1"/>
    <n v="1"/>
    <n v="0.1"/>
    <s v="Cold"/>
    <n v="0.13639999999999999"/>
    <n v="0.49"/>
    <s v="High Humid"/>
    <n v="0.1045"/>
    <x v="0"/>
    <n v="12"/>
    <n v="14"/>
  </r>
  <r>
    <n v="925"/>
    <d v="2011-02-11T00:00:00"/>
    <n v="1"/>
    <n v="0"/>
    <n v="2"/>
    <n v="1"/>
    <b v="0"/>
    <n v="5"/>
    <x v="1"/>
    <n v="1"/>
    <n v="0.1"/>
    <s v="Cold"/>
    <n v="0.13639999999999999"/>
    <n v="0.54"/>
    <s v="High Humid"/>
    <n v="8.9599999999999999E-2"/>
    <x v="3"/>
    <n v="6"/>
    <n v="7"/>
  </r>
  <r>
    <n v="926"/>
    <d v="2011-02-11T00:00:00"/>
    <n v="1"/>
    <n v="0"/>
    <n v="2"/>
    <n v="2"/>
    <b v="0"/>
    <n v="5"/>
    <x v="1"/>
    <n v="1"/>
    <n v="0.1"/>
    <s v="Cold"/>
    <n v="0.13639999999999999"/>
    <n v="0.54"/>
    <s v="High Humid"/>
    <n v="8.9599999999999999E-2"/>
    <x v="1"/>
    <n v="3"/>
    <n v="3"/>
  </r>
  <r>
    <n v="927"/>
    <d v="2011-02-11T00:00:00"/>
    <n v="1"/>
    <n v="0"/>
    <n v="2"/>
    <n v="5"/>
    <b v="0"/>
    <n v="5"/>
    <x v="1"/>
    <n v="1"/>
    <n v="0.08"/>
    <s v="Cold"/>
    <n v="0.1212"/>
    <n v="0.63"/>
    <s v="High Humid"/>
    <n v="8.9599999999999999E-2"/>
    <x v="1"/>
    <n v="4"/>
    <n v="4"/>
  </r>
  <r>
    <n v="928"/>
    <d v="2011-02-11T00:00:00"/>
    <n v="1"/>
    <n v="0"/>
    <n v="2"/>
    <n v="6"/>
    <b v="0"/>
    <n v="5"/>
    <x v="1"/>
    <n v="1"/>
    <n v="0.1"/>
    <s v="Cold"/>
    <n v="0.18179999999999999"/>
    <n v="0.68"/>
    <s v="High Humid"/>
    <n v="0"/>
    <x v="3"/>
    <n v="23"/>
    <n v="24"/>
  </r>
  <r>
    <n v="929"/>
    <d v="2011-02-11T00:00:00"/>
    <n v="1"/>
    <n v="0"/>
    <n v="2"/>
    <n v="7"/>
    <b v="0"/>
    <n v="5"/>
    <x v="1"/>
    <n v="1"/>
    <n v="0.08"/>
    <s v="Cold"/>
    <n v="0.16669999999999999"/>
    <n v="0.73"/>
    <s v="High Humid"/>
    <n v="0"/>
    <x v="3"/>
    <n v="73"/>
    <n v="74"/>
  </r>
  <r>
    <n v="930"/>
    <d v="2011-02-11T00:00:00"/>
    <n v="1"/>
    <n v="0"/>
    <n v="2"/>
    <n v="8"/>
    <b v="0"/>
    <n v="5"/>
    <x v="1"/>
    <n v="1"/>
    <n v="0.1"/>
    <s v="Cold"/>
    <n v="0.1212"/>
    <n v="0.74"/>
    <s v="High Humid"/>
    <n v="0.16420000000000001"/>
    <x v="4"/>
    <n v="212"/>
    <n v="216"/>
  </r>
  <r>
    <n v="931"/>
    <d v="2011-02-11T00:00:00"/>
    <n v="1"/>
    <n v="0"/>
    <n v="2"/>
    <n v="9"/>
    <b v="0"/>
    <n v="5"/>
    <x v="1"/>
    <n v="1"/>
    <n v="0.12"/>
    <s v="Cold"/>
    <n v="0.1212"/>
    <n v="0.74"/>
    <s v="High Humid"/>
    <n v="0.22389999999999999"/>
    <x v="13"/>
    <n v="132"/>
    <n v="140"/>
  </r>
  <r>
    <n v="932"/>
    <d v="2011-02-11T00:00:00"/>
    <n v="1"/>
    <n v="0"/>
    <n v="2"/>
    <n v="10"/>
    <b v="0"/>
    <n v="5"/>
    <x v="1"/>
    <n v="1"/>
    <n v="0.14000000000000001"/>
    <s v="Cold"/>
    <n v="0.13639999999999999"/>
    <n v="0.69"/>
    <s v="High Humid"/>
    <n v="0.19400000000000001"/>
    <x v="11"/>
    <n v="39"/>
    <n v="44"/>
  </r>
  <r>
    <n v="933"/>
    <d v="2011-02-11T00:00:00"/>
    <n v="1"/>
    <n v="0"/>
    <n v="2"/>
    <n v="11"/>
    <b v="0"/>
    <n v="5"/>
    <x v="1"/>
    <n v="1"/>
    <n v="0.22"/>
    <s v="Cold"/>
    <n v="0.2273"/>
    <n v="0.47"/>
    <s v="High Humid"/>
    <n v="0.1343"/>
    <x v="5"/>
    <n v="52"/>
    <n v="64"/>
  </r>
  <r>
    <n v="934"/>
    <d v="2011-02-11T00:00:00"/>
    <n v="1"/>
    <n v="0"/>
    <n v="2"/>
    <n v="12"/>
    <b v="0"/>
    <n v="5"/>
    <x v="1"/>
    <n v="1"/>
    <n v="0.22"/>
    <s v="Cold"/>
    <n v="0.2273"/>
    <n v="0.47"/>
    <s v="High Humid"/>
    <n v="0.1343"/>
    <x v="15"/>
    <n v="64"/>
    <n v="71"/>
  </r>
  <r>
    <n v="935"/>
    <d v="2011-02-11T00:00:00"/>
    <n v="1"/>
    <n v="0"/>
    <n v="2"/>
    <n v="13"/>
    <b v="0"/>
    <n v="5"/>
    <x v="1"/>
    <n v="1"/>
    <n v="0.24"/>
    <s v="Cold"/>
    <n v="0.2273"/>
    <n v="0.35"/>
    <s v="High Humid"/>
    <n v="0.19400000000000001"/>
    <x v="24"/>
    <n v="89"/>
    <n v="110"/>
  </r>
  <r>
    <n v="936"/>
    <d v="2011-02-11T00:00:00"/>
    <n v="1"/>
    <n v="0"/>
    <n v="2"/>
    <n v="14"/>
    <b v="0"/>
    <n v="5"/>
    <x v="1"/>
    <n v="1"/>
    <n v="0.3"/>
    <s v="Cold"/>
    <n v="0.28789999999999999"/>
    <n v="0.26"/>
    <s v="Humid"/>
    <n v="0.25369999999999998"/>
    <x v="25"/>
    <n v="67"/>
    <n v="84"/>
  </r>
  <r>
    <n v="937"/>
    <d v="2011-02-11T00:00:00"/>
    <n v="1"/>
    <n v="0"/>
    <n v="2"/>
    <n v="15"/>
    <b v="0"/>
    <n v="5"/>
    <x v="1"/>
    <n v="1"/>
    <n v="0.32"/>
    <s v="Cold"/>
    <n v="0.31819999999999998"/>
    <n v="0.21"/>
    <s v="Humid"/>
    <n v="0.16420000000000001"/>
    <x v="5"/>
    <n v="62"/>
    <n v="74"/>
  </r>
  <r>
    <n v="938"/>
    <d v="2011-02-11T00:00:00"/>
    <n v="1"/>
    <n v="0"/>
    <n v="2"/>
    <n v="16"/>
    <b v="0"/>
    <n v="5"/>
    <x v="1"/>
    <n v="1"/>
    <n v="0.3"/>
    <s v="Cold"/>
    <n v="0.28789999999999999"/>
    <n v="0.28000000000000003"/>
    <s v="Humid"/>
    <n v="0.19400000000000001"/>
    <x v="14"/>
    <n v="111"/>
    <n v="125"/>
  </r>
  <r>
    <n v="939"/>
    <d v="2011-02-11T00:00:00"/>
    <n v="1"/>
    <n v="0"/>
    <n v="2"/>
    <n v="17"/>
    <b v="0"/>
    <n v="5"/>
    <x v="1"/>
    <n v="1"/>
    <n v="0.3"/>
    <s v="Cold"/>
    <n v="0.33329999999999999"/>
    <n v="0.24"/>
    <s v="Humid"/>
    <n v="0"/>
    <x v="26"/>
    <n v="193"/>
    <n v="211"/>
  </r>
  <r>
    <n v="940"/>
    <d v="2011-02-11T00:00:00"/>
    <n v="1"/>
    <n v="0"/>
    <n v="2"/>
    <n v="18"/>
    <b v="0"/>
    <n v="5"/>
    <x v="1"/>
    <n v="1"/>
    <n v="0.28000000000000003"/>
    <s v="Cold"/>
    <n v="0.31819999999999998"/>
    <n v="0.28000000000000003"/>
    <s v="Humid"/>
    <n v="0"/>
    <x v="6"/>
    <n v="165"/>
    <n v="174"/>
  </r>
  <r>
    <n v="941"/>
    <d v="2011-02-11T00:00:00"/>
    <n v="1"/>
    <n v="0"/>
    <n v="2"/>
    <n v="19"/>
    <b v="0"/>
    <n v="5"/>
    <x v="1"/>
    <n v="1"/>
    <n v="0.26"/>
    <s v="Cold"/>
    <n v="0.30299999999999999"/>
    <n v="0.33"/>
    <s v="High Humid"/>
    <n v="0"/>
    <x v="15"/>
    <n v="94"/>
    <n v="101"/>
  </r>
  <r>
    <n v="942"/>
    <d v="2011-02-11T00:00:00"/>
    <n v="1"/>
    <n v="0"/>
    <n v="2"/>
    <n v="20"/>
    <b v="0"/>
    <n v="5"/>
    <x v="1"/>
    <n v="1"/>
    <n v="0.22"/>
    <s v="Cold"/>
    <n v="0.2273"/>
    <n v="0.55000000000000004"/>
    <s v="High Humid"/>
    <n v="0.1343"/>
    <x v="0"/>
    <n v="61"/>
    <n v="63"/>
  </r>
  <r>
    <n v="943"/>
    <d v="2011-02-11T00:00:00"/>
    <n v="1"/>
    <n v="0"/>
    <n v="2"/>
    <n v="21"/>
    <b v="0"/>
    <n v="5"/>
    <x v="1"/>
    <n v="1"/>
    <n v="0.2"/>
    <s v="Cold"/>
    <n v="0.21210000000000001"/>
    <n v="0.59"/>
    <s v="High Humid"/>
    <n v="0.1343"/>
    <x v="3"/>
    <n v="46"/>
    <n v="47"/>
  </r>
  <r>
    <n v="944"/>
    <d v="2011-02-11T00:00:00"/>
    <n v="1"/>
    <n v="0"/>
    <n v="2"/>
    <n v="22"/>
    <b v="0"/>
    <n v="5"/>
    <x v="1"/>
    <n v="1"/>
    <n v="0.2"/>
    <s v="Cold"/>
    <n v="0.2273"/>
    <n v="0.64"/>
    <s v="High Humid"/>
    <n v="8.9599999999999999E-2"/>
    <x v="0"/>
    <n v="41"/>
    <n v="43"/>
  </r>
  <r>
    <n v="945"/>
    <d v="2011-02-11T00:00:00"/>
    <n v="1"/>
    <n v="0"/>
    <n v="2"/>
    <n v="23"/>
    <b v="0"/>
    <n v="5"/>
    <x v="1"/>
    <n v="1"/>
    <n v="0.18"/>
    <s v="Cold"/>
    <n v="0.2424"/>
    <n v="0.69"/>
    <s v="High Humid"/>
    <n v="0"/>
    <x v="11"/>
    <n v="48"/>
    <n v="53"/>
  </r>
  <r>
    <n v="736"/>
    <d v="2011-02-03T00:00:00"/>
    <n v="1"/>
    <n v="0"/>
    <n v="2"/>
    <n v="0"/>
    <b v="0"/>
    <n v="4"/>
    <x v="2"/>
    <n v="1"/>
    <n v="0.2"/>
    <s v="Cold"/>
    <n v="0.16669999999999999"/>
    <n v="0.4"/>
    <s v="High Humid"/>
    <n v="0.44779999999999998"/>
    <x v="3"/>
    <n v="11"/>
    <n v="12"/>
  </r>
  <r>
    <n v="737"/>
    <d v="2011-02-03T00:00:00"/>
    <n v="1"/>
    <n v="0"/>
    <n v="2"/>
    <n v="1"/>
    <b v="0"/>
    <n v="4"/>
    <x v="2"/>
    <n v="1"/>
    <n v="0.2"/>
    <s v="Cold"/>
    <n v="0.1515"/>
    <n v="0.44"/>
    <s v="High Humid"/>
    <n v="0.52239999999999998"/>
    <x v="1"/>
    <n v="5"/>
    <n v="5"/>
  </r>
  <r>
    <n v="738"/>
    <d v="2011-02-03T00:00:00"/>
    <n v="1"/>
    <n v="0"/>
    <n v="2"/>
    <n v="2"/>
    <b v="0"/>
    <n v="4"/>
    <x v="2"/>
    <n v="1"/>
    <n v="0.18"/>
    <s v="Cold"/>
    <n v="0.16669999999999999"/>
    <n v="0.43"/>
    <s v="High Humid"/>
    <n v="0.25369999999999998"/>
    <x v="1"/>
    <n v="2"/>
    <n v="2"/>
  </r>
  <r>
    <n v="739"/>
    <d v="2011-02-03T00:00:00"/>
    <n v="1"/>
    <n v="0"/>
    <n v="2"/>
    <n v="3"/>
    <b v="0"/>
    <n v="4"/>
    <x v="2"/>
    <n v="1"/>
    <n v="0.18"/>
    <s v="Cold"/>
    <n v="0.16669999999999999"/>
    <n v="0.43"/>
    <s v="High Humid"/>
    <n v="0.25369999999999998"/>
    <x v="1"/>
    <n v="1"/>
    <n v="1"/>
  </r>
  <r>
    <n v="740"/>
    <d v="2011-02-03T00:00:00"/>
    <n v="1"/>
    <n v="0"/>
    <n v="2"/>
    <n v="5"/>
    <b v="0"/>
    <n v="4"/>
    <x v="2"/>
    <n v="1"/>
    <n v="0.16"/>
    <s v="Cold"/>
    <n v="0.13639999999999999"/>
    <n v="0.5"/>
    <s v="High Humid"/>
    <n v="0.29849999999999999"/>
    <x v="1"/>
    <n v="2"/>
    <n v="2"/>
  </r>
  <r>
    <n v="741"/>
    <d v="2011-02-03T00:00:00"/>
    <n v="1"/>
    <n v="0"/>
    <n v="2"/>
    <n v="6"/>
    <b v="0"/>
    <n v="4"/>
    <x v="2"/>
    <n v="1"/>
    <n v="0.16"/>
    <s v="Cold"/>
    <n v="0.13639999999999999"/>
    <n v="0.43"/>
    <s v="High Humid"/>
    <n v="0.35820000000000002"/>
    <x v="1"/>
    <n v="39"/>
    <n v="39"/>
  </r>
  <r>
    <n v="742"/>
    <d v="2011-02-03T00:00:00"/>
    <n v="1"/>
    <n v="0"/>
    <n v="2"/>
    <n v="7"/>
    <b v="0"/>
    <n v="4"/>
    <x v="2"/>
    <n v="1"/>
    <n v="0.14000000000000001"/>
    <s v="Cold"/>
    <n v="0.1212"/>
    <n v="0.5"/>
    <s v="High Humid"/>
    <n v="0.32840000000000003"/>
    <x v="3"/>
    <n v="86"/>
    <n v="87"/>
  </r>
  <r>
    <n v="743"/>
    <d v="2011-02-03T00:00:00"/>
    <n v="1"/>
    <n v="0"/>
    <n v="2"/>
    <n v="8"/>
    <b v="0"/>
    <n v="4"/>
    <x v="2"/>
    <n v="1"/>
    <n v="0.14000000000000001"/>
    <s v="Cold"/>
    <n v="0.1212"/>
    <n v="0.5"/>
    <s v="High Humid"/>
    <n v="0.35820000000000002"/>
    <x v="4"/>
    <n v="184"/>
    <n v="188"/>
  </r>
  <r>
    <n v="744"/>
    <d v="2011-02-03T00:00:00"/>
    <n v="1"/>
    <n v="0"/>
    <n v="2"/>
    <n v="9"/>
    <b v="0"/>
    <n v="4"/>
    <x v="2"/>
    <n v="1"/>
    <n v="0.16"/>
    <s v="Cold"/>
    <n v="0.13639999999999999"/>
    <n v="0.47"/>
    <s v="High Humid"/>
    <n v="0.29849999999999999"/>
    <x v="10"/>
    <n v="127"/>
    <n v="133"/>
  </r>
  <r>
    <n v="745"/>
    <d v="2011-02-03T00:00:00"/>
    <n v="1"/>
    <n v="0"/>
    <n v="2"/>
    <n v="10"/>
    <b v="0"/>
    <n v="4"/>
    <x v="2"/>
    <n v="1"/>
    <n v="0.18"/>
    <s v="Cold"/>
    <n v="0.1515"/>
    <n v="0.43"/>
    <s v="High Humid"/>
    <n v="0.32840000000000003"/>
    <x v="0"/>
    <n v="50"/>
    <n v="52"/>
  </r>
  <r>
    <n v="746"/>
    <d v="2011-02-03T00:00:00"/>
    <n v="1"/>
    <n v="0"/>
    <n v="2"/>
    <n v="11"/>
    <b v="0"/>
    <n v="4"/>
    <x v="2"/>
    <n v="1"/>
    <n v="0.18"/>
    <s v="Cold"/>
    <n v="0.13639999999999999"/>
    <n v="0.43"/>
    <s v="High Humid"/>
    <n v="0.44779999999999998"/>
    <x v="6"/>
    <n v="55"/>
    <n v="64"/>
  </r>
  <r>
    <n v="747"/>
    <d v="2011-02-03T00:00:00"/>
    <n v="1"/>
    <n v="0"/>
    <n v="2"/>
    <n v="12"/>
    <b v="0"/>
    <n v="4"/>
    <x v="2"/>
    <n v="1"/>
    <n v="0.2"/>
    <s v="Cold"/>
    <n v="0.18179999999999999"/>
    <n v="0.4"/>
    <s v="High Humid"/>
    <n v="0.35820000000000002"/>
    <x v="0"/>
    <n v="67"/>
    <n v="69"/>
  </r>
  <r>
    <n v="748"/>
    <d v="2011-02-03T00:00:00"/>
    <n v="1"/>
    <n v="0"/>
    <n v="2"/>
    <n v="13"/>
    <b v="0"/>
    <n v="4"/>
    <x v="2"/>
    <n v="1"/>
    <n v="0.2"/>
    <s v="Cold"/>
    <n v="0.16669999999999999"/>
    <n v="0.4"/>
    <s v="High Humid"/>
    <n v="0.41789999999999999"/>
    <x v="4"/>
    <n v="47"/>
    <n v="51"/>
  </r>
  <r>
    <n v="749"/>
    <d v="2011-02-03T00:00:00"/>
    <n v="1"/>
    <n v="0"/>
    <n v="2"/>
    <n v="14"/>
    <b v="0"/>
    <n v="4"/>
    <x v="2"/>
    <n v="1"/>
    <n v="0.22"/>
    <s v="Cold"/>
    <n v="0.19700000000000001"/>
    <n v="0.37"/>
    <s v="High Humid"/>
    <n v="0.3881"/>
    <x v="4"/>
    <n v="43"/>
    <n v="47"/>
  </r>
  <r>
    <n v="750"/>
    <d v="2011-02-03T00:00:00"/>
    <n v="1"/>
    <n v="0"/>
    <n v="2"/>
    <n v="15"/>
    <b v="0"/>
    <n v="4"/>
    <x v="2"/>
    <n v="1"/>
    <n v="0.22"/>
    <s v="Cold"/>
    <n v="0.19700000000000001"/>
    <n v="0.37"/>
    <s v="High Humid"/>
    <n v="0.32840000000000003"/>
    <x v="4"/>
    <n v="56"/>
    <n v="60"/>
  </r>
  <r>
    <n v="751"/>
    <d v="2011-02-03T00:00:00"/>
    <n v="1"/>
    <n v="0"/>
    <n v="2"/>
    <n v="16"/>
    <b v="0"/>
    <n v="4"/>
    <x v="2"/>
    <n v="1"/>
    <n v="0.22"/>
    <s v="Cold"/>
    <n v="0.21210000000000001"/>
    <n v="0.37"/>
    <s v="High Humid"/>
    <n v="0.25369999999999998"/>
    <x v="11"/>
    <n v="73"/>
    <n v="78"/>
  </r>
  <r>
    <n v="752"/>
    <d v="2011-02-03T00:00:00"/>
    <n v="1"/>
    <n v="0"/>
    <n v="2"/>
    <n v="17"/>
    <b v="0"/>
    <n v="4"/>
    <x v="2"/>
    <n v="1"/>
    <n v="0.2"/>
    <s v="Cold"/>
    <n v="0.19700000000000001"/>
    <n v="0.4"/>
    <s v="High Humid"/>
    <n v="0.19400000000000001"/>
    <x v="11"/>
    <n v="170"/>
    <n v="175"/>
  </r>
  <r>
    <n v="753"/>
    <d v="2011-02-03T00:00:00"/>
    <n v="1"/>
    <n v="0"/>
    <n v="2"/>
    <n v="18"/>
    <b v="0"/>
    <n v="4"/>
    <x v="2"/>
    <n v="1"/>
    <n v="0.2"/>
    <s v="Cold"/>
    <n v="0.21210000000000001"/>
    <n v="0.4"/>
    <s v="High Humid"/>
    <n v="0.16420000000000001"/>
    <x v="0"/>
    <n v="145"/>
    <n v="147"/>
  </r>
  <r>
    <n v="754"/>
    <d v="2011-02-03T00:00:00"/>
    <n v="1"/>
    <n v="0"/>
    <n v="2"/>
    <n v="19"/>
    <b v="0"/>
    <n v="4"/>
    <x v="2"/>
    <n v="1"/>
    <n v="0.2"/>
    <s v="Cold"/>
    <n v="0.2576"/>
    <n v="0.4"/>
    <s v="High Humid"/>
    <n v="0"/>
    <x v="4"/>
    <n v="92"/>
    <n v="96"/>
  </r>
  <r>
    <n v="755"/>
    <d v="2011-02-03T00:00:00"/>
    <n v="1"/>
    <n v="0"/>
    <n v="2"/>
    <n v="20"/>
    <b v="0"/>
    <n v="4"/>
    <x v="2"/>
    <n v="1"/>
    <n v="0.2"/>
    <s v="Cold"/>
    <n v="0.2273"/>
    <n v="0.47"/>
    <s v="High Humid"/>
    <n v="8.9599999999999999E-2"/>
    <x v="3"/>
    <n v="108"/>
    <n v="109"/>
  </r>
  <r>
    <n v="756"/>
    <d v="2011-02-03T00:00:00"/>
    <n v="1"/>
    <n v="0"/>
    <n v="2"/>
    <n v="21"/>
    <b v="0"/>
    <n v="4"/>
    <x v="2"/>
    <n v="1"/>
    <n v="0.18"/>
    <s v="Cold"/>
    <n v="0.21210000000000001"/>
    <n v="0.55000000000000004"/>
    <s v="High Humid"/>
    <n v="0.1045"/>
    <x v="3"/>
    <n v="53"/>
    <n v="54"/>
  </r>
  <r>
    <n v="757"/>
    <d v="2011-02-03T00:00:00"/>
    <n v="1"/>
    <n v="0"/>
    <n v="2"/>
    <n v="22"/>
    <b v="0"/>
    <n v="4"/>
    <x v="2"/>
    <n v="1"/>
    <n v="0.18"/>
    <s v="Cold"/>
    <n v="0.21210000000000001"/>
    <n v="0.51"/>
    <s v="High Humid"/>
    <n v="8.9599999999999999E-2"/>
    <x v="0"/>
    <n v="39"/>
    <n v="41"/>
  </r>
  <r>
    <n v="758"/>
    <d v="2011-02-03T00:00:00"/>
    <n v="1"/>
    <n v="0"/>
    <n v="2"/>
    <n v="23"/>
    <b v="0"/>
    <n v="4"/>
    <x v="2"/>
    <n v="1"/>
    <n v="0.2"/>
    <s v="Cold"/>
    <n v="0.2273"/>
    <n v="0.47"/>
    <s v="High Humid"/>
    <n v="0.1045"/>
    <x v="4"/>
    <n v="34"/>
    <n v="38"/>
  </r>
  <r>
    <n v="901"/>
    <d v="2011-02-10T00:00:00"/>
    <n v="1"/>
    <n v="0"/>
    <n v="2"/>
    <n v="0"/>
    <b v="0"/>
    <n v="4"/>
    <x v="2"/>
    <n v="3"/>
    <n v="0.14000000000000001"/>
    <s v="Cold"/>
    <n v="0.13639999999999999"/>
    <n v="0.86"/>
    <s v="High Humid"/>
    <n v="0.19400000000000001"/>
    <x v="1"/>
    <n v="16"/>
    <n v="16"/>
  </r>
  <r>
    <n v="902"/>
    <d v="2011-02-10T00:00:00"/>
    <n v="1"/>
    <n v="0"/>
    <n v="2"/>
    <n v="1"/>
    <b v="0"/>
    <n v="4"/>
    <x v="2"/>
    <n v="3"/>
    <n v="0.14000000000000001"/>
    <s v="Cold"/>
    <n v="0.1515"/>
    <n v="0.8"/>
    <s v="High Humid"/>
    <n v="0.1343"/>
    <x v="1"/>
    <n v="7"/>
    <n v="7"/>
  </r>
  <r>
    <n v="903"/>
    <d v="2011-02-10T00:00:00"/>
    <n v="1"/>
    <n v="0"/>
    <n v="2"/>
    <n v="2"/>
    <b v="0"/>
    <n v="4"/>
    <x v="2"/>
    <n v="3"/>
    <n v="0.14000000000000001"/>
    <s v="Cold"/>
    <n v="0.1515"/>
    <n v="0.8"/>
    <s v="High Humid"/>
    <n v="0.1343"/>
    <x v="1"/>
    <n v="3"/>
    <n v="3"/>
  </r>
  <r>
    <n v="904"/>
    <d v="2011-02-10T00:00:00"/>
    <n v="1"/>
    <n v="0"/>
    <n v="2"/>
    <n v="4"/>
    <b v="0"/>
    <n v="4"/>
    <x v="2"/>
    <n v="2"/>
    <n v="0.14000000000000001"/>
    <s v="Cold"/>
    <n v="0.13639999999999999"/>
    <n v="0.59"/>
    <s v="High Humid"/>
    <n v="0.22389999999999999"/>
    <x v="1"/>
    <n v="1"/>
    <n v="1"/>
  </r>
  <r>
    <n v="905"/>
    <d v="2011-02-10T00:00:00"/>
    <n v="1"/>
    <n v="0"/>
    <n v="2"/>
    <n v="5"/>
    <b v="0"/>
    <n v="4"/>
    <x v="2"/>
    <n v="2"/>
    <n v="0.12"/>
    <s v="Cold"/>
    <n v="0.1212"/>
    <n v="0.5"/>
    <s v="High Humid"/>
    <n v="0.22389999999999999"/>
    <x v="1"/>
    <n v="6"/>
    <n v="6"/>
  </r>
  <r>
    <n v="906"/>
    <d v="2011-02-10T00:00:00"/>
    <n v="1"/>
    <n v="0"/>
    <n v="2"/>
    <n v="6"/>
    <b v="0"/>
    <n v="4"/>
    <x v="2"/>
    <n v="2"/>
    <n v="0.12"/>
    <s v="Cold"/>
    <n v="0.1212"/>
    <n v="0.54"/>
    <s v="High Humid"/>
    <n v="0.28360000000000002"/>
    <x v="1"/>
    <n v="26"/>
    <n v="26"/>
  </r>
  <r>
    <n v="907"/>
    <d v="2011-02-10T00:00:00"/>
    <n v="1"/>
    <n v="0"/>
    <n v="2"/>
    <n v="7"/>
    <b v="0"/>
    <n v="4"/>
    <x v="2"/>
    <n v="1"/>
    <n v="0.1"/>
    <s v="Cold"/>
    <n v="7.5800000000000006E-2"/>
    <n v="0.5"/>
    <s v="High Humid"/>
    <n v="0.41789999999999999"/>
    <x v="1"/>
    <n v="99"/>
    <n v="99"/>
  </r>
  <r>
    <n v="908"/>
    <d v="2011-02-10T00:00:00"/>
    <n v="1"/>
    <n v="0"/>
    <n v="2"/>
    <n v="8"/>
    <b v="0"/>
    <n v="4"/>
    <x v="2"/>
    <n v="1"/>
    <n v="0.1"/>
    <s v="Cold"/>
    <n v="7.5800000000000006E-2"/>
    <n v="0.49"/>
    <s v="High Humid"/>
    <n v="0.32840000000000003"/>
    <x v="11"/>
    <n v="173"/>
    <n v="178"/>
  </r>
  <r>
    <n v="909"/>
    <d v="2011-02-10T00:00:00"/>
    <n v="1"/>
    <n v="0"/>
    <n v="2"/>
    <n v="9"/>
    <b v="0"/>
    <n v="4"/>
    <x v="2"/>
    <n v="1"/>
    <n v="0.12"/>
    <s v="Cold"/>
    <n v="0.1061"/>
    <n v="0.42"/>
    <s v="High Humid"/>
    <n v="0.35820000000000002"/>
    <x v="3"/>
    <n v="121"/>
    <n v="122"/>
  </r>
  <r>
    <n v="910"/>
    <d v="2011-02-10T00:00:00"/>
    <n v="1"/>
    <n v="0"/>
    <n v="2"/>
    <n v="10"/>
    <b v="0"/>
    <n v="4"/>
    <x v="2"/>
    <n v="1"/>
    <n v="0.12"/>
    <s v="Cold"/>
    <n v="0.1061"/>
    <n v="0.42"/>
    <s v="High Humid"/>
    <n v="0.29849999999999999"/>
    <x v="3"/>
    <n v="34"/>
    <n v="35"/>
  </r>
  <r>
    <n v="911"/>
    <d v="2011-02-10T00:00:00"/>
    <n v="1"/>
    <n v="0"/>
    <n v="2"/>
    <n v="11"/>
    <b v="0"/>
    <n v="4"/>
    <x v="2"/>
    <n v="1"/>
    <n v="0.14000000000000001"/>
    <s v="Cold"/>
    <n v="0.1212"/>
    <n v="0.39"/>
    <s v="High Humid"/>
    <n v="0.35820000000000002"/>
    <x v="3"/>
    <n v="44"/>
    <n v="45"/>
  </r>
  <r>
    <n v="912"/>
    <d v="2011-02-10T00:00:00"/>
    <n v="1"/>
    <n v="0"/>
    <n v="2"/>
    <n v="12"/>
    <b v="0"/>
    <n v="4"/>
    <x v="2"/>
    <n v="1"/>
    <n v="0.16"/>
    <s v="Cold"/>
    <n v="0.13639999999999999"/>
    <n v="0.34"/>
    <s v="High Humid"/>
    <n v="0.3881"/>
    <x v="4"/>
    <n v="65"/>
    <n v="69"/>
  </r>
  <r>
    <n v="913"/>
    <d v="2011-02-10T00:00:00"/>
    <n v="1"/>
    <n v="0"/>
    <n v="2"/>
    <n v="13"/>
    <b v="0"/>
    <n v="4"/>
    <x v="2"/>
    <n v="1"/>
    <n v="0.18"/>
    <s v="Cold"/>
    <n v="0.16669999999999999"/>
    <n v="0.28999999999999998"/>
    <s v="Humid"/>
    <n v="0.29849999999999999"/>
    <x v="2"/>
    <n v="59"/>
    <n v="62"/>
  </r>
  <r>
    <n v="914"/>
    <d v="2011-02-10T00:00:00"/>
    <n v="1"/>
    <n v="0"/>
    <n v="2"/>
    <n v="14"/>
    <b v="0"/>
    <n v="4"/>
    <x v="2"/>
    <n v="1"/>
    <n v="0.2"/>
    <s v="Cold"/>
    <n v="0.18179999999999999"/>
    <n v="0.27"/>
    <s v="Humid"/>
    <n v="0.28360000000000002"/>
    <x v="10"/>
    <n v="42"/>
    <n v="48"/>
  </r>
  <r>
    <n v="915"/>
    <d v="2011-02-10T00:00:00"/>
    <n v="1"/>
    <n v="0"/>
    <n v="2"/>
    <n v="15"/>
    <b v="0"/>
    <n v="4"/>
    <x v="2"/>
    <n v="1"/>
    <n v="0.2"/>
    <s v="Cold"/>
    <n v="0.19700000000000001"/>
    <n v="0.25"/>
    <s v="Humid"/>
    <n v="0.25369999999999998"/>
    <x v="1"/>
    <n v="50"/>
    <n v="50"/>
  </r>
  <r>
    <n v="916"/>
    <d v="2011-02-10T00:00:00"/>
    <n v="1"/>
    <n v="0"/>
    <n v="2"/>
    <n v="16"/>
    <b v="0"/>
    <n v="4"/>
    <x v="2"/>
    <n v="1"/>
    <n v="0.2"/>
    <s v="Cold"/>
    <n v="0.18179999999999999"/>
    <n v="0.27"/>
    <s v="Humid"/>
    <n v="0.29849999999999999"/>
    <x v="4"/>
    <n v="76"/>
    <n v="80"/>
  </r>
  <r>
    <n v="917"/>
    <d v="2011-02-10T00:00:00"/>
    <n v="1"/>
    <n v="0"/>
    <n v="2"/>
    <n v="17"/>
    <b v="0"/>
    <n v="4"/>
    <x v="2"/>
    <n v="1"/>
    <n v="0.18"/>
    <s v="Cold"/>
    <n v="0.18179999999999999"/>
    <n v="0.26"/>
    <s v="Humid"/>
    <n v="0.19400000000000001"/>
    <x v="10"/>
    <n v="159"/>
    <n v="165"/>
  </r>
  <r>
    <n v="918"/>
    <d v="2011-02-10T00:00:00"/>
    <n v="1"/>
    <n v="0"/>
    <n v="2"/>
    <n v="18"/>
    <b v="0"/>
    <n v="4"/>
    <x v="2"/>
    <n v="1"/>
    <n v="0.16"/>
    <s v="Cold"/>
    <n v="0.18179999999999999"/>
    <n v="0.28000000000000003"/>
    <s v="Humid"/>
    <n v="0.1343"/>
    <x v="2"/>
    <n v="157"/>
    <n v="160"/>
  </r>
  <r>
    <n v="919"/>
    <d v="2011-02-10T00:00:00"/>
    <n v="1"/>
    <n v="0"/>
    <n v="2"/>
    <n v="19"/>
    <b v="0"/>
    <n v="4"/>
    <x v="2"/>
    <n v="1"/>
    <n v="0.14000000000000001"/>
    <s v="Cold"/>
    <n v="0.16669999999999999"/>
    <n v="0.28000000000000003"/>
    <s v="Humid"/>
    <n v="0.1045"/>
    <x v="0"/>
    <n v="110"/>
    <n v="112"/>
  </r>
  <r>
    <n v="920"/>
    <d v="2011-02-10T00:00:00"/>
    <n v="1"/>
    <n v="0"/>
    <n v="2"/>
    <n v="20"/>
    <b v="0"/>
    <n v="4"/>
    <x v="2"/>
    <n v="1"/>
    <n v="0.14000000000000001"/>
    <s v="Cold"/>
    <n v="0.18179999999999999"/>
    <n v="0.31"/>
    <s v="High Humid"/>
    <n v="8.9599999999999999E-2"/>
    <x v="4"/>
    <n v="93"/>
    <n v="97"/>
  </r>
  <r>
    <n v="921"/>
    <d v="2011-02-10T00:00:00"/>
    <n v="1"/>
    <n v="0"/>
    <n v="2"/>
    <n v="21"/>
    <b v="0"/>
    <n v="4"/>
    <x v="2"/>
    <n v="1"/>
    <n v="0.14000000000000001"/>
    <s v="Cold"/>
    <n v="0.21210000000000001"/>
    <n v="0.39"/>
    <s v="High Humid"/>
    <n v="0"/>
    <x v="0"/>
    <n v="70"/>
    <n v="72"/>
  </r>
  <r>
    <n v="922"/>
    <d v="2011-02-10T00:00:00"/>
    <n v="1"/>
    <n v="0"/>
    <n v="2"/>
    <n v="22"/>
    <b v="0"/>
    <n v="4"/>
    <x v="2"/>
    <n v="1"/>
    <n v="0.12"/>
    <s v="Cold"/>
    <n v="0.19700000000000001"/>
    <n v="0.39"/>
    <s v="High Humid"/>
    <n v="0"/>
    <x v="4"/>
    <n v="47"/>
    <n v="51"/>
  </r>
  <r>
    <n v="923"/>
    <d v="2011-02-10T00:00:00"/>
    <n v="1"/>
    <n v="0"/>
    <n v="2"/>
    <n v="23"/>
    <b v="0"/>
    <n v="4"/>
    <x v="2"/>
    <n v="1"/>
    <n v="0.12"/>
    <s v="Cold"/>
    <n v="0.1515"/>
    <n v="0.42"/>
    <s v="High Humid"/>
    <n v="0.1045"/>
    <x v="3"/>
    <n v="33"/>
    <n v="34"/>
  </r>
  <r>
    <n v="712"/>
    <d v="2011-02-02T00:00:00"/>
    <n v="1"/>
    <n v="0"/>
    <n v="2"/>
    <n v="0"/>
    <b v="0"/>
    <n v="3"/>
    <x v="3"/>
    <n v="3"/>
    <n v="0.22"/>
    <s v="Cold"/>
    <n v="0.2424"/>
    <n v="0.93"/>
    <s v="High Humid"/>
    <n v="0.1045"/>
    <x v="1"/>
    <n v="2"/>
    <n v="2"/>
  </r>
  <r>
    <n v="713"/>
    <d v="2011-02-02T00:00:00"/>
    <n v="1"/>
    <n v="0"/>
    <n v="2"/>
    <n v="1"/>
    <b v="0"/>
    <n v="3"/>
    <x v="3"/>
    <n v="3"/>
    <n v="0.22"/>
    <s v="Cold"/>
    <n v="0.2273"/>
    <n v="0.93"/>
    <s v="High Humid"/>
    <n v="0.19400000000000001"/>
    <x v="1"/>
    <n v="3"/>
    <n v="3"/>
  </r>
  <r>
    <n v="714"/>
    <d v="2011-02-02T00:00:00"/>
    <n v="1"/>
    <n v="0"/>
    <n v="2"/>
    <n v="2"/>
    <b v="0"/>
    <n v="3"/>
    <x v="3"/>
    <n v="3"/>
    <n v="0.22"/>
    <s v="Cold"/>
    <n v="0.2273"/>
    <n v="0.93"/>
    <s v="High Humid"/>
    <n v="0.1343"/>
    <x v="4"/>
    <n v="0"/>
    <n v="4"/>
  </r>
  <r>
    <n v="715"/>
    <d v="2011-02-02T00:00:00"/>
    <n v="1"/>
    <n v="0"/>
    <n v="2"/>
    <n v="3"/>
    <b v="0"/>
    <n v="3"/>
    <x v="3"/>
    <n v="3"/>
    <n v="0.22"/>
    <s v="Cold"/>
    <n v="0.2273"/>
    <n v="0.93"/>
    <s v="High Humid"/>
    <n v="0.1343"/>
    <x v="1"/>
    <n v="1"/>
    <n v="1"/>
  </r>
  <r>
    <n v="716"/>
    <d v="2011-02-02T00:00:00"/>
    <n v="1"/>
    <n v="0"/>
    <n v="2"/>
    <n v="4"/>
    <b v="0"/>
    <n v="3"/>
    <x v="3"/>
    <n v="3"/>
    <n v="0.22"/>
    <s v="Cold"/>
    <n v="0.21210000000000001"/>
    <n v="0.93"/>
    <s v="High Humid"/>
    <n v="0.28360000000000002"/>
    <x v="1"/>
    <n v="1"/>
    <n v="1"/>
  </r>
  <r>
    <n v="717"/>
    <d v="2011-02-02T00:00:00"/>
    <n v="1"/>
    <n v="0"/>
    <n v="2"/>
    <n v="5"/>
    <b v="0"/>
    <n v="3"/>
    <x v="3"/>
    <n v="3"/>
    <n v="0.22"/>
    <s v="Cold"/>
    <n v="0.2424"/>
    <n v="0.93"/>
    <s v="High Humid"/>
    <n v="0.1045"/>
    <x v="1"/>
    <n v="3"/>
    <n v="3"/>
  </r>
  <r>
    <n v="718"/>
    <d v="2011-02-02T00:00:00"/>
    <n v="1"/>
    <n v="0"/>
    <n v="2"/>
    <n v="6"/>
    <b v="0"/>
    <n v="3"/>
    <x v="3"/>
    <n v="3"/>
    <n v="0.22"/>
    <s v="Cold"/>
    <n v="0.2424"/>
    <n v="0.93"/>
    <s v="High Humid"/>
    <n v="0.1045"/>
    <x v="3"/>
    <n v="17"/>
    <n v="18"/>
  </r>
  <r>
    <n v="719"/>
    <d v="2011-02-02T00:00:00"/>
    <n v="1"/>
    <n v="0"/>
    <n v="2"/>
    <n v="7"/>
    <b v="0"/>
    <n v="3"/>
    <x v="3"/>
    <n v="3"/>
    <n v="0.22"/>
    <s v="Cold"/>
    <n v="0.21210000000000001"/>
    <n v="0.93"/>
    <s v="High Humid"/>
    <n v="0.22389999999999999"/>
    <x v="3"/>
    <n v="48"/>
    <n v="49"/>
  </r>
  <r>
    <n v="720"/>
    <d v="2011-02-02T00:00:00"/>
    <n v="1"/>
    <n v="0"/>
    <n v="2"/>
    <n v="8"/>
    <b v="0"/>
    <n v="3"/>
    <x v="3"/>
    <n v="3"/>
    <n v="0.22"/>
    <s v="Cold"/>
    <n v="0.21210000000000001"/>
    <n v="0.93"/>
    <s v="High Humid"/>
    <n v="0.22389999999999999"/>
    <x v="3"/>
    <n v="154"/>
    <n v="155"/>
  </r>
  <r>
    <n v="721"/>
    <d v="2011-02-02T00:00:00"/>
    <n v="1"/>
    <n v="0"/>
    <n v="2"/>
    <n v="9"/>
    <b v="0"/>
    <n v="3"/>
    <x v="3"/>
    <n v="2"/>
    <n v="0.24"/>
    <s v="Cold"/>
    <n v="0.2576"/>
    <n v="0.93"/>
    <s v="High Humid"/>
    <n v="8.9599999999999999E-2"/>
    <x v="4"/>
    <n v="119"/>
    <n v="123"/>
  </r>
  <r>
    <n v="722"/>
    <d v="2011-02-02T00:00:00"/>
    <n v="1"/>
    <n v="0"/>
    <n v="2"/>
    <n v="10"/>
    <b v="0"/>
    <n v="3"/>
    <x v="3"/>
    <n v="2"/>
    <n v="0.22"/>
    <s v="Cold"/>
    <n v="0.2727"/>
    <n v="1"/>
    <s v="High Humid"/>
    <n v="0"/>
    <x v="0"/>
    <n v="59"/>
    <n v="61"/>
  </r>
  <r>
    <n v="723"/>
    <d v="2011-02-02T00:00:00"/>
    <n v="1"/>
    <n v="0"/>
    <n v="2"/>
    <n v="11"/>
    <b v="0"/>
    <n v="3"/>
    <x v="3"/>
    <n v="2"/>
    <n v="0.24"/>
    <s v="Cold"/>
    <n v="0.2273"/>
    <n v="0.93"/>
    <s v="High Humid"/>
    <n v="0.19400000000000001"/>
    <x v="11"/>
    <n v="47"/>
    <n v="52"/>
  </r>
  <r>
    <n v="724"/>
    <d v="2011-02-02T00:00:00"/>
    <n v="1"/>
    <n v="0"/>
    <n v="2"/>
    <n v="12"/>
    <b v="0"/>
    <n v="3"/>
    <x v="3"/>
    <n v="2"/>
    <n v="0.24"/>
    <s v="Cold"/>
    <n v="0.2273"/>
    <n v="0.93"/>
    <s v="High Humid"/>
    <n v="0.22389999999999999"/>
    <x v="2"/>
    <n v="61"/>
    <n v="64"/>
  </r>
  <r>
    <n v="725"/>
    <d v="2011-02-02T00:00:00"/>
    <n v="1"/>
    <n v="0"/>
    <n v="2"/>
    <n v="13"/>
    <b v="0"/>
    <n v="3"/>
    <x v="3"/>
    <n v="1"/>
    <n v="0.34"/>
    <s v="Cold"/>
    <n v="0.33329999999999999"/>
    <n v="0.93"/>
    <s v="High Humid"/>
    <n v="0.16420000000000001"/>
    <x v="3"/>
    <n v="74"/>
    <n v="75"/>
  </r>
  <r>
    <n v="726"/>
    <d v="2011-02-02T00:00:00"/>
    <n v="1"/>
    <n v="0"/>
    <n v="2"/>
    <n v="14"/>
    <b v="0"/>
    <n v="3"/>
    <x v="3"/>
    <n v="1"/>
    <n v="0.38"/>
    <s v="Cold"/>
    <n v="0.39389999999999997"/>
    <n v="0.82"/>
    <s v="High Humid"/>
    <n v="0.3881"/>
    <x v="0"/>
    <n v="61"/>
    <n v="63"/>
  </r>
  <r>
    <n v="727"/>
    <d v="2011-02-02T00:00:00"/>
    <n v="1"/>
    <n v="0"/>
    <n v="2"/>
    <n v="15"/>
    <b v="0"/>
    <n v="3"/>
    <x v="3"/>
    <n v="1"/>
    <n v="0.38"/>
    <s v="Cold"/>
    <n v="0.39389999999999997"/>
    <n v="0.76"/>
    <s v="High Humid"/>
    <n v="0.32840000000000003"/>
    <x v="7"/>
    <n v="66"/>
    <n v="76"/>
  </r>
  <r>
    <n v="728"/>
    <d v="2011-02-02T00:00:00"/>
    <n v="1"/>
    <n v="0"/>
    <n v="2"/>
    <n v="16"/>
    <b v="0"/>
    <n v="3"/>
    <x v="3"/>
    <n v="1"/>
    <n v="0.36"/>
    <s v="Cold"/>
    <n v="0.33329999999999999"/>
    <n v="0.71"/>
    <s v="High Humid"/>
    <n v="0.29849999999999999"/>
    <x v="13"/>
    <n v="95"/>
    <n v="103"/>
  </r>
  <r>
    <n v="729"/>
    <d v="2011-02-02T00:00:00"/>
    <n v="1"/>
    <n v="0"/>
    <n v="2"/>
    <n v="17"/>
    <b v="0"/>
    <n v="3"/>
    <x v="3"/>
    <n v="1"/>
    <n v="0.36"/>
    <s v="Cold"/>
    <n v="0.31819999999999998"/>
    <n v="0.53"/>
    <s v="High Humid"/>
    <n v="0.52239999999999998"/>
    <x v="15"/>
    <n v="183"/>
    <n v="190"/>
  </r>
  <r>
    <n v="730"/>
    <d v="2011-02-02T00:00:00"/>
    <n v="1"/>
    <n v="0"/>
    <n v="2"/>
    <n v="18"/>
    <b v="0"/>
    <n v="3"/>
    <x v="3"/>
    <n v="1"/>
    <n v="0.34"/>
    <s v="Cold"/>
    <n v="0.28789999999999999"/>
    <n v="0.42"/>
    <s v="High Humid"/>
    <n v="0.55220000000000002"/>
    <x v="15"/>
    <n v="175"/>
    <n v="182"/>
  </r>
  <r>
    <n v="731"/>
    <d v="2011-02-02T00:00:00"/>
    <n v="1"/>
    <n v="0"/>
    <n v="2"/>
    <n v="19"/>
    <b v="0"/>
    <n v="3"/>
    <x v="3"/>
    <n v="1"/>
    <n v="0.28000000000000003"/>
    <s v="Cold"/>
    <n v="0.2424"/>
    <n v="0.45"/>
    <s v="High Humid"/>
    <n v="0.49249999999999999"/>
    <x v="2"/>
    <n v="88"/>
    <n v="91"/>
  </r>
  <r>
    <n v="732"/>
    <d v="2011-02-02T00:00:00"/>
    <n v="1"/>
    <n v="0"/>
    <n v="2"/>
    <n v="20"/>
    <b v="0"/>
    <n v="3"/>
    <x v="3"/>
    <n v="1"/>
    <n v="0.24"/>
    <s v="Cold"/>
    <n v="0.19700000000000001"/>
    <n v="0.48"/>
    <s v="High Humid"/>
    <n v="0.55220000000000002"/>
    <x v="4"/>
    <n v="71"/>
    <n v="75"/>
  </r>
  <r>
    <n v="733"/>
    <d v="2011-02-02T00:00:00"/>
    <n v="1"/>
    <n v="0"/>
    <n v="2"/>
    <n v="21"/>
    <b v="0"/>
    <n v="3"/>
    <x v="3"/>
    <n v="1"/>
    <n v="0.22"/>
    <s v="Cold"/>
    <n v="0.19700000000000001"/>
    <n v="0.47"/>
    <s v="High Humid"/>
    <n v="0.32840000000000003"/>
    <x v="3"/>
    <n v="62"/>
    <n v="63"/>
  </r>
  <r>
    <n v="734"/>
    <d v="2011-02-02T00:00:00"/>
    <n v="1"/>
    <n v="0"/>
    <n v="2"/>
    <n v="22"/>
    <b v="0"/>
    <n v="3"/>
    <x v="3"/>
    <n v="1"/>
    <n v="0.22"/>
    <s v="Cold"/>
    <n v="0.21210000000000001"/>
    <n v="0.44"/>
    <s v="High Humid"/>
    <n v="0.25369999999999998"/>
    <x v="11"/>
    <n v="35"/>
    <n v="40"/>
  </r>
  <r>
    <n v="735"/>
    <d v="2011-02-02T00:00:00"/>
    <n v="1"/>
    <n v="0"/>
    <n v="2"/>
    <n v="23"/>
    <b v="0"/>
    <n v="3"/>
    <x v="3"/>
    <n v="1"/>
    <n v="0.2"/>
    <s v="Cold"/>
    <n v="0.16669999999999999"/>
    <n v="0.44"/>
    <s v="High Humid"/>
    <n v="0.44779999999999998"/>
    <x v="2"/>
    <n v="29"/>
    <n v="32"/>
  </r>
  <r>
    <n v="878"/>
    <d v="2011-02-09T00:00:00"/>
    <n v="1"/>
    <n v="0"/>
    <n v="2"/>
    <n v="0"/>
    <b v="0"/>
    <n v="3"/>
    <x v="3"/>
    <n v="1"/>
    <n v="0.1"/>
    <s v="Cold"/>
    <n v="7.5800000000000006E-2"/>
    <n v="0.36"/>
    <s v="High Humid"/>
    <n v="0.35820000000000002"/>
    <x v="1"/>
    <n v="17"/>
    <n v="17"/>
  </r>
  <r>
    <n v="879"/>
    <d v="2011-02-09T00:00:00"/>
    <n v="1"/>
    <n v="0"/>
    <n v="2"/>
    <n v="1"/>
    <b v="0"/>
    <n v="3"/>
    <x v="3"/>
    <n v="1"/>
    <n v="0.1"/>
    <s v="Cold"/>
    <n v="0.1061"/>
    <n v="0.36"/>
    <s v="High Humid"/>
    <n v="0.22389999999999999"/>
    <x v="1"/>
    <n v="7"/>
    <n v="7"/>
  </r>
  <r>
    <n v="880"/>
    <d v="2011-02-09T00:00:00"/>
    <n v="1"/>
    <n v="0"/>
    <n v="2"/>
    <n v="2"/>
    <b v="0"/>
    <n v="3"/>
    <x v="3"/>
    <n v="1"/>
    <n v="0.08"/>
    <s v="Cold"/>
    <n v="7.5800000000000006E-2"/>
    <n v="0.38"/>
    <s v="High Humid"/>
    <n v="0.28360000000000002"/>
    <x v="3"/>
    <n v="2"/>
    <n v="3"/>
  </r>
  <r>
    <n v="881"/>
    <d v="2011-02-09T00:00:00"/>
    <n v="1"/>
    <n v="0"/>
    <n v="2"/>
    <n v="3"/>
    <b v="0"/>
    <n v="3"/>
    <x v="3"/>
    <n v="1"/>
    <n v="0.06"/>
    <s v="Cold"/>
    <n v="7.5800000000000006E-2"/>
    <n v="0.45"/>
    <s v="High Humid"/>
    <n v="0.1343"/>
    <x v="1"/>
    <n v="2"/>
    <n v="2"/>
  </r>
  <r>
    <n v="882"/>
    <d v="2011-02-09T00:00:00"/>
    <n v="1"/>
    <n v="0"/>
    <n v="2"/>
    <n v="5"/>
    <b v="0"/>
    <n v="3"/>
    <x v="3"/>
    <n v="1"/>
    <n v="0.06"/>
    <s v="Cold"/>
    <n v="0.1061"/>
    <n v="0.45"/>
    <s v="High Humid"/>
    <n v="0.1045"/>
    <x v="1"/>
    <n v="7"/>
    <n v="7"/>
  </r>
  <r>
    <n v="883"/>
    <d v="2011-02-09T00:00:00"/>
    <n v="1"/>
    <n v="0"/>
    <n v="2"/>
    <n v="6"/>
    <b v="0"/>
    <n v="3"/>
    <x v="3"/>
    <n v="1"/>
    <n v="0.06"/>
    <s v="Cold"/>
    <n v="0.1515"/>
    <n v="0.45"/>
    <s v="High Humid"/>
    <n v="0"/>
    <x v="1"/>
    <n v="43"/>
    <n v="43"/>
  </r>
  <r>
    <n v="884"/>
    <d v="2011-02-09T00:00:00"/>
    <n v="1"/>
    <n v="0"/>
    <n v="2"/>
    <n v="7"/>
    <b v="0"/>
    <n v="3"/>
    <x v="3"/>
    <n v="1"/>
    <n v="0.06"/>
    <s v="Cold"/>
    <n v="0.1061"/>
    <n v="0.49"/>
    <s v="High Humid"/>
    <n v="0.1045"/>
    <x v="4"/>
    <n v="95"/>
    <n v="99"/>
  </r>
  <r>
    <n v="885"/>
    <d v="2011-02-09T00:00:00"/>
    <n v="1"/>
    <n v="0"/>
    <n v="2"/>
    <n v="8"/>
    <b v="0"/>
    <n v="3"/>
    <x v="3"/>
    <n v="1"/>
    <n v="0.1"/>
    <s v="Cold"/>
    <n v="0.13639999999999999"/>
    <n v="0.42"/>
    <s v="High Humid"/>
    <n v="0"/>
    <x v="3"/>
    <n v="198"/>
    <n v="199"/>
  </r>
  <r>
    <n v="886"/>
    <d v="2011-02-09T00:00:00"/>
    <n v="1"/>
    <n v="0"/>
    <n v="2"/>
    <n v="9"/>
    <b v="0"/>
    <n v="3"/>
    <x v="3"/>
    <n v="1"/>
    <n v="0.12"/>
    <s v="Cold"/>
    <n v="0.13639999999999999"/>
    <n v="0.39"/>
    <s v="High Humid"/>
    <n v="0.16420000000000001"/>
    <x v="4"/>
    <n v="119"/>
    <n v="123"/>
  </r>
  <r>
    <n v="887"/>
    <d v="2011-02-09T00:00:00"/>
    <n v="1"/>
    <n v="0"/>
    <n v="2"/>
    <n v="10"/>
    <b v="0"/>
    <n v="3"/>
    <x v="3"/>
    <n v="1"/>
    <n v="0.14000000000000001"/>
    <s v="Cold"/>
    <n v="0.18179999999999999"/>
    <n v="0.36"/>
    <s v="High Humid"/>
    <n v="0"/>
    <x v="13"/>
    <n v="51"/>
    <n v="59"/>
  </r>
  <r>
    <n v="888"/>
    <d v="2011-02-09T00:00:00"/>
    <n v="1"/>
    <n v="0"/>
    <n v="2"/>
    <n v="11"/>
    <b v="0"/>
    <n v="3"/>
    <x v="3"/>
    <n v="2"/>
    <n v="0.14000000000000001"/>
    <s v="Cold"/>
    <n v="0.1515"/>
    <n v="0.43"/>
    <s v="High Humid"/>
    <n v="0.16420000000000001"/>
    <x v="3"/>
    <n v="40"/>
    <n v="41"/>
  </r>
  <r>
    <n v="889"/>
    <d v="2011-02-09T00:00:00"/>
    <n v="1"/>
    <n v="0"/>
    <n v="2"/>
    <n v="12"/>
    <b v="0"/>
    <n v="3"/>
    <x v="3"/>
    <n v="2"/>
    <n v="0.18"/>
    <s v="Cold"/>
    <n v="0.18179999999999999"/>
    <n v="0.4"/>
    <s v="High Humid"/>
    <n v="0.22389999999999999"/>
    <x v="4"/>
    <n v="57"/>
    <n v="61"/>
  </r>
  <r>
    <n v="890"/>
    <d v="2011-02-09T00:00:00"/>
    <n v="1"/>
    <n v="0"/>
    <n v="2"/>
    <n v="13"/>
    <b v="0"/>
    <n v="3"/>
    <x v="3"/>
    <n v="1"/>
    <n v="0.18"/>
    <s v="Cold"/>
    <n v="0.16669999999999999"/>
    <n v="0.4"/>
    <s v="High Humid"/>
    <n v="0.25369999999999998"/>
    <x v="0"/>
    <n v="67"/>
    <n v="69"/>
  </r>
  <r>
    <n v="891"/>
    <d v="2011-02-09T00:00:00"/>
    <n v="1"/>
    <n v="0"/>
    <n v="2"/>
    <n v="14"/>
    <b v="0"/>
    <n v="3"/>
    <x v="3"/>
    <n v="1"/>
    <n v="0.2"/>
    <s v="Cold"/>
    <n v="0.18179999999999999"/>
    <n v="0.34"/>
    <s v="High Humid"/>
    <n v="0.29849999999999999"/>
    <x v="0"/>
    <n v="56"/>
    <n v="58"/>
  </r>
  <r>
    <n v="892"/>
    <d v="2011-02-09T00:00:00"/>
    <n v="1"/>
    <n v="0"/>
    <n v="2"/>
    <n v="15"/>
    <b v="0"/>
    <n v="3"/>
    <x v="3"/>
    <n v="2"/>
    <n v="0.2"/>
    <s v="Cold"/>
    <n v="0.18179999999999999"/>
    <n v="0.34"/>
    <s v="High Humid"/>
    <n v="0.28360000000000002"/>
    <x v="2"/>
    <n v="61"/>
    <n v="64"/>
  </r>
  <r>
    <n v="893"/>
    <d v="2011-02-09T00:00:00"/>
    <n v="1"/>
    <n v="0"/>
    <n v="2"/>
    <n v="16"/>
    <b v="0"/>
    <n v="3"/>
    <x v="3"/>
    <n v="2"/>
    <n v="0.2"/>
    <s v="Cold"/>
    <n v="0.19700000000000001"/>
    <n v="0.37"/>
    <s v="High Humid"/>
    <n v="0.25369999999999998"/>
    <x v="15"/>
    <n v="72"/>
    <n v="79"/>
  </r>
  <r>
    <n v="894"/>
    <d v="2011-02-09T00:00:00"/>
    <n v="1"/>
    <n v="0"/>
    <n v="2"/>
    <n v="17"/>
    <b v="0"/>
    <n v="3"/>
    <x v="3"/>
    <n v="2"/>
    <n v="0.2"/>
    <s v="Cold"/>
    <n v="0.19700000000000001"/>
    <n v="0.34"/>
    <s v="High Humid"/>
    <n v="0.25369999999999998"/>
    <x v="6"/>
    <n v="157"/>
    <n v="166"/>
  </r>
  <r>
    <n v="895"/>
    <d v="2011-02-09T00:00:00"/>
    <n v="1"/>
    <n v="0"/>
    <n v="2"/>
    <n v="18"/>
    <b v="0"/>
    <n v="3"/>
    <x v="3"/>
    <n v="2"/>
    <n v="0.18"/>
    <s v="Cold"/>
    <n v="0.16669999999999999"/>
    <n v="0.47"/>
    <s v="High Humid"/>
    <n v="0.29849999999999999"/>
    <x v="0"/>
    <n v="168"/>
    <n v="170"/>
  </r>
  <r>
    <n v="896"/>
    <d v="2011-02-09T00:00:00"/>
    <n v="1"/>
    <n v="0"/>
    <n v="2"/>
    <n v="19"/>
    <b v="0"/>
    <n v="3"/>
    <x v="3"/>
    <n v="3"/>
    <n v="0.14000000000000001"/>
    <s v="Cold"/>
    <n v="0.1212"/>
    <n v="0.86"/>
    <s v="High Humid"/>
    <n v="0.25369999999999998"/>
    <x v="3"/>
    <n v="87"/>
    <n v="88"/>
  </r>
  <r>
    <n v="897"/>
    <d v="2011-02-09T00:00:00"/>
    <n v="1"/>
    <n v="0"/>
    <n v="2"/>
    <n v="20"/>
    <b v="0"/>
    <n v="3"/>
    <x v="3"/>
    <n v="3"/>
    <n v="0.14000000000000001"/>
    <s v="Cold"/>
    <n v="0.1515"/>
    <n v="0.86"/>
    <s v="High Humid"/>
    <n v="0.16420000000000001"/>
    <x v="1"/>
    <n v="84"/>
    <n v="84"/>
  </r>
  <r>
    <n v="898"/>
    <d v="2011-02-09T00:00:00"/>
    <n v="1"/>
    <n v="0"/>
    <n v="2"/>
    <n v="21"/>
    <b v="0"/>
    <n v="3"/>
    <x v="3"/>
    <n v="2"/>
    <n v="0.14000000000000001"/>
    <s v="Cold"/>
    <n v="0.1515"/>
    <n v="0.86"/>
    <s v="High Humid"/>
    <n v="0.16420000000000001"/>
    <x v="1"/>
    <n v="83"/>
    <n v="83"/>
  </r>
  <r>
    <n v="899"/>
    <d v="2011-02-09T00:00:00"/>
    <n v="1"/>
    <n v="0"/>
    <n v="2"/>
    <n v="22"/>
    <b v="0"/>
    <n v="3"/>
    <x v="3"/>
    <n v="3"/>
    <n v="0.16"/>
    <s v="Cold"/>
    <n v="0.16669999999999999"/>
    <n v="0.8"/>
    <s v="High Humid"/>
    <n v="0.16420000000000001"/>
    <x v="4"/>
    <n v="42"/>
    <n v="46"/>
  </r>
  <r>
    <n v="900"/>
    <d v="2011-02-09T00:00:00"/>
    <n v="1"/>
    <n v="0"/>
    <n v="2"/>
    <n v="23"/>
    <b v="0"/>
    <n v="3"/>
    <x v="3"/>
    <n v="3"/>
    <n v="0.16"/>
    <s v="Cold"/>
    <n v="0.1515"/>
    <n v="0.8"/>
    <s v="High Humid"/>
    <n v="0.19400000000000001"/>
    <x v="1"/>
    <n v="37"/>
    <n v="37"/>
  </r>
  <r>
    <n v="689"/>
    <d v="2011-02-01T00:00:00"/>
    <n v="1"/>
    <n v="0"/>
    <n v="2"/>
    <n v="0"/>
    <b v="0"/>
    <n v="2"/>
    <x v="4"/>
    <n v="2"/>
    <n v="0.16"/>
    <s v="Cold"/>
    <n v="0.18179999999999999"/>
    <n v="0.64"/>
    <s v="High Humid"/>
    <n v="0.1045"/>
    <x v="0"/>
    <n v="6"/>
    <n v="8"/>
  </r>
  <r>
    <n v="690"/>
    <d v="2011-02-01T00:00:00"/>
    <n v="1"/>
    <n v="0"/>
    <n v="2"/>
    <n v="1"/>
    <b v="0"/>
    <n v="2"/>
    <x v="4"/>
    <n v="2"/>
    <n v="0.16"/>
    <s v="Cold"/>
    <n v="0.18179999999999999"/>
    <n v="0.69"/>
    <s v="High Humid"/>
    <n v="0.1045"/>
    <x v="1"/>
    <n v="3"/>
    <n v="3"/>
  </r>
  <r>
    <n v="691"/>
    <d v="2011-02-01T00:00:00"/>
    <n v="1"/>
    <n v="0"/>
    <n v="2"/>
    <n v="2"/>
    <b v="0"/>
    <n v="2"/>
    <x v="4"/>
    <n v="2"/>
    <n v="0.16"/>
    <s v="Cold"/>
    <n v="0.2273"/>
    <n v="0.69"/>
    <s v="High Humid"/>
    <n v="0"/>
    <x v="1"/>
    <n v="2"/>
    <n v="2"/>
  </r>
  <r>
    <n v="692"/>
    <d v="2011-02-01T00:00:00"/>
    <n v="1"/>
    <n v="0"/>
    <n v="2"/>
    <n v="3"/>
    <b v="0"/>
    <n v="2"/>
    <x v="4"/>
    <n v="2"/>
    <n v="0.16"/>
    <s v="Cold"/>
    <n v="0.2273"/>
    <n v="0.69"/>
    <s v="High Humid"/>
    <n v="0"/>
    <x v="1"/>
    <n v="2"/>
    <n v="2"/>
  </r>
  <r>
    <n v="693"/>
    <d v="2011-02-01T00:00:00"/>
    <n v="1"/>
    <n v="0"/>
    <n v="2"/>
    <n v="5"/>
    <b v="0"/>
    <n v="2"/>
    <x v="4"/>
    <n v="3"/>
    <n v="0.14000000000000001"/>
    <s v="Cold"/>
    <n v="0.21210000000000001"/>
    <n v="0.93"/>
    <s v="High Humid"/>
    <n v="0"/>
    <x v="1"/>
    <n v="3"/>
    <n v="3"/>
  </r>
  <r>
    <n v="694"/>
    <d v="2011-02-01T00:00:00"/>
    <n v="1"/>
    <n v="0"/>
    <n v="2"/>
    <n v="6"/>
    <b v="0"/>
    <n v="2"/>
    <x v="4"/>
    <n v="3"/>
    <n v="0.14000000000000001"/>
    <s v="Cold"/>
    <n v="0.21210000000000001"/>
    <n v="0.93"/>
    <s v="High Humid"/>
    <n v="0"/>
    <x v="1"/>
    <n v="22"/>
    <n v="22"/>
  </r>
  <r>
    <n v="695"/>
    <d v="2011-02-01T00:00:00"/>
    <n v="1"/>
    <n v="0"/>
    <n v="2"/>
    <n v="7"/>
    <b v="0"/>
    <n v="2"/>
    <x v="4"/>
    <n v="3"/>
    <n v="0.16"/>
    <s v="Cold"/>
    <n v="0.2273"/>
    <n v="0.93"/>
    <s v="High Humid"/>
    <n v="0"/>
    <x v="1"/>
    <n v="52"/>
    <n v="52"/>
  </r>
  <r>
    <n v="696"/>
    <d v="2011-02-01T00:00:00"/>
    <n v="1"/>
    <n v="0"/>
    <n v="2"/>
    <n v="8"/>
    <b v="0"/>
    <n v="2"/>
    <x v="4"/>
    <n v="3"/>
    <n v="0.16"/>
    <s v="Cold"/>
    <n v="0.2273"/>
    <n v="0.93"/>
    <s v="High Humid"/>
    <n v="0"/>
    <x v="2"/>
    <n v="132"/>
    <n v="135"/>
  </r>
  <r>
    <n v="697"/>
    <d v="2011-02-01T00:00:00"/>
    <n v="1"/>
    <n v="0"/>
    <n v="2"/>
    <n v="9"/>
    <b v="0"/>
    <n v="2"/>
    <x v="4"/>
    <n v="2"/>
    <n v="0.16"/>
    <s v="Cold"/>
    <n v="0.2273"/>
    <n v="0.93"/>
    <s v="High Humid"/>
    <n v="0"/>
    <x v="0"/>
    <n v="114"/>
    <n v="116"/>
  </r>
  <r>
    <n v="698"/>
    <d v="2011-02-01T00:00:00"/>
    <n v="1"/>
    <n v="0"/>
    <n v="2"/>
    <n v="10"/>
    <b v="0"/>
    <n v="2"/>
    <x v="4"/>
    <n v="2"/>
    <n v="0.16"/>
    <s v="Cold"/>
    <n v="0.2273"/>
    <n v="0.93"/>
    <s v="High Humid"/>
    <n v="0"/>
    <x v="1"/>
    <n v="47"/>
    <n v="47"/>
  </r>
  <r>
    <n v="699"/>
    <d v="2011-02-01T00:00:00"/>
    <n v="1"/>
    <n v="0"/>
    <n v="2"/>
    <n v="11"/>
    <b v="0"/>
    <n v="2"/>
    <x v="4"/>
    <n v="2"/>
    <n v="0.18"/>
    <s v="Cold"/>
    <n v="0.2424"/>
    <n v="0.86"/>
    <s v="High Humid"/>
    <n v="0"/>
    <x v="0"/>
    <n v="49"/>
    <n v="51"/>
  </r>
  <r>
    <n v="700"/>
    <d v="2011-02-01T00:00:00"/>
    <n v="1"/>
    <n v="0"/>
    <n v="2"/>
    <n v="12"/>
    <b v="0"/>
    <n v="2"/>
    <x v="4"/>
    <n v="2"/>
    <n v="0.2"/>
    <s v="Cold"/>
    <n v="0.2576"/>
    <n v="0.86"/>
    <s v="High Humid"/>
    <n v="0"/>
    <x v="0"/>
    <n v="53"/>
    <n v="55"/>
  </r>
  <r>
    <n v="701"/>
    <d v="2011-02-01T00:00:00"/>
    <n v="1"/>
    <n v="0"/>
    <n v="2"/>
    <n v="13"/>
    <b v="0"/>
    <n v="2"/>
    <x v="4"/>
    <n v="2"/>
    <n v="0.2"/>
    <s v="Cold"/>
    <n v="0.2576"/>
    <n v="0.86"/>
    <s v="High Humid"/>
    <n v="0"/>
    <x v="2"/>
    <n v="49"/>
    <n v="52"/>
  </r>
  <r>
    <n v="702"/>
    <d v="2011-02-01T00:00:00"/>
    <n v="1"/>
    <n v="0"/>
    <n v="2"/>
    <n v="14"/>
    <b v="0"/>
    <n v="2"/>
    <x v="4"/>
    <n v="2"/>
    <n v="0.22"/>
    <s v="Cold"/>
    <n v="0.2576"/>
    <n v="0.8"/>
    <s v="High Humid"/>
    <n v="8.9599999999999999E-2"/>
    <x v="11"/>
    <n v="49"/>
    <n v="54"/>
  </r>
  <r>
    <n v="703"/>
    <d v="2011-02-01T00:00:00"/>
    <n v="1"/>
    <n v="0"/>
    <n v="2"/>
    <n v="15"/>
    <b v="0"/>
    <n v="2"/>
    <x v="4"/>
    <n v="2"/>
    <n v="0.24"/>
    <s v="Cold"/>
    <n v="0.28789999999999999"/>
    <n v="0.75"/>
    <s v="High Humid"/>
    <n v="0"/>
    <x v="15"/>
    <n v="45"/>
    <n v="52"/>
  </r>
  <r>
    <n v="704"/>
    <d v="2011-02-01T00:00:00"/>
    <n v="1"/>
    <n v="0"/>
    <n v="2"/>
    <n v="16"/>
    <b v="0"/>
    <n v="2"/>
    <x v="4"/>
    <n v="2"/>
    <n v="0.24"/>
    <s v="Cold"/>
    <n v="0.2424"/>
    <n v="0.75"/>
    <s v="High Humid"/>
    <n v="0.1343"/>
    <x v="2"/>
    <n v="61"/>
    <n v="64"/>
  </r>
  <r>
    <n v="705"/>
    <d v="2011-02-01T00:00:00"/>
    <n v="1"/>
    <n v="0"/>
    <n v="2"/>
    <n v="17"/>
    <b v="0"/>
    <n v="2"/>
    <x v="4"/>
    <n v="2"/>
    <n v="0.24"/>
    <s v="Cold"/>
    <n v="0.28789999999999999"/>
    <n v="0.75"/>
    <s v="High Humid"/>
    <n v="0"/>
    <x v="4"/>
    <n v="172"/>
    <n v="176"/>
  </r>
  <r>
    <n v="706"/>
    <d v="2011-02-01T00:00:00"/>
    <n v="1"/>
    <n v="0"/>
    <n v="2"/>
    <n v="18"/>
    <b v="0"/>
    <n v="2"/>
    <x v="4"/>
    <n v="2"/>
    <n v="0.24"/>
    <s v="Cold"/>
    <n v="0.2576"/>
    <n v="0.81"/>
    <s v="High Humid"/>
    <n v="0.1045"/>
    <x v="2"/>
    <n v="165"/>
    <n v="168"/>
  </r>
  <r>
    <n v="707"/>
    <d v="2011-02-01T00:00:00"/>
    <n v="1"/>
    <n v="0"/>
    <n v="2"/>
    <n v="19"/>
    <b v="0"/>
    <n v="2"/>
    <x v="4"/>
    <n v="2"/>
    <n v="0.24"/>
    <s v="Cold"/>
    <n v="0.2424"/>
    <n v="0.81"/>
    <s v="High Humid"/>
    <n v="0.1343"/>
    <x v="2"/>
    <n v="105"/>
    <n v="108"/>
  </r>
  <r>
    <n v="708"/>
    <d v="2011-02-01T00:00:00"/>
    <n v="1"/>
    <n v="0"/>
    <n v="2"/>
    <n v="20"/>
    <b v="0"/>
    <n v="2"/>
    <x v="4"/>
    <n v="2"/>
    <n v="0.22"/>
    <s v="Cold"/>
    <n v="0.2273"/>
    <n v="0.87"/>
    <s v="High Humid"/>
    <n v="0.1343"/>
    <x v="11"/>
    <n v="69"/>
    <n v="74"/>
  </r>
  <r>
    <n v="709"/>
    <d v="2011-02-01T00:00:00"/>
    <n v="1"/>
    <n v="0"/>
    <n v="2"/>
    <n v="21"/>
    <b v="0"/>
    <n v="2"/>
    <x v="4"/>
    <n v="2"/>
    <n v="0.22"/>
    <s v="Cold"/>
    <n v="0.2273"/>
    <n v="0.87"/>
    <s v="High Humid"/>
    <n v="0.1343"/>
    <x v="1"/>
    <n v="64"/>
    <n v="64"/>
  </r>
  <r>
    <n v="710"/>
    <d v="2011-02-01T00:00:00"/>
    <n v="1"/>
    <n v="0"/>
    <n v="2"/>
    <n v="22"/>
    <b v="0"/>
    <n v="2"/>
    <x v="4"/>
    <n v="2"/>
    <n v="0.22"/>
    <s v="Cold"/>
    <n v="0.2576"/>
    <n v="0.87"/>
    <s v="High Humid"/>
    <n v="8.9599999999999999E-2"/>
    <x v="0"/>
    <n v="34"/>
    <n v="36"/>
  </r>
  <r>
    <n v="711"/>
    <d v="2011-02-01T00:00:00"/>
    <n v="1"/>
    <n v="0"/>
    <n v="2"/>
    <n v="23"/>
    <b v="0"/>
    <n v="2"/>
    <x v="4"/>
    <n v="3"/>
    <n v="0.2"/>
    <s v="Cold"/>
    <n v="0.19700000000000001"/>
    <n v="0.93"/>
    <s v="High Humid"/>
    <n v="0.19400000000000001"/>
    <x v="3"/>
    <n v="15"/>
    <n v="16"/>
  </r>
  <r>
    <n v="854"/>
    <d v="2011-02-08T00:00:00"/>
    <n v="1"/>
    <n v="0"/>
    <n v="2"/>
    <n v="0"/>
    <b v="0"/>
    <n v="2"/>
    <x v="4"/>
    <n v="2"/>
    <n v="0.28000000000000003"/>
    <s v="Cold"/>
    <n v="0.31819999999999998"/>
    <n v="0.87"/>
    <s v="High Humid"/>
    <n v="0"/>
    <x v="4"/>
    <n v="6"/>
    <n v="10"/>
  </r>
  <r>
    <n v="855"/>
    <d v="2011-02-08T00:00:00"/>
    <n v="1"/>
    <n v="0"/>
    <n v="2"/>
    <n v="1"/>
    <b v="0"/>
    <n v="2"/>
    <x v="4"/>
    <n v="2"/>
    <n v="0.28000000000000003"/>
    <s v="Cold"/>
    <n v="0.31819999999999998"/>
    <n v="0.87"/>
    <s v="High Humid"/>
    <n v="0"/>
    <x v="1"/>
    <n v="4"/>
    <n v="4"/>
  </r>
  <r>
    <n v="856"/>
    <d v="2011-02-08T00:00:00"/>
    <n v="1"/>
    <n v="0"/>
    <n v="2"/>
    <n v="2"/>
    <b v="0"/>
    <n v="2"/>
    <x v="4"/>
    <n v="2"/>
    <n v="0.26"/>
    <s v="Cold"/>
    <n v="0.2727"/>
    <n v="0.93"/>
    <s v="High Humid"/>
    <n v="0.1045"/>
    <x v="3"/>
    <n v="1"/>
    <n v="2"/>
  </r>
  <r>
    <n v="857"/>
    <d v="2011-02-08T00:00:00"/>
    <n v="1"/>
    <n v="0"/>
    <n v="2"/>
    <n v="3"/>
    <b v="0"/>
    <n v="2"/>
    <x v="4"/>
    <n v="3"/>
    <n v="0.28000000000000003"/>
    <s v="Cold"/>
    <n v="0.2727"/>
    <n v="0.93"/>
    <s v="High Humid"/>
    <n v="0.16420000000000001"/>
    <x v="1"/>
    <n v="1"/>
    <n v="1"/>
  </r>
  <r>
    <n v="858"/>
    <d v="2011-02-08T00:00:00"/>
    <n v="1"/>
    <n v="0"/>
    <n v="2"/>
    <n v="4"/>
    <b v="0"/>
    <n v="2"/>
    <x v="4"/>
    <n v="1"/>
    <n v="0.26"/>
    <s v="Cold"/>
    <n v="0.2576"/>
    <n v="0.93"/>
    <s v="High Humid"/>
    <n v="0.16420000000000001"/>
    <x v="1"/>
    <n v="3"/>
    <n v="3"/>
  </r>
  <r>
    <n v="859"/>
    <d v="2011-02-08T00:00:00"/>
    <n v="1"/>
    <n v="0"/>
    <n v="2"/>
    <n v="5"/>
    <b v="0"/>
    <n v="2"/>
    <x v="4"/>
    <n v="1"/>
    <n v="0.26"/>
    <s v="Cold"/>
    <n v="0.2273"/>
    <n v="0.81"/>
    <s v="High Humid"/>
    <n v="0.32840000000000003"/>
    <x v="1"/>
    <n v="2"/>
    <n v="2"/>
  </r>
  <r>
    <n v="860"/>
    <d v="2011-02-08T00:00:00"/>
    <n v="1"/>
    <n v="0"/>
    <n v="2"/>
    <n v="6"/>
    <b v="0"/>
    <n v="2"/>
    <x v="4"/>
    <n v="1"/>
    <n v="0.26"/>
    <s v="Cold"/>
    <n v="0.2273"/>
    <n v="0.7"/>
    <s v="High Humid"/>
    <n v="0.32840000000000003"/>
    <x v="1"/>
    <n v="39"/>
    <n v="39"/>
  </r>
  <r>
    <n v="861"/>
    <d v="2011-02-08T00:00:00"/>
    <n v="1"/>
    <n v="0"/>
    <n v="2"/>
    <n v="7"/>
    <b v="0"/>
    <n v="2"/>
    <x v="4"/>
    <n v="1"/>
    <n v="0.24"/>
    <s v="Cold"/>
    <n v="0.19700000000000001"/>
    <n v="0.65"/>
    <s v="High Humid"/>
    <n v="0.41789999999999999"/>
    <x v="2"/>
    <n v="97"/>
    <n v="100"/>
  </r>
  <r>
    <n v="862"/>
    <d v="2011-02-08T00:00:00"/>
    <n v="1"/>
    <n v="0"/>
    <n v="2"/>
    <n v="8"/>
    <b v="0"/>
    <n v="2"/>
    <x v="4"/>
    <n v="1"/>
    <n v="0.24"/>
    <s v="Cold"/>
    <n v="0.19700000000000001"/>
    <n v="0.56000000000000005"/>
    <s v="High Humid"/>
    <n v="0.49249999999999999"/>
    <x v="15"/>
    <n v="236"/>
    <n v="243"/>
  </r>
  <r>
    <n v="863"/>
    <d v="2011-02-08T00:00:00"/>
    <n v="1"/>
    <n v="0"/>
    <n v="2"/>
    <n v="9"/>
    <b v="0"/>
    <n v="2"/>
    <x v="4"/>
    <n v="1"/>
    <n v="0.24"/>
    <s v="Cold"/>
    <n v="0.19700000000000001"/>
    <n v="0.52"/>
    <s v="High Humid"/>
    <n v="0.49249999999999999"/>
    <x v="15"/>
    <n v="128"/>
    <n v="135"/>
  </r>
  <r>
    <n v="864"/>
    <d v="2011-02-08T00:00:00"/>
    <n v="1"/>
    <n v="0"/>
    <n v="2"/>
    <n v="10"/>
    <b v="0"/>
    <n v="2"/>
    <x v="4"/>
    <n v="1"/>
    <n v="0.22"/>
    <s v="Cold"/>
    <n v="0.18179999999999999"/>
    <n v="0.47"/>
    <s v="High Humid"/>
    <n v="0.55220000000000002"/>
    <x v="4"/>
    <n v="44"/>
    <n v="48"/>
  </r>
  <r>
    <n v="865"/>
    <d v="2011-02-08T00:00:00"/>
    <n v="1"/>
    <n v="0"/>
    <n v="2"/>
    <n v="11"/>
    <b v="0"/>
    <n v="2"/>
    <x v="4"/>
    <n v="1"/>
    <n v="0.22"/>
    <s v="Cold"/>
    <n v="0.18179999999999999"/>
    <n v="0.47"/>
    <s v="High Humid"/>
    <n v="0.4627"/>
    <x v="3"/>
    <n v="49"/>
    <n v="50"/>
  </r>
  <r>
    <n v="866"/>
    <d v="2011-02-08T00:00:00"/>
    <n v="1"/>
    <n v="0"/>
    <n v="2"/>
    <n v="12"/>
    <b v="0"/>
    <n v="2"/>
    <x v="4"/>
    <n v="1"/>
    <n v="0.24"/>
    <s v="Cold"/>
    <n v="0.19700000000000001"/>
    <n v="0.38"/>
    <s v="High Humid"/>
    <n v="0.49249999999999999"/>
    <x v="0"/>
    <n v="63"/>
    <n v="65"/>
  </r>
  <r>
    <n v="867"/>
    <d v="2011-02-08T00:00:00"/>
    <n v="1"/>
    <n v="0"/>
    <n v="2"/>
    <n v="13"/>
    <b v="0"/>
    <n v="2"/>
    <x v="4"/>
    <n v="2"/>
    <n v="0.24"/>
    <s v="Cold"/>
    <n v="0.19700000000000001"/>
    <n v="0.32"/>
    <s v="High Humid"/>
    <n v="0.44779999999999998"/>
    <x v="0"/>
    <n v="48"/>
    <n v="50"/>
  </r>
  <r>
    <n v="868"/>
    <d v="2011-02-08T00:00:00"/>
    <n v="1"/>
    <n v="0"/>
    <n v="2"/>
    <n v="14"/>
    <b v="0"/>
    <n v="2"/>
    <x v="4"/>
    <n v="1"/>
    <n v="0.22"/>
    <s v="Cold"/>
    <n v="0.19700000000000001"/>
    <n v="0.37"/>
    <s v="High Humid"/>
    <n v="0.41789999999999999"/>
    <x v="2"/>
    <n v="61"/>
    <n v="64"/>
  </r>
  <r>
    <n v="869"/>
    <d v="2011-02-08T00:00:00"/>
    <n v="1"/>
    <n v="0"/>
    <n v="2"/>
    <n v="15"/>
    <b v="0"/>
    <n v="2"/>
    <x v="4"/>
    <n v="1"/>
    <n v="0.22"/>
    <s v="Cold"/>
    <n v="0.19700000000000001"/>
    <n v="0.35"/>
    <s v="High Humid"/>
    <n v="0.3881"/>
    <x v="10"/>
    <n v="45"/>
    <n v="51"/>
  </r>
  <r>
    <n v="870"/>
    <d v="2011-02-08T00:00:00"/>
    <n v="1"/>
    <n v="0"/>
    <n v="2"/>
    <n v="16"/>
    <b v="0"/>
    <n v="2"/>
    <x v="4"/>
    <n v="1"/>
    <n v="0.22"/>
    <s v="Cold"/>
    <n v="0.18179999999999999"/>
    <n v="0.35"/>
    <s v="High Humid"/>
    <n v="0.52239999999999998"/>
    <x v="4"/>
    <n v="79"/>
    <n v="83"/>
  </r>
  <r>
    <n v="871"/>
    <d v="2011-02-08T00:00:00"/>
    <n v="1"/>
    <n v="0"/>
    <n v="2"/>
    <n v="17"/>
    <b v="0"/>
    <n v="2"/>
    <x v="4"/>
    <n v="1"/>
    <n v="0.22"/>
    <s v="Cold"/>
    <n v="0.18179999999999999"/>
    <n v="0.32"/>
    <s v="High Humid"/>
    <n v="0.58209999999999995"/>
    <x v="4"/>
    <n v="172"/>
    <n v="176"/>
  </r>
  <r>
    <n v="872"/>
    <d v="2011-02-08T00:00:00"/>
    <n v="1"/>
    <n v="0"/>
    <n v="2"/>
    <n v="18"/>
    <b v="0"/>
    <n v="2"/>
    <x v="4"/>
    <n v="1"/>
    <n v="0.2"/>
    <s v="Cold"/>
    <n v="0.18179999999999999"/>
    <n v="0.32"/>
    <s v="High Humid"/>
    <n v="0.3881"/>
    <x v="3"/>
    <n v="151"/>
    <n v="152"/>
  </r>
  <r>
    <n v="873"/>
    <d v="2011-02-08T00:00:00"/>
    <n v="1"/>
    <n v="0"/>
    <n v="2"/>
    <n v="19"/>
    <b v="0"/>
    <n v="2"/>
    <x v="4"/>
    <n v="1"/>
    <n v="0.16"/>
    <s v="Cold"/>
    <n v="0.1212"/>
    <n v="0.4"/>
    <s v="High Humid"/>
    <n v="0.4627"/>
    <x v="3"/>
    <n v="100"/>
    <n v="101"/>
  </r>
  <r>
    <n v="874"/>
    <d v="2011-02-08T00:00:00"/>
    <n v="1"/>
    <n v="0"/>
    <n v="2"/>
    <n v="20"/>
    <b v="0"/>
    <n v="2"/>
    <x v="4"/>
    <n v="1"/>
    <n v="0.16"/>
    <s v="Cold"/>
    <n v="0.13639999999999999"/>
    <n v="0.4"/>
    <s v="High Humid"/>
    <n v="0.32840000000000003"/>
    <x v="2"/>
    <n v="53"/>
    <n v="56"/>
  </r>
  <r>
    <n v="875"/>
    <d v="2011-02-08T00:00:00"/>
    <n v="1"/>
    <n v="0"/>
    <n v="2"/>
    <n v="21"/>
    <b v="0"/>
    <n v="2"/>
    <x v="4"/>
    <n v="1"/>
    <n v="0.14000000000000001"/>
    <s v="Cold"/>
    <n v="0.1061"/>
    <n v="0.33"/>
    <s v="High Humid"/>
    <n v="0.4627"/>
    <x v="13"/>
    <n v="46"/>
    <n v="54"/>
  </r>
  <r>
    <n v="876"/>
    <d v="2011-02-08T00:00:00"/>
    <n v="1"/>
    <n v="0"/>
    <n v="2"/>
    <n v="22"/>
    <b v="0"/>
    <n v="2"/>
    <x v="4"/>
    <n v="1"/>
    <n v="0.12"/>
    <s v="Cold"/>
    <n v="0.1061"/>
    <n v="0.33"/>
    <s v="High Humid"/>
    <n v="0.35820000000000002"/>
    <x v="1"/>
    <n v="29"/>
    <n v="29"/>
  </r>
  <r>
    <n v="877"/>
    <d v="2011-02-08T00:00:00"/>
    <n v="1"/>
    <n v="0"/>
    <n v="2"/>
    <n v="23"/>
    <b v="0"/>
    <n v="2"/>
    <x v="4"/>
    <n v="1"/>
    <n v="0.12"/>
    <s v="Cold"/>
    <n v="0.1061"/>
    <n v="0.33"/>
    <s v="High Humid"/>
    <n v="0.32840000000000003"/>
    <x v="2"/>
    <n v="9"/>
    <n v="12"/>
  </r>
  <r>
    <n v="665"/>
    <d v="2011-01-31T00:00:00"/>
    <n v="1"/>
    <n v="0"/>
    <n v="1"/>
    <n v="0"/>
    <b v="0"/>
    <n v="1"/>
    <x v="5"/>
    <n v="2"/>
    <n v="0.24"/>
    <s v="Cold"/>
    <n v="0.2273"/>
    <n v="0.65"/>
    <s v="High Humid"/>
    <n v="0.22389999999999999"/>
    <x v="3"/>
    <n v="6"/>
    <n v="7"/>
  </r>
  <r>
    <n v="666"/>
    <d v="2011-01-31T00:00:00"/>
    <n v="1"/>
    <n v="0"/>
    <n v="1"/>
    <n v="1"/>
    <b v="0"/>
    <n v="1"/>
    <x v="5"/>
    <n v="1"/>
    <n v="0.22"/>
    <s v="Cold"/>
    <n v="0.21210000000000001"/>
    <n v="0.64"/>
    <s v="High Humid"/>
    <n v="0.25369999999999998"/>
    <x v="0"/>
    <n v="5"/>
    <n v="7"/>
  </r>
  <r>
    <n v="667"/>
    <d v="2011-01-31T00:00:00"/>
    <n v="1"/>
    <n v="0"/>
    <n v="1"/>
    <n v="2"/>
    <b v="0"/>
    <n v="1"/>
    <x v="5"/>
    <n v="1"/>
    <n v="0.22"/>
    <s v="Cold"/>
    <n v="0.2273"/>
    <n v="0.64"/>
    <s v="High Humid"/>
    <n v="0.19400000000000001"/>
    <x v="1"/>
    <n v="1"/>
    <n v="1"/>
  </r>
  <r>
    <n v="668"/>
    <d v="2011-01-31T00:00:00"/>
    <n v="1"/>
    <n v="0"/>
    <n v="1"/>
    <n v="3"/>
    <b v="0"/>
    <n v="1"/>
    <x v="5"/>
    <n v="1"/>
    <n v="0.22"/>
    <s v="Cold"/>
    <n v="0.2273"/>
    <n v="0.64"/>
    <s v="High Humid"/>
    <n v="0.19400000000000001"/>
    <x v="1"/>
    <n v="2"/>
    <n v="2"/>
  </r>
  <r>
    <n v="669"/>
    <d v="2011-01-31T00:00:00"/>
    <n v="1"/>
    <n v="0"/>
    <n v="1"/>
    <n v="4"/>
    <b v="0"/>
    <n v="1"/>
    <x v="5"/>
    <n v="1"/>
    <n v="0.2"/>
    <s v="Cold"/>
    <n v="0.19700000000000001"/>
    <n v="0.59"/>
    <s v="High Humid"/>
    <n v="0.22389999999999999"/>
    <x v="1"/>
    <n v="2"/>
    <n v="2"/>
  </r>
  <r>
    <n v="670"/>
    <d v="2011-01-31T00:00:00"/>
    <n v="1"/>
    <n v="0"/>
    <n v="1"/>
    <n v="5"/>
    <b v="0"/>
    <n v="1"/>
    <x v="5"/>
    <n v="1"/>
    <n v="0.18"/>
    <s v="Cold"/>
    <n v="0.16669999999999999"/>
    <n v="0.64"/>
    <s v="High Humid"/>
    <n v="0.28360000000000002"/>
    <x v="1"/>
    <n v="8"/>
    <n v="8"/>
  </r>
  <r>
    <n v="671"/>
    <d v="2011-01-31T00:00:00"/>
    <n v="1"/>
    <n v="0"/>
    <n v="1"/>
    <n v="6"/>
    <b v="0"/>
    <n v="1"/>
    <x v="5"/>
    <n v="1"/>
    <n v="0.16"/>
    <s v="Cold"/>
    <n v="0.13639999999999999"/>
    <n v="0.69"/>
    <s v="High Humid"/>
    <n v="0.32840000000000003"/>
    <x v="1"/>
    <n v="37"/>
    <n v="37"/>
  </r>
  <r>
    <n v="672"/>
    <d v="2011-01-31T00:00:00"/>
    <n v="1"/>
    <n v="0"/>
    <n v="1"/>
    <n v="7"/>
    <b v="0"/>
    <n v="1"/>
    <x v="5"/>
    <n v="2"/>
    <n v="0.16"/>
    <s v="Cold"/>
    <n v="0.13639999999999999"/>
    <n v="0.64"/>
    <s v="High Humid"/>
    <n v="0.28360000000000002"/>
    <x v="3"/>
    <n v="71"/>
    <n v="72"/>
  </r>
  <r>
    <n v="673"/>
    <d v="2011-01-31T00:00:00"/>
    <n v="1"/>
    <n v="0"/>
    <n v="1"/>
    <n v="8"/>
    <b v="0"/>
    <n v="1"/>
    <x v="5"/>
    <n v="2"/>
    <n v="0.16"/>
    <s v="Cold"/>
    <n v="0.13639999999999999"/>
    <n v="0.59"/>
    <s v="High Humid"/>
    <n v="0.28360000000000002"/>
    <x v="2"/>
    <n v="182"/>
    <n v="185"/>
  </r>
  <r>
    <n v="674"/>
    <d v="2011-01-31T00:00:00"/>
    <n v="1"/>
    <n v="0"/>
    <n v="1"/>
    <n v="9"/>
    <b v="0"/>
    <n v="1"/>
    <x v="5"/>
    <n v="2"/>
    <n v="0.16"/>
    <s v="Cold"/>
    <n v="0.13639999999999999"/>
    <n v="0.59"/>
    <s v="High Humid"/>
    <n v="0.29849999999999999"/>
    <x v="1"/>
    <n v="112"/>
    <n v="112"/>
  </r>
  <r>
    <n v="675"/>
    <d v="2011-01-31T00:00:00"/>
    <n v="1"/>
    <n v="0"/>
    <n v="1"/>
    <n v="10"/>
    <b v="0"/>
    <n v="1"/>
    <x v="5"/>
    <n v="2"/>
    <n v="0.16"/>
    <s v="Cold"/>
    <n v="0.1515"/>
    <n v="0.59"/>
    <s v="High Humid"/>
    <n v="0.19400000000000001"/>
    <x v="3"/>
    <n v="68"/>
    <n v="69"/>
  </r>
  <r>
    <n v="676"/>
    <d v="2011-01-31T00:00:00"/>
    <n v="1"/>
    <n v="0"/>
    <n v="1"/>
    <n v="11"/>
    <b v="0"/>
    <n v="1"/>
    <x v="5"/>
    <n v="2"/>
    <n v="0.16"/>
    <s v="Cold"/>
    <n v="0.1515"/>
    <n v="0.59"/>
    <s v="High Humid"/>
    <n v="0.19400000000000001"/>
    <x v="0"/>
    <n v="46"/>
    <n v="48"/>
  </r>
  <r>
    <n v="677"/>
    <d v="2011-01-31T00:00:00"/>
    <n v="1"/>
    <n v="0"/>
    <n v="1"/>
    <n v="12"/>
    <b v="0"/>
    <n v="1"/>
    <x v="5"/>
    <n v="2"/>
    <n v="0.18"/>
    <s v="Cold"/>
    <n v="0.21210000000000001"/>
    <n v="0.55000000000000004"/>
    <s v="High Humid"/>
    <n v="0.1045"/>
    <x v="10"/>
    <n v="62"/>
    <n v="68"/>
  </r>
  <r>
    <n v="678"/>
    <d v="2011-01-31T00:00:00"/>
    <n v="1"/>
    <n v="0"/>
    <n v="1"/>
    <n v="13"/>
    <b v="0"/>
    <n v="1"/>
    <x v="5"/>
    <n v="2"/>
    <n v="0.16"/>
    <s v="Cold"/>
    <n v="0.2273"/>
    <n v="0.59"/>
    <s v="High Humid"/>
    <n v="0"/>
    <x v="0"/>
    <n v="52"/>
    <n v="54"/>
  </r>
  <r>
    <n v="679"/>
    <d v="2011-01-31T00:00:00"/>
    <n v="1"/>
    <n v="0"/>
    <n v="1"/>
    <n v="14"/>
    <b v="0"/>
    <n v="1"/>
    <x v="5"/>
    <n v="2"/>
    <n v="0.18"/>
    <s v="Cold"/>
    <n v="0.19700000000000001"/>
    <n v="0.55000000000000004"/>
    <s v="High Humid"/>
    <n v="0.1343"/>
    <x v="3"/>
    <n v="85"/>
    <n v="86"/>
  </r>
  <r>
    <n v="680"/>
    <d v="2011-01-31T00:00:00"/>
    <n v="1"/>
    <n v="0"/>
    <n v="1"/>
    <n v="15"/>
    <b v="0"/>
    <n v="1"/>
    <x v="5"/>
    <n v="2"/>
    <n v="0.16"/>
    <s v="Cold"/>
    <n v="0.18179999999999999"/>
    <n v="0.59"/>
    <s v="High Humid"/>
    <n v="0.1343"/>
    <x v="2"/>
    <n v="41"/>
    <n v="44"/>
  </r>
  <r>
    <n v="681"/>
    <d v="2011-01-31T00:00:00"/>
    <n v="1"/>
    <n v="0"/>
    <n v="1"/>
    <n v="16"/>
    <b v="0"/>
    <n v="1"/>
    <x v="5"/>
    <n v="2"/>
    <n v="0.16"/>
    <s v="Cold"/>
    <n v="0.18179999999999999"/>
    <n v="0.56000000000000005"/>
    <s v="High Humid"/>
    <n v="0.19400000000000001"/>
    <x v="2"/>
    <n v="83"/>
    <n v="86"/>
  </r>
  <r>
    <n v="682"/>
    <d v="2011-01-31T00:00:00"/>
    <n v="1"/>
    <n v="0"/>
    <n v="1"/>
    <n v="17"/>
    <b v="0"/>
    <n v="1"/>
    <x v="5"/>
    <n v="2"/>
    <n v="0.16"/>
    <s v="Cold"/>
    <n v="0.1515"/>
    <n v="0.59"/>
    <s v="High Humid"/>
    <n v="0.19400000000000001"/>
    <x v="10"/>
    <n v="155"/>
    <n v="161"/>
  </r>
  <r>
    <n v="683"/>
    <d v="2011-01-31T00:00:00"/>
    <n v="1"/>
    <n v="0"/>
    <n v="1"/>
    <n v="18"/>
    <b v="0"/>
    <n v="1"/>
    <x v="5"/>
    <n v="2"/>
    <n v="0.16"/>
    <s v="Cold"/>
    <n v="0.1515"/>
    <n v="0.55000000000000004"/>
    <s v="High Humid"/>
    <n v="0.22389999999999999"/>
    <x v="2"/>
    <n v="153"/>
    <n v="156"/>
  </r>
  <r>
    <n v="684"/>
    <d v="2011-01-31T00:00:00"/>
    <n v="1"/>
    <n v="0"/>
    <n v="1"/>
    <n v="19"/>
    <b v="0"/>
    <n v="1"/>
    <x v="5"/>
    <n v="1"/>
    <n v="0.3"/>
    <s v="Cold"/>
    <n v="0.31819999999999998"/>
    <n v="0.61"/>
    <s v="High Humid"/>
    <n v="0.1045"/>
    <x v="2"/>
    <n v="108"/>
    <n v="111"/>
  </r>
  <r>
    <n v="685"/>
    <d v="2011-01-31T00:00:00"/>
    <n v="1"/>
    <n v="0"/>
    <n v="1"/>
    <n v="20"/>
    <b v="0"/>
    <n v="1"/>
    <x v="5"/>
    <n v="3"/>
    <n v="0.16"/>
    <s v="Cold"/>
    <n v="0.16669999999999999"/>
    <n v="0.59"/>
    <s v="High Humid"/>
    <n v="0.16420000000000001"/>
    <x v="1"/>
    <n v="78"/>
    <n v="78"/>
  </r>
  <r>
    <n v="686"/>
    <d v="2011-01-31T00:00:00"/>
    <n v="1"/>
    <n v="0"/>
    <n v="1"/>
    <n v="21"/>
    <b v="0"/>
    <n v="1"/>
    <x v="5"/>
    <n v="3"/>
    <n v="0.16"/>
    <s v="Cold"/>
    <n v="0.19700000000000001"/>
    <n v="0.59"/>
    <s v="High Humid"/>
    <n v="8.9599999999999999E-2"/>
    <x v="2"/>
    <n v="53"/>
    <n v="56"/>
  </r>
  <r>
    <n v="687"/>
    <d v="2011-01-31T00:00:00"/>
    <n v="1"/>
    <n v="0"/>
    <n v="1"/>
    <n v="22"/>
    <b v="0"/>
    <n v="1"/>
    <x v="5"/>
    <n v="2"/>
    <n v="0.16"/>
    <s v="Cold"/>
    <n v="0.18179999999999999"/>
    <n v="0.59"/>
    <s v="High Humid"/>
    <n v="0.1045"/>
    <x v="1"/>
    <n v="34"/>
    <n v="34"/>
  </r>
  <r>
    <n v="688"/>
    <d v="2011-01-31T00:00:00"/>
    <n v="1"/>
    <n v="0"/>
    <n v="1"/>
    <n v="23"/>
    <b v="0"/>
    <n v="1"/>
    <x v="5"/>
    <n v="2"/>
    <n v="0.16"/>
    <s v="Cold"/>
    <n v="0.19700000000000001"/>
    <n v="0.64"/>
    <s v="High Humid"/>
    <n v="8.9599999999999999E-2"/>
    <x v="0"/>
    <n v="15"/>
    <n v="17"/>
  </r>
  <r>
    <n v="830"/>
    <d v="2011-02-07T00:00:00"/>
    <n v="1"/>
    <n v="0"/>
    <n v="2"/>
    <n v="0"/>
    <b v="0"/>
    <n v="1"/>
    <x v="5"/>
    <n v="1"/>
    <n v="0.24"/>
    <s v="Cold"/>
    <n v="0.28789999999999999"/>
    <n v="0.65"/>
    <s v="High Humid"/>
    <n v="0"/>
    <x v="3"/>
    <n v="14"/>
    <n v="15"/>
  </r>
  <r>
    <n v="831"/>
    <d v="2011-02-07T00:00:00"/>
    <n v="1"/>
    <n v="0"/>
    <n v="2"/>
    <n v="1"/>
    <b v="0"/>
    <n v="1"/>
    <x v="5"/>
    <n v="1"/>
    <n v="0.22"/>
    <s v="Cold"/>
    <n v="0.2727"/>
    <n v="0.75"/>
    <s v="High Humid"/>
    <n v="0"/>
    <x v="3"/>
    <n v="4"/>
    <n v="5"/>
  </r>
  <r>
    <n v="832"/>
    <d v="2011-02-07T00:00:00"/>
    <n v="1"/>
    <n v="0"/>
    <n v="2"/>
    <n v="2"/>
    <b v="0"/>
    <n v="1"/>
    <x v="5"/>
    <n v="1"/>
    <n v="0.2"/>
    <s v="Cold"/>
    <n v="0.2576"/>
    <n v="0.8"/>
    <s v="High Humid"/>
    <n v="0"/>
    <x v="1"/>
    <n v="3"/>
    <n v="3"/>
  </r>
  <r>
    <n v="833"/>
    <d v="2011-02-07T00:00:00"/>
    <n v="1"/>
    <n v="0"/>
    <n v="2"/>
    <n v="3"/>
    <b v="0"/>
    <n v="1"/>
    <x v="5"/>
    <n v="1"/>
    <n v="0.2"/>
    <s v="Cold"/>
    <n v="0.2576"/>
    <n v="0.86"/>
    <s v="High Humid"/>
    <n v="0"/>
    <x v="1"/>
    <n v="1"/>
    <n v="1"/>
  </r>
  <r>
    <n v="834"/>
    <d v="2011-02-07T00:00:00"/>
    <n v="1"/>
    <n v="0"/>
    <n v="2"/>
    <n v="4"/>
    <b v="0"/>
    <n v="1"/>
    <x v="5"/>
    <n v="1"/>
    <n v="0.2"/>
    <s v="Cold"/>
    <n v="0.2576"/>
    <n v="0.86"/>
    <s v="High Humid"/>
    <n v="0"/>
    <x v="3"/>
    <n v="1"/>
    <n v="2"/>
  </r>
  <r>
    <n v="835"/>
    <d v="2011-02-07T00:00:00"/>
    <n v="1"/>
    <n v="0"/>
    <n v="2"/>
    <n v="5"/>
    <b v="0"/>
    <n v="1"/>
    <x v="5"/>
    <n v="1"/>
    <n v="0.2"/>
    <s v="Cold"/>
    <n v="0.2576"/>
    <n v="0.86"/>
    <s v="High Humid"/>
    <n v="0"/>
    <x v="3"/>
    <n v="9"/>
    <n v="10"/>
  </r>
  <r>
    <n v="836"/>
    <d v="2011-02-07T00:00:00"/>
    <n v="1"/>
    <n v="0"/>
    <n v="2"/>
    <n v="6"/>
    <b v="0"/>
    <n v="1"/>
    <x v="5"/>
    <n v="1"/>
    <n v="0.18"/>
    <s v="Cold"/>
    <n v="0.2424"/>
    <n v="0.93"/>
    <s v="High Humid"/>
    <n v="0"/>
    <x v="3"/>
    <n v="29"/>
    <n v="30"/>
  </r>
  <r>
    <n v="837"/>
    <d v="2011-02-07T00:00:00"/>
    <n v="1"/>
    <n v="0"/>
    <n v="2"/>
    <n v="7"/>
    <b v="0"/>
    <n v="1"/>
    <x v="5"/>
    <n v="1"/>
    <n v="0.18"/>
    <s v="Cold"/>
    <n v="0.2424"/>
    <n v="0.86"/>
    <s v="High Humid"/>
    <n v="0"/>
    <x v="10"/>
    <n v="89"/>
    <n v="95"/>
  </r>
  <r>
    <n v="838"/>
    <d v="2011-02-07T00:00:00"/>
    <n v="1"/>
    <n v="0"/>
    <n v="2"/>
    <n v="8"/>
    <b v="0"/>
    <n v="1"/>
    <x v="5"/>
    <n v="2"/>
    <n v="0.16"/>
    <s v="Cold"/>
    <n v="0.2273"/>
    <n v="1"/>
    <s v="High Humid"/>
    <n v="0"/>
    <x v="15"/>
    <n v="223"/>
    <n v="230"/>
  </r>
  <r>
    <n v="839"/>
    <d v="2011-02-07T00:00:00"/>
    <n v="1"/>
    <n v="0"/>
    <n v="2"/>
    <n v="9"/>
    <b v="0"/>
    <n v="1"/>
    <x v="5"/>
    <n v="1"/>
    <n v="0.22"/>
    <s v="Cold"/>
    <n v="0.2727"/>
    <n v="0.8"/>
    <s v="High Humid"/>
    <n v="0"/>
    <x v="2"/>
    <n v="115"/>
    <n v="118"/>
  </r>
  <r>
    <n v="840"/>
    <d v="2011-02-07T00:00:00"/>
    <n v="1"/>
    <n v="0"/>
    <n v="2"/>
    <n v="10"/>
    <b v="0"/>
    <n v="1"/>
    <x v="5"/>
    <n v="1"/>
    <n v="0.24"/>
    <s v="Cold"/>
    <n v="0.2576"/>
    <n v="0.75"/>
    <s v="High Humid"/>
    <n v="0.1045"/>
    <x v="10"/>
    <n v="49"/>
    <n v="55"/>
  </r>
  <r>
    <n v="841"/>
    <d v="2011-02-07T00:00:00"/>
    <n v="1"/>
    <n v="0"/>
    <n v="2"/>
    <n v="11"/>
    <b v="0"/>
    <n v="1"/>
    <x v="5"/>
    <n v="1"/>
    <n v="0.3"/>
    <s v="Cold"/>
    <n v="0.31819999999999998"/>
    <n v="0.65"/>
    <s v="High Humid"/>
    <n v="8.9599999999999999E-2"/>
    <x v="12"/>
    <n v="36"/>
    <n v="47"/>
  </r>
  <r>
    <n v="842"/>
    <d v="2011-02-07T00:00:00"/>
    <n v="1"/>
    <n v="0"/>
    <n v="2"/>
    <n v="12"/>
    <b v="0"/>
    <n v="1"/>
    <x v="5"/>
    <n v="2"/>
    <n v="0.32"/>
    <s v="Cold"/>
    <n v="0.34849999999999998"/>
    <n v="0.62"/>
    <s v="High Humid"/>
    <n v="0"/>
    <x v="15"/>
    <n v="59"/>
    <n v="66"/>
  </r>
  <r>
    <n v="843"/>
    <d v="2011-02-07T00:00:00"/>
    <n v="1"/>
    <n v="0"/>
    <n v="2"/>
    <n v="13"/>
    <b v="0"/>
    <n v="1"/>
    <x v="5"/>
    <n v="2"/>
    <n v="0.36"/>
    <s v="Cold"/>
    <n v="0.36359999999999998"/>
    <n v="0.56999999999999995"/>
    <s v="High Humid"/>
    <n v="8.9599999999999999E-2"/>
    <x v="7"/>
    <n v="54"/>
    <n v="64"/>
  </r>
  <r>
    <n v="844"/>
    <d v="2011-02-07T00:00:00"/>
    <n v="1"/>
    <n v="0"/>
    <n v="2"/>
    <n v="14"/>
    <b v="0"/>
    <n v="1"/>
    <x v="5"/>
    <n v="2"/>
    <n v="0.36"/>
    <s v="Cold"/>
    <n v="0.36359999999999998"/>
    <n v="0.56999999999999995"/>
    <s v="High Humid"/>
    <n v="8.9599999999999999E-2"/>
    <x v="13"/>
    <n v="52"/>
    <n v="60"/>
  </r>
  <r>
    <n v="845"/>
    <d v="2011-02-07T00:00:00"/>
    <n v="1"/>
    <n v="0"/>
    <n v="2"/>
    <n v="15"/>
    <b v="0"/>
    <n v="1"/>
    <x v="5"/>
    <n v="2"/>
    <n v="0.38"/>
    <s v="Cold"/>
    <n v="0.39389999999999997"/>
    <n v="0.54"/>
    <s v="High Humid"/>
    <n v="8.9599999999999999E-2"/>
    <x v="4"/>
    <n v="46"/>
    <n v="50"/>
  </r>
  <r>
    <n v="846"/>
    <d v="2011-02-07T00:00:00"/>
    <n v="1"/>
    <n v="0"/>
    <n v="2"/>
    <n v="16"/>
    <b v="0"/>
    <n v="1"/>
    <x v="5"/>
    <n v="2"/>
    <n v="0.36"/>
    <s v="Cold"/>
    <n v="0.34849999999999998"/>
    <n v="0.56999999999999995"/>
    <s v="High Humid"/>
    <n v="0.1343"/>
    <x v="27"/>
    <n v="98"/>
    <n v="114"/>
  </r>
  <r>
    <n v="847"/>
    <d v="2011-02-07T00:00:00"/>
    <n v="1"/>
    <n v="0"/>
    <n v="2"/>
    <n v="17"/>
    <b v="0"/>
    <n v="1"/>
    <x v="5"/>
    <n v="2"/>
    <n v="0.32"/>
    <s v="Cold"/>
    <n v="0.31819999999999998"/>
    <n v="0.7"/>
    <s v="High Humid"/>
    <n v="0.16420000000000001"/>
    <x v="6"/>
    <n v="207"/>
    <n v="216"/>
  </r>
  <r>
    <n v="848"/>
    <d v="2011-02-07T00:00:00"/>
    <n v="1"/>
    <n v="0"/>
    <n v="2"/>
    <n v="18"/>
    <b v="0"/>
    <n v="1"/>
    <x v="5"/>
    <n v="2"/>
    <n v="0.34"/>
    <s v="Cold"/>
    <n v="0.33329999999999999"/>
    <n v="0.66"/>
    <s v="High Humid"/>
    <n v="0.1343"/>
    <x v="11"/>
    <n v="170"/>
    <n v="175"/>
  </r>
  <r>
    <n v="849"/>
    <d v="2011-02-07T00:00:00"/>
    <n v="1"/>
    <n v="0"/>
    <n v="2"/>
    <n v="19"/>
    <b v="0"/>
    <n v="1"/>
    <x v="5"/>
    <n v="2"/>
    <n v="0.32"/>
    <s v="Cold"/>
    <n v="0.34849999999999998"/>
    <n v="0.7"/>
    <s v="High Humid"/>
    <n v="0"/>
    <x v="11"/>
    <n v="123"/>
    <n v="128"/>
  </r>
  <r>
    <n v="850"/>
    <d v="2011-02-07T00:00:00"/>
    <n v="1"/>
    <n v="0"/>
    <n v="2"/>
    <n v="20"/>
    <b v="0"/>
    <n v="1"/>
    <x v="5"/>
    <n v="2"/>
    <n v="0.32"/>
    <s v="Cold"/>
    <n v="0.33329999999999999"/>
    <n v="0.7"/>
    <s v="High Humid"/>
    <n v="0.1045"/>
    <x v="10"/>
    <n v="82"/>
    <n v="88"/>
  </r>
  <r>
    <n v="851"/>
    <d v="2011-02-07T00:00:00"/>
    <n v="1"/>
    <n v="0"/>
    <n v="2"/>
    <n v="21"/>
    <b v="0"/>
    <n v="1"/>
    <x v="5"/>
    <n v="1"/>
    <n v="0.32"/>
    <s v="Cold"/>
    <n v="0.34849999999999998"/>
    <n v="0.7"/>
    <s v="High Humid"/>
    <n v="0"/>
    <x v="2"/>
    <n v="75"/>
    <n v="78"/>
  </r>
  <r>
    <n v="852"/>
    <d v="2011-02-07T00:00:00"/>
    <n v="1"/>
    <n v="0"/>
    <n v="2"/>
    <n v="22"/>
    <b v="0"/>
    <n v="1"/>
    <x v="5"/>
    <n v="1"/>
    <n v="0.28000000000000003"/>
    <s v="Cold"/>
    <n v="0.30299999999999999"/>
    <n v="0.81"/>
    <s v="High Humid"/>
    <n v="8.9599999999999999E-2"/>
    <x v="2"/>
    <n v="34"/>
    <n v="37"/>
  </r>
  <r>
    <n v="853"/>
    <d v="2011-02-07T00:00:00"/>
    <n v="1"/>
    <n v="0"/>
    <n v="2"/>
    <n v="23"/>
    <b v="0"/>
    <n v="1"/>
    <x v="5"/>
    <n v="2"/>
    <n v="0.3"/>
    <s v="Cold"/>
    <n v="0.33329999999999999"/>
    <n v="0.81"/>
    <s v="High Humid"/>
    <n v="0"/>
    <x v="10"/>
    <n v="19"/>
    <n v="25"/>
  </r>
  <r>
    <n v="993"/>
    <d v="2011-02-14T00:00:00"/>
    <n v="1"/>
    <n v="0"/>
    <n v="2"/>
    <n v="0"/>
    <b v="0"/>
    <n v="1"/>
    <x v="5"/>
    <n v="1"/>
    <n v="0.38"/>
    <s v="Cold"/>
    <n v="0.39389999999999997"/>
    <n v="0.37"/>
    <s v="High Humid"/>
    <n v="0.35820000000000002"/>
    <x v="2"/>
    <n v="8"/>
    <n v="11"/>
  </r>
  <r>
    <n v="994"/>
    <d v="2011-02-14T00:00:00"/>
    <n v="1"/>
    <n v="0"/>
    <n v="2"/>
    <n v="1"/>
    <b v="0"/>
    <n v="1"/>
    <x v="5"/>
    <n v="1"/>
    <n v="0.38"/>
    <s v="Cold"/>
    <n v="0.39389999999999997"/>
    <n v="0.37"/>
    <s v="High Humid"/>
    <n v="0.35820000000000002"/>
    <x v="3"/>
    <n v="6"/>
    <n v="7"/>
  </r>
  <r>
    <n v="995"/>
    <d v="2011-02-14T00:00:00"/>
    <n v="1"/>
    <n v="0"/>
    <n v="2"/>
    <n v="2"/>
    <b v="0"/>
    <n v="1"/>
    <x v="5"/>
    <n v="1"/>
    <n v="0.36"/>
    <s v="Cold"/>
    <n v="0.33329999999999999"/>
    <n v="0.4"/>
    <s v="High Humid"/>
    <n v="0.29849999999999999"/>
    <x v="1"/>
    <n v="2"/>
    <n v="2"/>
  </r>
  <r>
    <n v="996"/>
    <d v="2011-02-14T00:00:00"/>
    <n v="1"/>
    <n v="0"/>
    <n v="2"/>
    <n v="3"/>
    <b v="0"/>
    <n v="1"/>
    <x v="5"/>
    <n v="1"/>
    <n v="0.34"/>
    <s v="Cold"/>
    <n v="0.31819999999999998"/>
    <n v="0.46"/>
    <s v="High Humid"/>
    <n v="0.22389999999999999"/>
    <x v="3"/>
    <n v="1"/>
    <n v="2"/>
  </r>
  <r>
    <n v="997"/>
    <d v="2011-02-14T00:00:00"/>
    <n v="1"/>
    <n v="0"/>
    <n v="2"/>
    <n v="4"/>
    <b v="0"/>
    <n v="1"/>
    <x v="5"/>
    <n v="1"/>
    <n v="0.32"/>
    <s v="Cold"/>
    <n v="0.30299999999999999"/>
    <n v="0.53"/>
    <s v="High Humid"/>
    <n v="0.28360000000000002"/>
    <x v="1"/>
    <n v="2"/>
    <n v="2"/>
  </r>
  <r>
    <n v="998"/>
    <d v="2011-02-14T00:00:00"/>
    <n v="1"/>
    <n v="0"/>
    <n v="2"/>
    <n v="5"/>
    <b v="0"/>
    <n v="1"/>
    <x v="5"/>
    <n v="1"/>
    <n v="0.32"/>
    <s v="Cold"/>
    <n v="0.30299999999999999"/>
    <n v="0.53"/>
    <s v="High Humid"/>
    <n v="0.28360000000000002"/>
    <x v="1"/>
    <n v="3"/>
    <n v="3"/>
  </r>
  <r>
    <n v="999"/>
    <d v="2011-02-14T00:00:00"/>
    <n v="1"/>
    <n v="0"/>
    <n v="2"/>
    <n v="6"/>
    <b v="0"/>
    <n v="1"/>
    <x v="5"/>
    <n v="1"/>
    <n v="0.34"/>
    <s v="Cold"/>
    <n v="0.30299999999999999"/>
    <n v="0.46"/>
    <s v="High Humid"/>
    <n v="0.29849999999999999"/>
    <x v="3"/>
    <n v="25"/>
    <n v="26"/>
  </r>
  <r>
    <n v="1000"/>
    <d v="2011-02-14T00:00:00"/>
    <n v="1"/>
    <n v="0"/>
    <n v="2"/>
    <n v="7"/>
    <b v="0"/>
    <n v="1"/>
    <x v="5"/>
    <n v="1"/>
    <n v="0.34"/>
    <s v="Cold"/>
    <n v="0.30299999999999999"/>
    <n v="0.46"/>
    <s v="High Humid"/>
    <n v="0.29849999999999999"/>
    <x v="0"/>
    <n v="96"/>
    <n v="98"/>
  </r>
  <r>
    <n v="642"/>
    <d v="2011-01-30T00:00:00"/>
    <n v="1"/>
    <n v="0"/>
    <n v="1"/>
    <n v="0"/>
    <b v="0"/>
    <n v="0"/>
    <x v="6"/>
    <n v="1"/>
    <n v="0.16"/>
    <s v="Cold"/>
    <n v="0.18179999999999999"/>
    <n v="0.8"/>
    <s v="High Humid"/>
    <n v="0.1045"/>
    <x v="1"/>
    <n v="33"/>
    <n v="33"/>
  </r>
  <r>
    <n v="643"/>
    <d v="2011-01-30T00:00:00"/>
    <n v="1"/>
    <n v="0"/>
    <n v="1"/>
    <n v="1"/>
    <b v="0"/>
    <n v="0"/>
    <x v="6"/>
    <n v="1"/>
    <n v="0.14000000000000001"/>
    <s v="Cold"/>
    <n v="0.21210000000000001"/>
    <n v="0.8"/>
    <s v="High Humid"/>
    <n v="0"/>
    <x v="15"/>
    <n v="22"/>
    <n v="29"/>
  </r>
  <r>
    <n v="644"/>
    <d v="2011-01-30T00:00:00"/>
    <n v="1"/>
    <n v="0"/>
    <n v="1"/>
    <n v="2"/>
    <b v="0"/>
    <n v="0"/>
    <x v="6"/>
    <n v="1"/>
    <n v="0.16"/>
    <s v="Cold"/>
    <n v="0.2273"/>
    <n v="0.8"/>
    <s v="High Humid"/>
    <n v="0"/>
    <x v="3"/>
    <n v="10"/>
    <n v="11"/>
  </r>
  <r>
    <n v="645"/>
    <d v="2011-01-30T00:00:00"/>
    <n v="1"/>
    <n v="0"/>
    <n v="1"/>
    <n v="3"/>
    <b v="0"/>
    <n v="0"/>
    <x v="6"/>
    <n v="1"/>
    <n v="0.14000000000000001"/>
    <s v="Cold"/>
    <n v="0.21210000000000001"/>
    <n v="0.93"/>
    <s v="High Humid"/>
    <n v="0"/>
    <x v="3"/>
    <n v="7"/>
    <n v="8"/>
  </r>
  <r>
    <n v="646"/>
    <d v="2011-01-30T00:00:00"/>
    <n v="1"/>
    <n v="0"/>
    <n v="1"/>
    <n v="4"/>
    <b v="0"/>
    <n v="0"/>
    <x v="6"/>
    <n v="1"/>
    <n v="0.14000000000000001"/>
    <s v="Cold"/>
    <n v="0.21210000000000001"/>
    <n v="0.93"/>
    <s v="High Humid"/>
    <n v="0"/>
    <x v="1"/>
    <n v="1"/>
    <n v="1"/>
  </r>
  <r>
    <n v="647"/>
    <d v="2011-01-30T00:00:00"/>
    <n v="1"/>
    <n v="0"/>
    <n v="1"/>
    <n v="5"/>
    <b v="0"/>
    <n v="0"/>
    <x v="6"/>
    <n v="1"/>
    <n v="0.14000000000000001"/>
    <s v="Cold"/>
    <n v="0.21210000000000001"/>
    <n v="0.86"/>
    <s v="High Humid"/>
    <n v="0"/>
    <x v="1"/>
    <n v="3"/>
    <n v="3"/>
  </r>
  <r>
    <n v="648"/>
    <d v="2011-01-30T00:00:00"/>
    <n v="1"/>
    <n v="0"/>
    <n v="1"/>
    <n v="7"/>
    <b v="0"/>
    <n v="0"/>
    <x v="6"/>
    <n v="1"/>
    <n v="0.14000000000000001"/>
    <s v="Cold"/>
    <n v="0.21210000000000001"/>
    <n v="0.86"/>
    <s v="High Humid"/>
    <n v="0"/>
    <x v="1"/>
    <n v="3"/>
    <n v="3"/>
  </r>
  <r>
    <n v="649"/>
    <d v="2011-01-30T00:00:00"/>
    <n v="1"/>
    <n v="0"/>
    <n v="1"/>
    <n v="8"/>
    <b v="0"/>
    <n v="0"/>
    <x v="6"/>
    <n v="2"/>
    <n v="0.14000000000000001"/>
    <s v="Cold"/>
    <n v="0.21210000000000001"/>
    <n v="0.86"/>
    <s v="High Humid"/>
    <n v="0"/>
    <x v="3"/>
    <n v="11"/>
    <n v="12"/>
  </r>
  <r>
    <n v="650"/>
    <d v="2011-01-30T00:00:00"/>
    <n v="1"/>
    <n v="0"/>
    <n v="1"/>
    <n v="9"/>
    <b v="0"/>
    <n v="0"/>
    <x v="6"/>
    <n v="2"/>
    <n v="0.16"/>
    <s v="Cold"/>
    <n v="0.2273"/>
    <n v="0.8"/>
    <s v="High Humid"/>
    <n v="0"/>
    <x v="4"/>
    <n v="34"/>
    <n v="38"/>
  </r>
  <r>
    <n v="651"/>
    <d v="2011-01-30T00:00:00"/>
    <n v="1"/>
    <n v="0"/>
    <n v="1"/>
    <n v="10"/>
    <b v="0"/>
    <n v="0"/>
    <x v="6"/>
    <n v="2"/>
    <n v="0.18"/>
    <s v="Cold"/>
    <n v="0.2424"/>
    <n v="0.8"/>
    <s v="High Humid"/>
    <n v="0"/>
    <x v="15"/>
    <n v="57"/>
    <n v="64"/>
  </r>
  <r>
    <n v="652"/>
    <d v="2011-01-30T00:00:00"/>
    <n v="1"/>
    <n v="0"/>
    <n v="1"/>
    <n v="11"/>
    <b v="0"/>
    <n v="0"/>
    <x v="6"/>
    <n v="1"/>
    <n v="0.22"/>
    <s v="Cold"/>
    <n v="0.2727"/>
    <n v="0.75"/>
    <s v="High Humid"/>
    <n v="0"/>
    <x v="6"/>
    <n v="50"/>
    <n v="59"/>
  </r>
  <r>
    <n v="653"/>
    <d v="2011-01-30T00:00:00"/>
    <n v="1"/>
    <n v="0"/>
    <n v="1"/>
    <n v="12"/>
    <b v="0"/>
    <n v="0"/>
    <x v="6"/>
    <n v="1"/>
    <n v="0.3"/>
    <s v="Cold"/>
    <n v="0.31819999999999998"/>
    <n v="0.52"/>
    <s v="High Humid"/>
    <n v="0.1045"/>
    <x v="7"/>
    <n v="87"/>
    <n v="97"/>
  </r>
  <r>
    <n v="654"/>
    <d v="2011-01-30T00:00:00"/>
    <n v="1"/>
    <n v="0"/>
    <n v="1"/>
    <n v="13"/>
    <b v="0"/>
    <n v="0"/>
    <x v="6"/>
    <n v="1"/>
    <n v="0.28000000000000003"/>
    <s v="Cold"/>
    <n v="0.28789999999999999"/>
    <n v="0.61"/>
    <s v="High Humid"/>
    <n v="0.1045"/>
    <x v="16"/>
    <n v="71"/>
    <n v="84"/>
  </r>
  <r>
    <n v="655"/>
    <d v="2011-01-30T00:00:00"/>
    <n v="1"/>
    <n v="0"/>
    <n v="1"/>
    <n v="14"/>
    <b v="0"/>
    <n v="0"/>
    <x v="6"/>
    <n v="1"/>
    <n v="0.28000000000000003"/>
    <s v="Cold"/>
    <n v="0.30299999999999999"/>
    <n v="0.61"/>
    <s v="High Humid"/>
    <n v="8.9599999999999999E-2"/>
    <x v="26"/>
    <n v="104"/>
    <n v="122"/>
  </r>
  <r>
    <n v="656"/>
    <d v="2011-01-30T00:00:00"/>
    <n v="1"/>
    <n v="0"/>
    <n v="1"/>
    <n v="15"/>
    <b v="0"/>
    <n v="0"/>
    <x v="6"/>
    <n v="1"/>
    <n v="0.3"/>
    <s v="Cold"/>
    <n v="0.33329999999999999"/>
    <n v="0.56000000000000005"/>
    <s v="High Humid"/>
    <n v="0"/>
    <x v="14"/>
    <n v="95"/>
    <n v="109"/>
  </r>
  <r>
    <n v="657"/>
    <d v="2011-01-30T00:00:00"/>
    <n v="1"/>
    <n v="0"/>
    <n v="1"/>
    <n v="16"/>
    <b v="0"/>
    <n v="0"/>
    <x v="6"/>
    <n v="1"/>
    <n v="0.3"/>
    <s v="Cold"/>
    <n v="0.33329999999999999"/>
    <n v="0.56000000000000005"/>
    <s v="High Humid"/>
    <n v="0"/>
    <x v="9"/>
    <n v="104"/>
    <n v="123"/>
  </r>
  <r>
    <n v="658"/>
    <d v="2011-01-30T00:00:00"/>
    <n v="1"/>
    <n v="0"/>
    <n v="1"/>
    <n v="17"/>
    <b v="0"/>
    <n v="0"/>
    <x v="6"/>
    <n v="1"/>
    <n v="0.3"/>
    <s v="Cold"/>
    <n v="0.28789999999999999"/>
    <n v="0.56000000000000005"/>
    <s v="High Humid"/>
    <n v="0.19400000000000001"/>
    <x v="10"/>
    <n v="71"/>
    <n v="77"/>
  </r>
  <r>
    <n v="659"/>
    <d v="2011-01-30T00:00:00"/>
    <n v="1"/>
    <n v="0"/>
    <n v="1"/>
    <n v="18"/>
    <b v="0"/>
    <n v="0"/>
    <x v="6"/>
    <n v="1"/>
    <n v="0.26"/>
    <s v="Cold"/>
    <n v="0.2576"/>
    <n v="0.65"/>
    <s v="High Humid"/>
    <n v="0.16420000000000001"/>
    <x v="13"/>
    <n v="57"/>
    <n v="65"/>
  </r>
  <r>
    <n v="660"/>
    <d v="2011-01-30T00:00:00"/>
    <n v="1"/>
    <n v="0"/>
    <n v="1"/>
    <n v="19"/>
    <b v="0"/>
    <n v="0"/>
    <x v="6"/>
    <n v="1"/>
    <n v="0.26"/>
    <s v="Cold"/>
    <n v="0.2576"/>
    <n v="0.65"/>
    <s v="High Humid"/>
    <n v="0.19400000000000001"/>
    <x v="6"/>
    <n v="46"/>
    <n v="55"/>
  </r>
  <r>
    <n v="661"/>
    <d v="2011-01-30T00:00:00"/>
    <n v="1"/>
    <n v="0"/>
    <n v="1"/>
    <n v="20"/>
    <b v="0"/>
    <n v="0"/>
    <x v="6"/>
    <n v="2"/>
    <n v="0.26"/>
    <s v="Cold"/>
    <n v="0.2727"/>
    <n v="0.65"/>
    <s v="High Humid"/>
    <n v="0.1045"/>
    <x v="2"/>
    <n v="30"/>
    <n v="33"/>
  </r>
  <r>
    <n v="662"/>
    <d v="2011-01-30T00:00:00"/>
    <n v="1"/>
    <n v="0"/>
    <n v="1"/>
    <n v="21"/>
    <b v="0"/>
    <n v="0"/>
    <x v="6"/>
    <n v="2"/>
    <n v="0.24"/>
    <s v="Cold"/>
    <n v="0.2424"/>
    <n v="0.7"/>
    <s v="High Humid"/>
    <n v="0.16420000000000001"/>
    <x v="2"/>
    <n v="25"/>
    <n v="28"/>
  </r>
  <r>
    <n v="663"/>
    <d v="2011-01-30T00:00:00"/>
    <n v="1"/>
    <n v="0"/>
    <n v="1"/>
    <n v="22"/>
    <b v="0"/>
    <n v="0"/>
    <x v="6"/>
    <n v="2"/>
    <n v="0.24"/>
    <s v="Cold"/>
    <n v="0.2273"/>
    <n v="0.7"/>
    <s v="High Humid"/>
    <n v="0.19400000000000001"/>
    <x v="0"/>
    <n v="19"/>
    <n v="21"/>
  </r>
  <r>
    <n v="664"/>
    <d v="2011-01-30T00:00:00"/>
    <n v="1"/>
    <n v="0"/>
    <n v="1"/>
    <n v="23"/>
    <b v="0"/>
    <n v="0"/>
    <x v="6"/>
    <n v="2"/>
    <n v="0.24"/>
    <s v="Cold"/>
    <n v="0.21210000000000001"/>
    <n v="0.65"/>
    <s v="High Humid"/>
    <n v="0.28360000000000002"/>
    <x v="11"/>
    <n v="16"/>
    <n v="21"/>
  </r>
  <r>
    <n v="806"/>
    <d v="2011-02-06T00:00:00"/>
    <n v="1"/>
    <n v="0"/>
    <n v="2"/>
    <n v="0"/>
    <b v="0"/>
    <n v="0"/>
    <x v="6"/>
    <n v="1"/>
    <n v="0.26"/>
    <s v="Cold"/>
    <n v="0.2576"/>
    <n v="0.7"/>
    <s v="High Humid"/>
    <n v="0.19400000000000001"/>
    <x v="0"/>
    <n v="37"/>
    <n v="39"/>
  </r>
  <r>
    <n v="807"/>
    <d v="2011-02-06T00:00:00"/>
    <n v="1"/>
    <n v="0"/>
    <n v="2"/>
    <n v="1"/>
    <b v="0"/>
    <n v="0"/>
    <x v="6"/>
    <n v="1"/>
    <n v="0.26"/>
    <s v="Cold"/>
    <n v="0.2273"/>
    <n v="0.65"/>
    <s v="High Humid"/>
    <n v="0.41789999999999999"/>
    <x v="4"/>
    <n v="40"/>
    <n v="44"/>
  </r>
  <r>
    <n v="808"/>
    <d v="2011-02-06T00:00:00"/>
    <n v="1"/>
    <n v="0"/>
    <n v="2"/>
    <n v="2"/>
    <b v="0"/>
    <n v="0"/>
    <x v="6"/>
    <n v="1"/>
    <n v="0.26"/>
    <s v="Cold"/>
    <n v="0.2273"/>
    <n v="0.6"/>
    <s v="High Humid"/>
    <n v="0.32840000000000003"/>
    <x v="1"/>
    <n v="20"/>
    <n v="20"/>
  </r>
  <r>
    <n v="809"/>
    <d v="2011-02-06T00:00:00"/>
    <n v="1"/>
    <n v="0"/>
    <n v="2"/>
    <n v="3"/>
    <b v="0"/>
    <n v="0"/>
    <x v="6"/>
    <n v="1"/>
    <n v="0.26"/>
    <s v="Cold"/>
    <n v="0.28789999999999999"/>
    <n v="0.6"/>
    <s v="High Humid"/>
    <n v="8.9599999999999999E-2"/>
    <x v="2"/>
    <n v="10"/>
    <n v="13"/>
  </r>
  <r>
    <n v="810"/>
    <d v="2011-02-06T00:00:00"/>
    <n v="1"/>
    <n v="0"/>
    <n v="2"/>
    <n v="4"/>
    <b v="0"/>
    <n v="0"/>
    <x v="6"/>
    <n v="1"/>
    <n v="0.26"/>
    <s v="Cold"/>
    <n v="0.2273"/>
    <n v="0.6"/>
    <s v="High Humid"/>
    <n v="0.35820000000000002"/>
    <x v="1"/>
    <n v="2"/>
    <n v="2"/>
  </r>
  <r>
    <n v="811"/>
    <d v="2011-02-06T00:00:00"/>
    <n v="1"/>
    <n v="0"/>
    <n v="2"/>
    <n v="5"/>
    <b v="0"/>
    <n v="0"/>
    <x v="6"/>
    <n v="1"/>
    <n v="0.26"/>
    <s v="Cold"/>
    <n v="0.2576"/>
    <n v="0.6"/>
    <s v="High Humid"/>
    <n v="0.22389999999999999"/>
    <x v="1"/>
    <n v="1"/>
    <n v="1"/>
  </r>
  <r>
    <n v="812"/>
    <d v="2011-02-06T00:00:00"/>
    <n v="1"/>
    <n v="0"/>
    <n v="2"/>
    <n v="6"/>
    <b v="0"/>
    <n v="0"/>
    <x v="6"/>
    <n v="1"/>
    <n v="0.26"/>
    <s v="Cold"/>
    <n v="0.2576"/>
    <n v="0.6"/>
    <s v="High Humid"/>
    <n v="0.22389999999999999"/>
    <x v="1"/>
    <n v="1"/>
    <n v="1"/>
  </r>
  <r>
    <n v="813"/>
    <d v="2011-02-06T00:00:00"/>
    <n v="1"/>
    <n v="0"/>
    <n v="2"/>
    <n v="7"/>
    <b v="0"/>
    <n v="0"/>
    <x v="6"/>
    <n v="1"/>
    <n v="0.24"/>
    <s v="Cold"/>
    <n v="0.2424"/>
    <n v="0.65"/>
    <s v="High Humid"/>
    <n v="0.16420000000000001"/>
    <x v="1"/>
    <n v="8"/>
    <n v="8"/>
  </r>
  <r>
    <n v="814"/>
    <d v="2011-02-06T00:00:00"/>
    <n v="1"/>
    <n v="0"/>
    <n v="2"/>
    <n v="8"/>
    <b v="0"/>
    <n v="0"/>
    <x v="6"/>
    <n v="1"/>
    <n v="0.24"/>
    <s v="Cold"/>
    <n v="0.2576"/>
    <n v="0.65"/>
    <s v="High Humid"/>
    <n v="0.1045"/>
    <x v="0"/>
    <n v="21"/>
    <n v="23"/>
  </r>
  <r>
    <n v="815"/>
    <d v="2011-02-06T00:00:00"/>
    <n v="1"/>
    <n v="0"/>
    <n v="2"/>
    <n v="9"/>
    <b v="0"/>
    <n v="0"/>
    <x v="6"/>
    <n v="1"/>
    <n v="0.28000000000000003"/>
    <s v="Cold"/>
    <n v="0.28789999999999999"/>
    <n v="0.56000000000000005"/>
    <s v="High Humid"/>
    <n v="0.1045"/>
    <x v="15"/>
    <n v="38"/>
    <n v="45"/>
  </r>
  <r>
    <n v="816"/>
    <d v="2011-02-06T00:00:00"/>
    <n v="1"/>
    <n v="0"/>
    <n v="2"/>
    <n v="10"/>
    <b v="0"/>
    <n v="0"/>
    <x v="6"/>
    <n v="1"/>
    <n v="0.3"/>
    <s v="Cold"/>
    <n v="0.28789999999999999"/>
    <n v="0.52"/>
    <s v="High Humid"/>
    <n v="0.25369999999999998"/>
    <x v="23"/>
    <n v="74"/>
    <n v="89"/>
  </r>
  <r>
    <n v="817"/>
    <d v="2011-02-06T00:00:00"/>
    <n v="1"/>
    <n v="0"/>
    <n v="2"/>
    <n v="11"/>
    <b v="0"/>
    <n v="0"/>
    <x v="6"/>
    <n v="1"/>
    <n v="0.32"/>
    <s v="Cold"/>
    <n v="0.30299999999999999"/>
    <n v="0.49"/>
    <s v="High Humid"/>
    <n v="0.25369999999999998"/>
    <x v="28"/>
    <n v="89"/>
    <n v="117"/>
  </r>
  <r>
    <n v="818"/>
    <d v="2011-02-06T00:00:00"/>
    <n v="1"/>
    <n v="0"/>
    <n v="2"/>
    <n v="12"/>
    <b v="0"/>
    <n v="0"/>
    <x v="6"/>
    <n v="1"/>
    <n v="0.34"/>
    <s v="Cold"/>
    <n v="0.33329999999999999"/>
    <n v="0.46"/>
    <s v="High Humid"/>
    <n v="0"/>
    <x v="29"/>
    <n v="126"/>
    <n v="174"/>
  </r>
  <r>
    <n v="819"/>
    <d v="2011-02-06T00:00:00"/>
    <n v="1"/>
    <n v="0"/>
    <n v="2"/>
    <n v="13"/>
    <b v="0"/>
    <n v="0"/>
    <x v="6"/>
    <n v="1"/>
    <n v="0.34"/>
    <s v="Cold"/>
    <n v="0.36359999999999998"/>
    <n v="0.46"/>
    <s v="High Humid"/>
    <n v="0"/>
    <x v="20"/>
    <n v="135"/>
    <n v="182"/>
  </r>
  <r>
    <n v="820"/>
    <d v="2011-02-06T00:00:00"/>
    <n v="1"/>
    <n v="0"/>
    <n v="2"/>
    <n v="14"/>
    <b v="0"/>
    <n v="0"/>
    <x v="6"/>
    <n v="1"/>
    <n v="0.34"/>
    <s v="Cold"/>
    <n v="0.34849999999999998"/>
    <n v="0.46"/>
    <s v="High Humid"/>
    <n v="8.9599999999999999E-2"/>
    <x v="20"/>
    <n v="114"/>
    <n v="161"/>
  </r>
  <r>
    <n v="821"/>
    <d v="2011-02-06T00:00:00"/>
    <n v="1"/>
    <n v="0"/>
    <n v="2"/>
    <n v="15"/>
    <b v="0"/>
    <n v="0"/>
    <x v="6"/>
    <n v="1"/>
    <n v="0.34"/>
    <s v="Cold"/>
    <n v="0.34849999999999998"/>
    <n v="0.46"/>
    <s v="High Humid"/>
    <n v="8.9599999999999999E-2"/>
    <x v="30"/>
    <n v="130"/>
    <n v="182"/>
  </r>
  <r>
    <n v="822"/>
    <d v="2011-02-06T00:00:00"/>
    <n v="1"/>
    <n v="0"/>
    <n v="2"/>
    <n v="16"/>
    <b v="0"/>
    <n v="0"/>
    <x v="6"/>
    <n v="1"/>
    <n v="0.34"/>
    <s v="Cold"/>
    <n v="0.34849999999999998"/>
    <n v="0.49"/>
    <s v="High Humid"/>
    <n v="0.1045"/>
    <x v="21"/>
    <n v="115"/>
    <n v="157"/>
  </r>
  <r>
    <n v="823"/>
    <d v="2011-02-06T00:00:00"/>
    <n v="1"/>
    <n v="0"/>
    <n v="2"/>
    <n v="17"/>
    <b v="0"/>
    <n v="0"/>
    <x v="6"/>
    <n v="1"/>
    <n v="0.34"/>
    <s v="Cold"/>
    <n v="0.36359999999999998"/>
    <n v="0.46"/>
    <s v="High Humid"/>
    <n v="0"/>
    <x v="22"/>
    <n v="97"/>
    <n v="121"/>
  </r>
  <r>
    <n v="824"/>
    <d v="2011-02-06T00:00:00"/>
    <n v="1"/>
    <n v="0"/>
    <n v="2"/>
    <n v="18"/>
    <b v="0"/>
    <n v="0"/>
    <x v="6"/>
    <n v="1"/>
    <n v="0.3"/>
    <s v="Cold"/>
    <n v="0.30299999999999999"/>
    <n v="0.56000000000000005"/>
    <s v="High Humid"/>
    <n v="0.16420000000000001"/>
    <x v="16"/>
    <n v="65"/>
    <n v="78"/>
  </r>
  <r>
    <n v="825"/>
    <d v="2011-02-06T00:00:00"/>
    <n v="1"/>
    <n v="0"/>
    <n v="2"/>
    <n v="19"/>
    <b v="0"/>
    <n v="0"/>
    <x v="6"/>
    <n v="1"/>
    <n v="0.28000000000000003"/>
    <s v="Cold"/>
    <n v="0.28789999999999999"/>
    <n v="0.61"/>
    <s v="High Humid"/>
    <n v="0.1343"/>
    <x v="3"/>
    <n v="20"/>
    <n v="21"/>
  </r>
  <r>
    <n v="826"/>
    <d v="2011-02-06T00:00:00"/>
    <n v="1"/>
    <n v="0"/>
    <n v="2"/>
    <n v="20"/>
    <b v="0"/>
    <n v="0"/>
    <x v="6"/>
    <n v="1"/>
    <n v="0.28000000000000003"/>
    <s v="Cold"/>
    <n v="0.28789999999999999"/>
    <n v="0.61"/>
    <s v="High Humid"/>
    <n v="0.1045"/>
    <x v="11"/>
    <n v="21"/>
    <n v="26"/>
  </r>
  <r>
    <n v="827"/>
    <d v="2011-02-06T00:00:00"/>
    <n v="1"/>
    <n v="0"/>
    <n v="2"/>
    <n v="21"/>
    <b v="0"/>
    <n v="0"/>
    <x v="6"/>
    <n v="1"/>
    <n v="0.26"/>
    <s v="Cold"/>
    <n v="0.30299999999999999"/>
    <n v="0.6"/>
    <s v="High Humid"/>
    <n v="0"/>
    <x v="11"/>
    <n v="22"/>
    <n v="27"/>
  </r>
  <r>
    <n v="828"/>
    <d v="2011-02-06T00:00:00"/>
    <n v="1"/>
    <n v="0"/>
    <n v="2"/>
    <n v="22"/>
    <b v="0"/>
    <n v="0"/>
    <x v="6"/>
    <n v="1"/>
    <n v="0.26"/>
    <s v="Cold"/>
    <n v="0.30299999999999999"/>
    <n v="0.6"/>
    <s v="High Humid"/>
    <n v="0"/>
    <x v="11"/>
    <n v="57"/>
    <n v="62"/>
  </r>
  <r>
    <n v="829"/>
    <d v="2011-02-06T00:00:00"/>
    <n v="1"/>
    <n v="0"/>
    <n v="2"/>
    <n v="23"/>
    <b v="0"/>
    <n v="0"/>
    <x v="6"/>
    <n v="1"/>
    <n v="0.24"/>
    <s v="Cold"/>
    <n v="0.28789999999999999"/>
    <n v="0.65"/>
    <s v="High Humid"/>
    <n v="0"/>
    <x v="4"/>
    <n v="26"/>
    <n v="30"/>
  </r>
  <r>
    <n v="970"/>
    <d v="2011-02-13T00:00:00"/>
    <n v="1"/>
    <n v="0"/>
    <n v="2"/>
    <n v="0"/>
    <b v="0"/>
    <n v="0"/>
    <x v="6"/>
    <n v="1"/>
    <n v="0.2"/>
    <s v="Cold"/>
    <n v="0.2273"/>
    <n v="0.64"/>
    <s v="High Humid"/>
    <n v="0.1045"/>
    <x v="11"/>
    <n v="34"/>
    <n v="39"/>
  </r>
  <r>
    <n v="971"/>
    <d v="2011-02-13T00:00:00"/>
    <n v="1"/>
    <n v="0"/>
    <n v="2"/>
    <n v="1"/>
    <b v="0"/>
    <n v="0"/>
    <x v="6"/>
    <n v="1"/>
    <n v="0.2"/>
    <s v="Cold"/>
    <n v="0.2273"/>
    <n v="0.59"/>
    <s v="High Humid"/>
    <n v="8.9599999999999999E-2"/>
    <x v="3"/>
    <n v="23"/>
    <n v="24"/>
  </r>
  <r>
    <n v="972"/>
    <d v="2011-02-13T00:00:00"/>
    <n v="1"/>
    <n v="0"/>
    <n v="2"/>
    <n v="2"/>
    <b v="0"/>
    <n v="0"/>
    <x v="6"/>
    <n v="2"/>
    <n v="0.2"/>
    <s v="Cold"/>
    <n v="0.2273"/>
    <n v="0.75"/>
    <s v="High Humid"/>
    <n v="8.9599999999999999E-2"/>
    <x v="3"/>
    <n v="19"/>
    <n v="20"/>
  </r>
  <r>
    <n v="973"/>
    <d v="2011-02-13T00:00:00"/>
    <n v="1"/>
    <n v="0"/>
    <n v="2"/>
    <n v="3"/>
    <b v="0"/>
    <n v="0"/>
    <x v="6"/>
    <n v="2"/>
    <n v="0.2"/>
    <s v="Cold"/>
    <n v="0.2273"/>
    <n v="0.69"/>
    <s v="High Humid"/>
    <n v="0.1045"/>
    <x v="4"/>
    <n v="8"/>
    <n v="12"/>
  </r>
  <r>
    <n v="974"/>
    <d v="2011-02-13T00:00:00"/>
    <n v="1"/>
    <n v="0"/>
    <n v="2"/>
    <n v="4"/>
    <b v="0"/>
    <n v="0"/>
    <x v="6"/>
    <n v="2"/>
    <n v="0.2"/>
    <s v="Cold"/>
    <n v="0.21210000000000001"/>
    <n v="0.69"/>
    <s v="High Humid"/>
    <n v="0.16420000000000001"/>
    <x v="1"/>
    <n v="2"/>
    <n v="2"/>
  </r>
  <r>
    <n v="975"/>
    <d v="2011-02-13T00:00:00"/>
    <n v="1"/>
    <n v="0"/>
    <n v="2"/>
    <n v="6"/>
    <b v="0"/>
    <n v="0"/>
    <x v="6"/>
    <n v="2"/>
    <n v="0.2"/>
    <s v="Cold"/>
    <n v="0.21210000000000001"/>
    <n v="0.69"/>
    <s v="High Humid"/>
    <n v="0.1343"/>
    <x v="0"/>
    <n v="3"/>
    <n v="5"/>
  </r>
  <r>
    <n v="976"/>
    <d v="2011-02-13T00:00:00"/>
    <n v="1"/>
    <n v="0"/>
    <n v="2"/>
    <n v="7"/>
    <b v="0"/>
    <n v="0"/>
    <x v="6"/>
    <n v="2"/>
    <n v="0.22"/>
    <s v="Cold"/>
    <n v="0.2727"/>
    <n v="0.55000000000000004"/>
    <s v="High Humid"/>
    <n v="0"/>
    <x v="1"/>
    <n v="3"/>
    <n v="3"/>
  </r>
  <r>
    <n v="977"/>
    <d v="2011-02-13T00:00:00"/>
    <n v="1"/>
    <n v="0"/>
    <n v="2"/>
    <n v="8"/>
    <b v="0"/>
    <n v="0"/>
    <x v="6"/>
    <n v="2"/>
    <n v="0.22"/>
    <s v="Cold"/>
    <n v="0.2273"/>
    <n v="0.64"/>
    <s v="High Humid"/>
    <n v="0.19400000000000001"/>
    <x v="3"/>
    <n v="11"/>
    <n v="12"/>
  </r>
  <r>
    <n v="978"/>
    <d v="2011-02-13T00:00:00"/>
    <n v="1"/>
    <n v="0"/>
    <n v="2"/>
    <n v="9"/>
    <b v="0"/>
    <n v="0"/>
    <x v="6"/>
    <n v="2"/>
    <n v="0.24"/>
    <s v="Cold"/>
    <n v="0.2273"/>
    <n v="0.6"/>
    <s v="High Humid"/>
    <n v="0.22389999999999999"/>
    <x v="5"/>
    <n v="35"/>
    <n v="47"/>
  </r>
  <r>
    <n v="979"/>
    <d v="2011-02-13T00:00:00"/>
    <n v="1"/>
    <n v="0"/>
    <n v="2"/>
    <n v="10"/>
    <b v="0"/>
    <n v="0"/>
    <x v="6"/>
    <n v="1"/>
    <n v="0.3"/>
    <s v="Cold"/>
    <n v="0.2727"/>
    <n v="0.45"/>
    <s v="High Humid"/>
    <n v="0.32840000000000003"/>
    <x v="9"/>
    <n v="86"/>
    <n v="105"/>
  </r>
  <r>
    <n v="980"/>
    <d v="2011-02-13T00:00:00"/>
    <n v="1"/>
    <n v="0"/>
    <n v="2"/>
    <n v="11"/>
    <b v="0"/>
    <n v="0"/>
    <x v="6"/>
    <n v="1"/>
    <n v="0.32"/>
    <s v="Cold"/>
    <n v="0.28789999999999999"/>
    <n v="0.39"/>
    <s v="High Humid"/>
    <n v="0.44779999999999998"/>
    <x v="31"/>
    <n v="86"/>
    <n v="112"/>
  </r>
  <r>
    <n v="981"/>
    <d v="2011-02-13T00:00:00"/>
    <n v="1"/>
    <n v="0"/>
    <n v="2"/>
    <n v="12"/>
    <b v="0"/>
    <n v="0"/>
    <x v="6"/>
    <n v="1"/>
    <n v="0.36"/>
    <s v="Cold"/>
    <n v="0.31819999999999998"/>
    <n v="0.32"/>
    <s v="High Humid"/>
    <n v="0.4627"/>
    <x v="32"/>
    <n v="94"/>
    <n v="152"/>
  </r>
  <r>
    <n v="982"/>
    <d v="2011-02-13T00:00:00"/>
    <n v="1"/>
    <n v="0"/>
    <n v="2"/>
    <n v="13"/>
    <b v="0"/>
    <n v="0"/>
    <x v="6"/>
    <n v="1"/>
    <n v="0.38"/>
    <s v="Cold"/>
    <n v="0.39389999999999997"/>
    <n v="0.28999999999999998"/>
    <s v="Humid"/>
    <n v="0.35820000000000002"/>
    <x v="33"/>
    <n v="92"/>
    <n v="154"/>
  </r>
  <r>
    <n v="983"/>
    <d v="2011-02-13T00:00:00"/>
    <n v="1"/>
    <n v="0"/>
    <n v="2"/>
    <n v="14"/>
    <b v="0"/>
    <n v="0"/>
    <x v="6"/>
    <n v="2"/>
    <n v="0.4"/>
    <s v="Cold"/>
    <n v="0.40910000000000002"/>
    <n v="0.3"/>
    <s v="High Humid"/>
    <n v="0.41789999999999999"/>
    <x v="34"/>
    <n v="110"/>
    <n v="161"/>
  </r>
  <r>
    <n v="984"/>
    <d v="2011-02-13T00:00:00"/>
    <n v="1"/>
    <n v="0"/>
    <n v="2"/>
    <n v="15"/>
    <b v="0"/>
    <n v="0"/>
    <x v="6"/>
    <n v="2"/>
    <n v="0.4"/>
    <s v="Cold"/>
    <n v="0.40910000000000002"/>
    <n v="0.3"/>
    <s v="High Humid"/>
    <n v="0.29849999999999999"/>
    <x v="35"/>
    <n v="122"/>
    <n v="162"/>
  </r>
  <r>
    <n v="985"/>
    <d v="2011-02-13T00:00:00"/>
    <n v="1"/>
    <n v="0"/>
    <n v="2"/>
    <n v="16"/>
    <b v="0"/>
    <n v="0"/>
    <x v="6"/>
    <n v="2"/>
    <n v="0.42"/>
    <s v="Cold"/>
    <n v="0.42420000000000002"/>
    <n v="0.28000000000000003"/>
    <s v="Humid"/>
    <n v="0.32840000000000003"/>
    <x v="28"/>
    <n v="106"/>
    <n v="134"/>
  </r>
  <r>
    <n v="986"/>
    <d v="2011-02-13T00:00:00"/>
    <n v="1"/>
    <n v="0"/>
    <n v="2"/>
    <n v="17"/>
    <b v="0"/>
    <n v="0"/>
    <x v="6"/>
    <n v="1"/>
    <n v="0.42"/>
    <s v="Cold"/>
    <n v="0.42420000000000002"/>
    <n v="0.28000000000000003"/>
    <s v="Humid"/>
    <n v="0.32840000000000003"/>
    <x v="17"/>
    <n v="95"/>
    <n v="125"/>
  </r>
  <r>
    <n v="987"/>
    <d v="2011-02-13T00:00:00"/>
    <n v="1"/>
    <n v="0"/>
    <n v="2"/>
    <n v="18"/>
    <b v="0"/>
    <n v="0"/>
    <x v="6"/>
    <n v="1"/>
    <n v="0.4"/>
    <s v="Cold"/>
    <n v="0.40910000000000002"/>
    <n v="0.32"/>
    <s v="High Humid"/>
    <n v="0.29849999999999999"/>
    <x v="25"/>
    <n v="78"/>
    <n v="95"/>
  </r>
  <r>
    <n v="988"/>
    <d v="2011-02-13T00:00:00"/>
    <n v="1"/>
    <n v="0"/>
    <n v="2"/>
    <n v="19"/>
    <b v="0"/>
    <n v="0"/>
    <x v="6"/>
    <n v="1"/>
    <n v="0.4"/>
    <s v="Cold"/>
    <n v="0.40910000000000002"/>
    <n v="0.35"/>
    <s v="High Humid"/>
    <n v="0.28360000000000002"/>
    <x v="12"/>
    <n v="50"/>
    <n v="61"/>
  </r>
  <r>
    <n v="989"/>
    <d v="2011-02-13T00:00:00"/>
    <n v="1"/>
    <n v="0"/>
    <n v="2"/>
    <n v="20"/>
    <b v="0"/>
    <n v="0"/>
    <x v="6"/>
    <n v="1"/>
    <n v="0.4"/>
    <s v="Cold"/>
    <n v="0.40910000000000002"/>
    <n v="0.35"/>
    <s v="High Humid"/>
    <n v="0.32840000000000003"/>
    <x v="23"/>
    <n v="32"/>
    <n v="47"/>
  </r>
  <r>
    <n v="990"/>
    <d v="2011-02-13T00:00:00"/>
    <n v="1"/>
    <n v="0"/>
    <n v="2"/>
    <n v="21"/>
    <b v="0"/>
    <n v="0"/>
    <x v="6"/>
    <n v="1"/>
    <n v="0.4"/>
    <s v="Cold"/>
    <n v="0.40910000000000002"/>
    <n v="0.35"/>
    <s v="High Humid"/>
    <n v="0.35820000000000002"/>
    <x v="10"/>
    <n v="45"/>
    <n v="51"/>
  </r>
  <r>
    <n v="991"/>
    <d v="2011-02-13T00:00:00"/>
    <n v="1"/>
    <n v="0"/>
    <n v="2"/>
    <n v="22"/>
    <b v="0"/>
    <n v="0"/>
    <x v="6"/>
    <n v="1"/>
    <n v="0.4"/>
    <s v="Cold"/>
    <n v="0.40910000000000002"/>
    <n v="0.35"/>
    <s v="High Humid"/>
    <n v="0.29849999999999999"/>
    <x v="11"/>
    <n v="31"/>
    <n v="36"/>
  </r>
  <r>
    <n v="992"/>
    <d v="2011-02-13T00:00:00"/>
    <n v="1"/>
    <n v="0"/>
    <n v="2"/>
    <n v="23"/>
    <b v="0"/>
    <n v="0"/>
    <x v="6"/>
    <n v="1"/>
    <n v="0.4"/>
    <s v="Cold"/>
    <n v="0.40910000000000002"/>
    <n v="0.35"/>
    <s v="High Humid"/>
    <n v="0.35820000000000002"/>
    <x v="2"/>
    <n v="27"/>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59952-F198-45E8-A520-36B4F3FFC190}" name="PivotTable5" cacheId="17"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U4:X11" firstHeaderRow="0" firstDataRow="1" firstDataCol="1"/>
  <pivotFields count="19">
    <pivotField showAll="0"/>
    <pivotField numFmtId="164" showAll="0"/>
    <pivotField showAll="0"/>
    <pivotField showAll="0"/>
    <pivotField showAll="0"/>
    <pivotField showAll="0"/>
    <pivotField showAll="0"/>
    <pivotField showAll="0"/>
    <pivotField axis="axisRow" showAll="0">
      <items count="8">
        <item x="0"/>
        <item x="6"/>
        <item x="5"/>
        <item x="4"/>
        <item x="3"/>
        <item x="2"/>
        <item x="1"/>
        <item t="default"/>
      </items>
    </pivotField>
    <pivotField showAll="0"/>
    <pivotField showAll="0"/>
    <pivotField showAll="0"/>
    <pivotField showAll="0"/>
    <pivotField showAll="0"/>
    <pivotField showAll="0"/>
    <pivotField showAll="0"/>
    <pivotField dataField="1" showAll="0">
      <items count="37">
        <item x="1"/>
        <item x="3"/>
        <item x="0"/>
        <item x="2"/>
        <item x="4"/>
        <item x="11"/>
        <item x="10"/>
        <item x="15"/>
        <item x="13"/>
        <item x="6"/>
        <item x="7"/>
        <item x="12"/>
        <item x="5"/>
        <item x="16"/>
        <item x="14"/>
        <item x="23"/>
        <item x="27"/>
        <item x="25"/>
        <item x="26"/>
        <item x="9"/>
        <item x="24"/>
        <item x="8"/>
        <item x="22"/>
        <item x="31"/>
        <item x="18"/>
        <item x="28"/>
        <item x="17"/>
        <item x="19"/>
        <item x="35"/>
        <item x="21"/>
        <item x="20"/>
        <item x="29"/>
        <item x="34"/>
        <item x="30"/>
        <item x="32"/>
        <item x="33"/>
        <item t="default"/>
      </items>
    </pivotField>
    <pivotField dataField="1" showAll="0"/>
    <pivotField dataField="1" showAll="0"/>
  </pivotFields>
  <rowFields count="1">
    <field x="8"/>
  </rowFields>
  <rowItems count="7">
    <i>
      <x/>
    </i>
    <i>
      <x v="1"/>
    </i>
    <i>
      <x v="2"/>
    </i>
    <i>
      <x v="3"/>
    </i>
    <i>
      <x v="4"/>
    </i>
    <i>
      <x v="5"/>
    </i>
    <i>
      <x v="6"/>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chartFormats count="2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8" count="1" selected="0">
            <x v="0"/>
          </reference>
        </references>
      </pivotArea>
    </chartFormat>
    <chartFormat chart="1" format="6">
      <pivotArea type="data" outline="0" fieldPosition="0">
        <references count="2">
          <reference field="4294967294" count="1" selected="0">
            <x v="0"/>
          </reference>
          <reference field="8" count="1" selected="0">
            <x v="1"/>
          </reference>
        </references>
      </pivotArea>
    </chartFormat>
    <chartFormat chart="1" format="7">
      <pivotArea type="data" outline="0" fieldPosition="0">
        <references count="2">
          <reference field="4294967294" count="1" selected="0">
            <x v="0"/>
          </reference>
          <reference field="8" count="1" selected="0">
            <x v="2"/>
          </reference>
        </references>
      </pivotArea>
    </chartFormat>
    <chartFormat chart="1" format="8">
      <pivotArea type="data" outline="0" fieldPosition="0">
        <references count="2">
          <reference field="4294967294" count="1" selected="0">
            <x v="0"/>
          </reference>
          <reference field="8" count="1" selected="0">
            <x v="3"/>
          </reference>
        </references>
      </pivotArea>
    </chartFormat>
    <chartFormat chart="1" format="9">
      <pivotArea type="data" outline="0" fieldPosition="0">
        <references count="2">
          <reference field="4294967294" count="1" selected="0">
            <x v="0"/>
          </reference>
          <reference field="8" count="1" selected="0">
            <x v="4"/>
          </reference>
        </references>
      </pivotArea>
    </chartFormat>
    <chartFormat chart="1" format="10">
      <pivotArea type="data" outline="0" fieldPosition="0">
        <references count="2">
          <reference field="4294967294" count="1" selected="0">
            <x v="0"/>
          </reference>
          <reference field="8" count="1" selected="0">
            <x v="5"/>
          </reference>
        </references>
      </pivotArea>
    </chartFormat>
    <chartFormat chart="1" format="11">
      <pivotArea type="data" outline="0" fieldPosition="0">
        <references count="2">
          <reference field="4294967294" count="1" selected="0">
            <x v="0"/>
          </reference>
          <reference field="8" count="1" selected="0">
            <x v="6"/>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8" count="1" selected="0">
            <x v="0"/>
          </reference>
        </references>
      </pivotArea>
    </chartFormat>
    <chartFormat chart="1" format="14">
      <pivotArea type="data" outline="0" fieldPosition="0">
        <references count="2">
          <reference field="4294967294" count="1" selected="0">
            <x v="1"/>
          </reference>
          <reference field="8" count="1" selected="0">
            <x v="1"/>
          </reference>
        </references>
      </pivotArea>
    </chartFormat>
    <chartFormat chart="1" format="15">
      <pivotArea type="data" outline="0" fieldPosition="0">
        <references count="2">
          <reference field="4294967294" count="1" selected="0">
            <x v="1"/>
          </reference>
          <reference field="8" count="1" selected="0">
            <x v="2"/>
          </reference>
        </references>
      </pivotArea>
    </chartFormat>
    <chartFormat chart="1" format="16">
      <pivotArea type="data" outline="0" fieldPosition="0">
        <references count="2">
          <reference field="4294967294" count="1" selected="0">
            <x v="1"/>
          </reference>
          <reference field="8" count="1" selected="0">
            <x v="3"/>
          </reference>
        </references>
      </pivotArea>
    </chartFormat>
    <chartFormat chart="1" format="17">
      <pivotArea type="data" outline="0" fieldPosition="0">
        <references count="2">
          <reference field="4294967294" count="1" selected="0">
            <x v="1"/>
          </reference>
          <reference field="8" count="1" selected="0">
            <x v="4"/>
          </reference>
        </references>
      </pivotArea>
    </chartFormat>
    <chartFormat chart="1" format="18">
      <pivotArea type="data" outline="0" fieldPosition="0">
        <references count="2">
          <reference field="4294967294" count="1" selected="0">
            <x v="1"/>
          </reference>
          <reference field="8" count="1" selected="0">
            <x v="5"/>
          </reference>
        </references>
      </pivotArea>
    </chartFormat>
    <chartFormat chart="1" format="19">
      <pivotArea type="data" outline="0" fieldPosition="0">
        <references count="2">
          <reference field="4294967294" count="1" selected="0">
            <x v="1"/>
          </reference>
          <reference field="8" count="1" selected="0">
            <x v="6"/>
          </reference>
        </references>
      </pivotArea>
    </chartFormat>
    <chartFormat chart="1" format="20" series="1">
      <pivotArea type="data" outline="0" fieldPosition="0">
        <references count="1">
          <reference field="4294967294" count="1" selected="0">
            <x v="2"/>
          </reference>
        </references>
      </pivotArea>
    </chartFormat>
    <chartFormat chart="1" format="21">
      <pivotArea type="data" outline="0" fieldPosition="0">
        <references count="2">
          <reference field="4294967294" count="1" selected="0">
            <x v="2"/>
          </reference>
          <reference field="8" count="1" selected="0">
            <x v="0"/>
          </reference>
        </references>
      </pivotArea>
    </chartFormat>
    <chartFormat chart="1" format="22">
      <pivotArea type="data" outline="0" fieldPosition="0">
        <references count="2">
          <reference field="4294967294" count="1" selected="0">
            <x v="2"/>
          </reference>
          <reference field="8" count="1" selected="0">
            <x v="1"/>
          </reference>
        </references>
      </pivotArea>
    </chartFormat>
    <chartFormat chart="1" format="23">
      <pivotArea type="data" outline="0" fieldPosition="0">
        <references count="2">
          <reference field="4294967294" count="1" selected="0">
            <x v="2"/>
          </reference>
          <reference field="8" count="1" selected="0">
            <x v="2"/>
          </reference>
        </references>
      </pivotArea>
    </chartFormat>
    <chartFormat chart="1" format="24">
      <pivotArea type="data" outline="0" fieldPosition="0">
        <references count="2">
          <reference field="4294967294" count="1" selected="0">
            <x v="2"/>
          </reference>
          <reference field="8" count="1" selected="0">
            <x v="3"/>
          </reference>
        </references>
      </pivotArea>
    </chartFormat>
    <chartFormat chart="1" format="25">
      <pivotArea type="data" outline="0" fieldPosition="0">
        <references count="2">
          <reference field="4294967294" count="1" selected="0">
            <x v="2"/>
          </reference>
          <reference field="8" count="1" selected="0">
            <x v="4"/>
          </reference>
        </references>
      </pivotArea>
    </chartFormat>
    <chartFormat chart="1" format="26">
      <pivotArea type="data" outline="0" fieldPosition="0">
        <references count="2">
          <reference field="4294967294" count="1" selected="0">
            <x v="2"/>
          </reference>
          <reference field="8" count="1" selected="0">
            <x v="5"/>
          </reference>
        </references>
      </pivotArea>
    </chartFormat>
    <chartFormat chart="1" format="27">
      <pivotArea type="data" outline="0" fieldPosition="0">
        <references count="2">
          <reference field="4294967294" count="1" selected="0">
            <x v="2"/>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3E0F549B-8682-4C83-A636-23E71BC45BD1}" sourceName="Column1">
  <data>
    <tabular pivotCacheId="1518945245">
      <items count="7">
        <i x="0" s="1"/>
        <i x="6" s="1"/>
        <i x="5"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C6465D3C-91DF-433D-8D1B-2EC5F1507676}" cache="Slicer_Column1" caption="Colum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1AF40-E929-413F-80AE-24C062928E70}" name="Table5" displayName="Table5" ref="A1:S391" totalsRowShown="0" headerRowDxfId="20" dataDxfId="19">
  <autoFilter ref="A1:S391" xr:uid="{A08217E7-8CF6-4571-83A3-6F92DC8C1CD4}"/>
  <sortState xmlns:xlrd2="http://schemas.microsoft.com/office/spreadsheetml/2017/richdata2" ref="A2:S391">
    <sortCondition descending="1" ref="H1:H391"/>
  </sortState>
  <tableColumns count="19">
    <tableColumn id="1" xr3:uid="{E44D6303-0F6C-463C-A026-F6EA40A35951}" name="instant" dataDxfId="18"/>
    <tableColumn id="2" xr3:uid="{78BFB781-C5E1-40BD-8E32-242BD17FD04C}" name="dteday" dataDxfId="17"/>
    <tableColumn id="3" xr3:uid="{A6528411-C012-4E75-A92D-DABFBD120BF5}" name="season" dataDxfId="16"/>
    <tableColumn id="4" xr3:uid="{E26A885E-0D13-4CFB-878D-BF839B4F75FF}" name="yr" dataDxfId="15"/>
    <tableColumn id="5" xr3:uid="{2764B813-41CA-43AD-9D86-22741D4CF817}" name="mnth" dataDxfId="14"/>
    <tableColumn id="6" xr3:uid="{2A80DC2D-620A-4E7E-93FA-C1AE2631D179}" name="hr" dataDxfId="13"/>
    <tableColumn id="7" xr3:uid="{BDDA3175-A7C1-4C80-8E50-86D658B2753B}" name="holiday" dataDxfId="12"/>
    <tableColumn id="8" xr3:uid="{34A1DCF5-1DDF-4EB3-90DD-046B54263300}" name="weekday" dataDxfId="11"/>
    <tableColumn id="21" xr3:uid="{DEDEBBBE-4447-40AD-8855-4CD583BEDEF0}" name="Column1" dataDxfId="10">
      <calculatedColumnFormula>CHOOSE(H2+1,"Monday","Tuesday","Wednesday","Thursday","Friday","Saturday","Sunday")</calculatedColumnFormula>
    </tableColumn>
    <tableColumn id="9" xr3:uid="{7E9E7223-8396-4C17-B382-F108927577C6}" name="weathersit" dataDxfId="9"/>
    <tableColumn id="10" xr3:uid="{E0E63015-9125-4B23-B7D6-4393997681D7}" name="temp" dataDxfId="8"/>
    <tableColumn id="18" xr3:uid="{748AC5D9-C871-4660-93EE-1A5CB829EEA2}" name="Temputure" dataDxfId="7">
      <calculatedColumnFormula>IF(Table5[[#This Row],[temp]]&lt;24,"Cold","Hot")</calculatedColumnFormula>
    </tableColumn>
    <tableColumn id="11" xr3:uid="{67D0B289-BFA5-4531-9662-5E9A72AF5200}" name="atemp" dataDxfId="6"/>
    <tableColumn id="12" xr3:uid="{C420CEEA-132D-4A53-865E-10C9A8C5ACD4}" name="hum" dataDxfId="5"/>
    <tableColumn id="19" xr3:uid="{6897C4D9-BD08-4B11-B602-78F22C49A979}" name="Humidity" dataDxfId="4">
      <calculatedColumnFormula>IF(Table5[[#This Row],[hum]]&lt;0.3,"Humid",IF(Table5[[#This Row],[hum]]&gt;=0.3,"High Humid"))</calculatedColumnFormula>
    </tableColumn>
    <tableColumn id="13" xr3:uid="{6611E8C2-E435-4947-ABFB-F29308E7EAC1}" name="windspeed" dataDxfId="3"/>
    <tableColumn id="14" xr3:uid="{A912BDA2-39D6-4E8A-8BFE-17281B5EAE9E}" name="casual" dataDxfId="2"/>
    <tableColumn id="15" xr3:uid="{5E9929E2-812C-4BD3-B0D8-B55D77B1E1F5}" name="registered" dataDxfId="1"/>
    <tableColumn id="16" xr3:uid="{083249FA-FF00-4068-A309-8067B7F1854F}" name="c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8114-0F89-42E7-B80A-72785B6220C8}">
  <sheetPr>
    <tabColor theme="7" tint="0.79998168889431442"/>
  </sheetPr>
  <dimension ref="A1:X391"/>
  <sheetViews>
    <sheetView tabSelected="1" topLeftCell="A2" workbookViewId="0">
      <selection activeCell="G11" sqref="G11"/>
    </sheetView>
  </sheetViews>
  <sheetFormatPr defaultRowHeight="15" x14ac:dyDescent="0.25"/>
  <cols>
    <col min="1" max="1" width="9.42578125" bestFit="1" customWidth="1"/>
    <col min="2" max="2" width="11.5703125" bestFit="1" customWidth="1"/>
    <col min="3" max="7" width="9.42578125" bestFit="1" customWidth="1"/>
    <col min="8" max="8" width="10.140625" customWidth="1"/>
    <col min="9" max="9" width="14" bestFit="1" customWidth="1"/>
    <col min="10" max="10" width="11.7109375" customWidth="1"/>
    <col min="11" max="11" width="9.42578125" bestFit="1" customWidth="1"/>
    <col min="12" max="12" width="12.140625" bestFit="1" customWidth="1"/>
    <col min="13" max="14" width="9.42578125" bestFit="1" customWidth="1"/>
    <col min="15" max="15" width="11.28515625" customWidth="1"/>
    <col min="16" max="16" width="11.7109375" customWidth="1"/>
    <col min="17" max="17" width="9.42578125" bestFit="1" customWidth="1"/>
    <col min="18" max="18" width="11.28515625" customWidth="1"/>
    <col min="19" max="19" width="9.42578125" bestFit="1" customWidth="1"/>
    <col min="21" max="22" width="13.140625" bestFit="1" customWidth="1"/>
    <col min="23" max="23" width="16.85546875" bestFit="1" customWidth="1"/>
    <col min="24" max="24" width="10.28515625" bestFit="1" customWidth="1"/>
  </cols>
  <sheetData>
    <row r="1" spans="1:24" x14ac:dyDescent="0.25">
      <c r="A1" s="4" t="s">
        <v>29</v>
      </c>
      <c r="B1" s="4" t="s">
        <v>28</v>
      </c>
      <c r="C1" s="4" t="s">
        <v>27</v>
      </c>
      <c r="D1" s="4" t="s">
        <v>26</v>
      </c>
      <c r="E1" s="4" t="s">
        <v>25</v>
      </c>
      <c r="F1" s="4" t="s">
        <v>24</v>
      </c>
      <c r="G1" s="4" t="s">
        <v>23</v>
      </c>
      <c r="H1" s="4" t="s">
        <v>22</v>
      </c>
      <c r="I1" s="4" t="s">
        <v>21</v>
      </c>
      <c r="J1" s="4" t="s">
        <v>20</v>
      </c>
      <c r="K1" s="4" t="s">
        <v>19</v>
      </c>
      <c r="L1" s="4" t="s">
        <v>18</v>
      </c>
      <c r="M1" s="4" t="s">
        <v>17</v>
      </c>
      <c r="N1" s="4" t="s">
        <v>16</v>
      </c>
      <c r="O1" s="4" t="s">
        <v>15</v>
      </c>
      <c r="P1" s="4" t="s">
        <v>14</v>
      </c>
      <c r="Q1" s="4" t="s">
        <v>13</v>
      </c>
      <c r="R1" s="4" t="s">
        <v>12</v>
      </c>
      <c r="S1" s="4" t="s">
        <v>11</v>
      </c>
    </row>
    <row r="2" spans="1:24" x14ac:dyDescent="0.25">
      <c r="A2">
        <v>619</v>
      </c>
      <c r="B2" s="1">
        <v>40572</v>
      </c>
      <c r="C2">
        <v>1</v>
      </c>
      <c r="D2">
        <v>0</v>
      </c>
      <c r="E2">
        <v>1</v>
      </c>
      <c r="F2">
        <v>0</v>
      </c>
      <c r="G2" t="b">
        <v>0</v>
      </c>
      <c r="H2">
        <v>6</v>
      </c>
      <c r="I2" t="str">
        <f>CHOOSE(H2+1,"Monday","Tuesday","Wednesday","Thursday","Friday","Saturday","Sunday")</f>
        <v>Sunday</v>
      </c>
      <c r="J2">
        <v>1</v>
      </c>
      <c r="K2">
        <v>0.22</v>
      </c>
      <c r="L2" t="str">
        <f>IF(Table5[[#This Row],[temp]]&lt;24,"Cold","Hot")</f>
        <v>Cold</v>
      </c>
      <c r="M2">
        <v>0.19700000000000001</v>
      </c>
      <c r="N2">
        <v>0.64</v>
      </c>
      <c r="O2" t="str">
        <f>IF(Table5[[#This Row],[hum]]&lt;0.3,"Humid",IF(Table5[[#This Row],[hum]]&gt;=0.3,"High Humid"))</f>
        <v>High Humid</v>
      </c>
      <c r="P2">
        <v>0.35820000000000002</v>
      </c>
      <c r="Q2">
        <v>2</v>
      </c>
      <c r="R2">
        <v>26</v>
      </c>
      <c r="S2">
        <v>28</v>
      </c>
    </row>
    <row r="3" spans="1:24" x14ac:dyDescent="0.25">
      <c r="A3">
        <v>620</v>
      </c>
      <c r="B3" s="1">
        <v>40572</v>
      </c>
      <c r="C3">
        <v>1</v>
      </c>
      <c r="D3">
        <v>0</v>
      </c>
      <c r="E3">
        <v>1</v>
      </c>
      <c r="F3">
        <v>1</v>
      </c>
      <c r="G3" t="b">
        <v>0</v>
      </c>
      <c r="H3">
        <v>6</v>
      </c>
      <c r="I3" t="str">
        <f>CHOOSE(H3+1,"Monday","Tuesday","Wednesday","Thursday","Friday","Saturday","Sunday")</f>
        <v>Sunday</v>
      </c>
      <c r="J3">
        <v>1</v>
      </c>
      <c r="K3">
        <v>0.22</v>
      </c>
      <c r="L3" t="str">
        <f>IF(Table5[[#This Row],[temp]]&lt;24,"Cold","Hot")</f>
        <v>Cold</v>
      </c>
      <c r="M3">
        <v>0.2273</v>
      </c>
      <c r="N3">
        <v>0.64</v>
      </c>
      <c r="O3" t="str">
        <f>IF(Table5[[#This Row],[hum]]&lt;0.3,"Humid",IF(Table5[[#This Row],[hum]]&gt;=0.3,"High Humid"))</f>
        <v>High Humid</v>
      </c>
      <c r="P3">
        <v>0.19400000000000001</v>
      </c>
      <c r="Q3">
        <v>0</v>
      </c>
      <c r="R3">
        <v>20</v>
      </c>
      <c r="S3">
        <v>20</v>
      </c>
    </row>
    <row r="4" spans="1:24" x14ac:dyDescent="0.25">
      <c r="A4">
        <v>621</v>
      </c>
      <c r="B4" s="1">
        <v>40572</v>
      </c>
      <c r="C4">
        <v>1</v>
      </c>
      <c r="D4">
        <v>0</v>
      </c>
      <c r="E4">
        <v>1</v>
      </c>
      <c r="F4">
        <v>2</v>
      </c>
      <c r="G4" t="b">
        <v>0</v>
      </c>
      <c r="H4">
        <v>6</v>
      </c>
      <c r="I4" t="str">
        <f>CHOOSE(H4+1,"Monday","Tuesday","Wednesday","Thursday","Friday","Saturday","Sunday")</f>
        <v>Sunday</v>
      </c>
      <c r="J4">
        <v>1</v>
      </c>
      <c r="K4">
        <v>0.22</v>
      </c>
      <c r="L4" t="str">
        <f>IF(Table5[[#This Row],[temp]]&lt;24,"Cold","Hot")</f>
        <v>Cold</v>
      </c>
      <c r="M4">
        <v>0.2273</v>
      </c>
      <c r="N4">
        <v>0.64</v>
      </c>
      <c r="O4" t="str">
        <f>IF(Table5[[#This Row],[hum]]&lt;0.3,"Humid",IF(Table5[[#This Row],[hum]]&gt;=0.3,"High Humid"))</f>
        <v>High Humid</v>
      </c>
      <c r="P4">
        <v>0.16420000000000001</v>
      </c>
      <c r="Q4">
        <v>0</v>
      </c>
      <c r="R4">
        <v>15</v>
      </c>
      <c r="S4">
        <v>15</v>
      </c>
      <c r="U4" s="3" t="s">
        <v>10</v>
      </c>
      <c r="V4" t="s">
        <v>9</v>
      </c>
      <c r="W4" t="s">
        <v>8</v>
      </c>
      <c r="X4" t="s">
        <v>7</v>
      </c>
    </row>
    <row r="5" spans="1:24" x14ac:dyDescent="0.25">
      <c r="A5">
        <v>622</v>
      </c>
      <c r="B5" s="1">
        <v>40572</v>
      </c>
      <c r="C5">
        <v>1</v>
      </c>
      <c r="D5">
        <v>0</v>
      </c>
      <c r="E5">
        <v>1</v>
      </c>
      <c r="F5">
        <v>3</v>
      </c>
      <c r="G5" t="b">
        <v>0</v>
      </c>
      <c r="H5">
        <v>6</v>
      </c>
      <c r="I5" t="str">
        <f>CHOOSE(H5+1,"Monday","Tuesday","Wednesday","Thursday","Friday","Saturday","Sunday")</f>
        <v>Sunday</v>
      </c>
      <c r="J5">
        <v>1</v>
      </c>
      <c r="K5">
        <v>0.2</v>
      </c>
      <c r="L5" t="str">
        <f>IF(Table5[[#This Row],[temp]]&lt;24,"Cold","Hot")</f>
        <v>Cold</v>
      </c>
      <c r="M5">
        <v>0.21210000000000001</v>
      </c>
      <c r="N5">
        <v>0.64</v>
      </c>
      <c r="O5" t="str">
        <f>IF(Table5[[#This Row],[hum]]&lt;0.3,"Humid",IF(Table5[[#This Row],[hum]]&gt;=0.3,"High Humid"))</f>
        <v>High Humid</v>
      </c>
      <c r="P5">
        <v>0.1343</v>
      </c>
      <c r="Q5">
        <v>3</v>
      </c>
      <c r="R5">
        <v>5</v>
      </c>
      <c r="S5">
        <v>8</v>
      </c>
      <c r="U5" s="2" t="s">
        <v>6</v>
      </c>
      <c r="V5">
        <v>511</v>
      </c>
      <c r="W5">
        <v>3064</v>
      </c>
      <c r="X5">
        <v>3575</v>
      </c>
    </row>
    <row r="6" spans="1:24" x14ac:dyDescent="0.25">
      <c r="A6">
        <v>623</v>
      </c>
      <c r="B6" s="1">
        <v>40572</v>
      </c>
      <c r="C6">
        <v>1</v>
      </c>
      <c r="D6">
        <v>0</v>
      </c>
      <c r="E6">
        <v>1</v>
      </c>
      <c r="F6">
        <v>4</v>
      </c>
      <c r="G6" t="b">
        <v>0</v>
      </c>
      <c r="H6">
        <v>6</v>
      </c>
      <c r="I6" t="str">
        <f>CHOOSE(H6+1,"Monday","Tuesday","Wednesday","Thursday","Friday","Saturday","Sunday")</f>
        <v>Sunday</v>
      </c>
      <c r="J6">
        <v>1</v>
      </c>
      <c r="K6">
        <v>0.16</v>
      </c>
      <c r="L6" t="str">
        <f>IF(Table5[[#This Row],[temp]]&lt;24,"Cold","Hot")</f>
        <v>Cold</v>
      </c>
      <c r="M6">
        <v>0.18179999999999999</v>
      </c>
      <c r="N6">
        <v>0.69</v>
      </c>
      <c r="O6" t="str">
        <f>IF(Table5[[#This Row],[hum]]&lt;0.3,"Humid",IF(Table5[[#This Row],[hum]]&gt;=0.3,"High Humid"))</f>
        <v>High Humid</v>
      </c>
      <c r="P6">
        <v>0.1045</v>
      </c>
      <c r="Q6">
        <v>1</v>
      </c>
      <c r="R6">
        <v>2</v>
      </c>
      <c r="S6">
        <v>3</v>
      </c>
      <c r="U6" s="2" t="s">
        <v>5</v>
      </c>
      <c r="V6">
        <v>891</v>
      </c>
      <c r="W6">
        <v>3417</v>
      </c>
      <c r="X6">
        <v>4308</v>
      </c>
    </row>
    <row r="7" spans="1:24" x14ac:dyDescent="0.25">
      <c r="A7">
        <v>624</v>
      </c>
      <c r="B7" s="1">
        <v>40572</v>
      </c>
      <c r="C7">
        <v>1</v>
      </c>
      <c r="D7">
        <v>0</v>
      </c>
      <c r="E7">
        <v>1</v>
      </c>
      <c r="F7">
        <v>6</v>
      </c>
      <c r="G7" t="b">
        <v>0</v>
      </c>
      <c r="H7">
        <v>6</v>
      </c>
      <c r="I7" t="str">
        <f>CHOOSE(H7+1,"Monday","Tuesday","Wednesday","Thursday","Friday","Saturday","Sunday")</f>
        <v>Sunday</v>
      </c>
      <c r="J7">
        <v>1</v>
      </c>
      <c r="K7">
        <v>0.16</v>
      </c>
      <c r="L7" t="str">
        <f>IF(Table5[[#This Row],[temp]]&lt;24,"Cold","Hot")</f>
        <v>Cold</v>
      </c>
      <c r="M7">
        <v>0.18179999999999999</v>
      </c>
      <c r="N7">
        <v>0.64</v>
      </c>
      <c r="O7" t="str">
        <f>IF(Table5[[#This Row],[hum]]&lt;0.3,"Humid",IF(Table5[[#This Row],[hum]]&gt;=0.3,"High Humid"))</f>
        <v>High Humid</v>
      </c>
      <c r="P7">
        <v>0.1343</v>
      </c>
      <c r="Q7">
        <v>0</v>
      </c>
      <c r="R7">
        <v>2</v>
      </c>
      <c r="S7">
        <v>2</v>
      </c>
      <c r="U7" s="2" t="s">
        <v>4</v>
      </c>
      <c r="V7">
        <v>170</v>
      </c>
      <c r="W7">
        <v>3194</v>
      </c>
      <c r="X7">
        <v>3364</v>
      </c>
    </row>
    <row r="8" spans="1:24" x14ac:dyDescent="0.25">
      <c r="A8">
        <v>625</v>
      </c>
      <c r="B8" s="1">
        <v>40572</v>
      </c>
      <c r="C8">
        <v>1</v>
      </c>
      <c r="D8">
        <v>0</v>
      </c>
      <c r="E8">
        <v>1</v>
      </c>
      <c r="F8">
        <v>7</v>
      </c>
      <c r="G8" t="b">
        <v>0</v>
      </c>
      <c r="H8">
        <v>6</v>
      </c>
      <c r="I8" t="str">
        <f>CHOOSE(H8+1,"Monday","Tuesday","Wednesday","Thursday","Friday","Saturday","Sunday")</f>
        <v>Sunday</v>
      </c>
      <c r="J8">
        <v>1</v>
      </c>
      <c r="K8">
        <v>0.16</v>
      </c>
      <c r="L8" t="str">
        <f>IF(Table5[[#This Row],[temp]]&lt;24,"Cold","Hot")</f>
        <v>Cold</v>
      </c>
      <c r="M8">
        <v>0.18179999999999999</v>
      </c>
      <c r="N8">
        <v>0.59</v>
      </c>
      <c r="O8" t="str">
        <f>IF(Table5[[#This Row],[hum]]&lt;0.3,"Humid",IF(Table5[[#This Row],[hum]]&gt;=0.3,"High Humid"))</f>
        <v>High Humid</v>
      </c>
      <c r="P8">
        <v>0.1045</v>
      </c>
      <c r="Q8">
        <v>1</v>
      </c>
      <c r="R8">
        <v>4</v>
      </c>
      <c r="S8">
        <v>5</v>
      </c>
      <c r="U8" s="2" t="s">
        <v>3</v>
      </c>
      <c r="V8">
        <v>111</v>
      </c>
      <c r="W8">
        <v>2779</v>
      </c>
      <c r="X8">
        <v>2890</v>
      </c>
    </row>
    <row r="9" spans="1:24" x14ac:dyDescent="0.25">
      <c r="A9">
        <v>626</v>
      </c>
      <c r="B9" s="1">
        <v>40572</v>
      </c>
      <c r="C9">
        <v>1</v>
      </c>
      <c r="D9">
        <v>0</v>
      </c>
      <c r="E9">
        <v>1</v>
      </c>
      <c r="F9">
        <v>8</v>
      </c>
      <c r="G9" t="b">
        <v>0</v>
      </c>
      <c r="H9">
        <v>6</v>
      </c>
      <c r="I9" t="str">
        <f>CHOOSE(H9+1,"Monday","Tuesday","Wednesday","Thursday","Friday","Saturday","Sunday")</f>
        <v>Sunday</v>
      </c>
      <c r="J9">
        <v>1</v>
      </c>
      <c r="K9">
        <v>0.18</v>
      </c>
      <c r="L9" t="str">
        <f>IF(Table5[[#This Row],[temp]]&lt;24,"Cold","Hot")</f>
        <v>Cold</v>
      </c>
      <c r="M9">
        <v>0.19700000000000001</v>
      </c>
      <c r="N9">
        <v>0.55000000000000004</v>
      </c>
      <c r="O9" t="str">
        <f>IF(Table5[[#This Row],[hum]]&lt;0.3,"Humid",IF(Table5[[#This Row],[hum]]&gt;=0.3,"High Humid"))</f>
        <v>High Humid</v>
      </c>
      <c r="P9">
        <v>0.16420000000000001</v>
      </c>
      <c r="Q9">
        <v>3</v>
      </c>
      <c r="R9">
        <v>31</v>
      </c>
      <c r="S9">
        <v>34</v>
      </c>
      <c r="U9" s="2" t="s">
        <v>2</v>
      </c>
      <c r="V9">
        <v>125</v>
      </c>
      <c r="W9">
        <v>3006</v>
      </c>
      <c r="X9">
        <v>3131</v>
      </c>
    </row>
    <row r="10" spans="1:24" x14ac:dyDescent="0.25">
      <c r="A10">
        <v>627</v>
      </c>
      <c r="B10" s="1">
        <v>40572</v>
      </c>
      <c r="C10">
        <v>1</v>
      </c>
      <c r="D10">
        <v>0</v>
      </c>
      <c r="E10">
        <v>1</v>
      </c>
      <c r="F10">
        <v>9</v>
      </c>
      <c r="G10" t="b">
        <v>0</v>
      </c>
      <c r="H10">
        <v>6</v>
      </c>
      <c r="I10" t="str">
        <f>CHOOSE(H10+1,"Monday","Tuesday","Wednesday","Thursday","Friday","Saturday","Sunday")</f>
        <v>Sunday</v>
      </c>
      <c r="J10">
        <v>1</v>
      </c>
      <c r="K10">
        <v>0.18</v>
      </c>
      <c r="L10" t="str">
        <f>IF(Table5[[#This Row],[temp]]&lt;24,"Cold","Hot")</f>
        <v>Cold</v>
      </c>
      <c r="M10">
        <v>0.21210000000000001</v>
      </c>
      <c r="N10">
        <v>0.59</v>
      </c>
      <c r="O10" t="str">
        <f>IF(Table5[[#This Row],[hum]]&lt;0.3,"Humid",IF(Table5[[#This Row],[hum]]&gt;=0.3,"High Humid"))</f>
        <v>High Humid</v>
      </c>
      <c r="P10">
        <v>8.9599999999999999E-2</v>
      </c>
      <c r="Q10">
        <v>0</v>
      </c>
      <c r="R10">
        <v>34</v>
      </c>
      <c r="S10">
        <v>34</v>
      </c>
      <c r="U10" s="2" t="s">
        <v>1</v>
      </c>
      <c r="V10">
        <v>108</v>
      </c>
      <c r="W10">
        <v>2980</v>
      </c>
      <c r="X10">
        <v>3088</v>
      </c>
    </row>
    <row r="11" spans="1:24" x14ac:dyDescent="0.25">
      <c r="A11">
        <v>628</v>
      </c>
      <c r="B11" s="1">
        <v>40572</v>
      </c>
      <c r="C11">
        <v>1</v>
      </c>
      <c r="D11">
        <v>0</v>
      </c>
      <c r="E11">
        <v>1</v>
      </c>
      <c r="F11">
        <v>10</v>
      </c>
      <c r="G11" t="b">
        <v>0</v>
      </c>
      <c r="H11">
        <v>6</v>
      </c>
      <c r="I11" t="str">
        <f>CHOOSE(H11+1,"Monday","Tuesday","Wednesday","Thursday","Friday","Saturday","Sunday")</f>
        <v>Sunday</v>
      </c>
      <c r="J11">
        <v>2</v>
      </c>
      <c r="K11">
        <v>0.18</v>
      </c>
      <c r="L11" t="str">
        <f>IF(Table5[[#This Row],[temp]]&lt;24,"Cold","Hot")</f>
        <v>Cold</v>
      </c>
      <c r="M11">
        <v>0.21210000000000001</v>
      </c>
      <c r="N11">
        <v>0.64</v>
      </c>
      <c r="O11" t="str">
        <f>IF(Table5[[#This Row],[hum]]&lt;0.3,"Humid",IF(Table5[[#This Row],[hum]]&gt;=0.3,"High Humid"))</f>
        <v>High Humid</v>
      </c>
      <c r="P11">
        <v>0.1045</v>
      </c>
      <c r="Q11">
        <v>4</v>
      </c>
      <c r="R11">
        <v>51</v>
      </c>
      <c r="S11">
        <v>55</v>
      </c>
      <c r="U11" s="2" t="s">
        <v>0</v>
      </c>
      <c r="V11">
        <v>259</v>
      </c>
      <c r="W11">
        <v>3791</v>
      </c>
      <c r="X11">
        <v>4050</v>
      </c>
    </row>
    <row r="12" spans="1:24" x14ac:dyDescent="0.25">
      <c r="A12">
        <v>629</v>
      </c>
      <c r="B12" s="1">
        <v>40572</v>
      </c>
      <c r="C12">
        <v>1</v>
      </c>
      <c r="D12">
        <v>0</v>
      </c>
      <c r="E12">
        <v>1</v>
      </c>
      <c r="F12">
        <v>11</v>
      </c>
      <c r="G12" t="b">
        <v>0</v>
      </c>
      <c r="H12">
        <v>6</v>
      </c>
      <c r="I12" t="str">
        <f>CHOOSE(H12+1,"Monday","Tuesday","Wednesday","Thursday","Friday","Saturday","Sunday")</f>
        <v>Sunday</v>
      </c>
      <c r="J12">
        <v>2</v>
      </c>
      <c r="K12">
        <v>0.18</v>
      </c>
      <c r="L12" t="str">
        <f>IF(Table5[[#This Row],[temp]]&lt;24,"Cold","Hot")</f>
        <v>Cold</v>
      </c>
      <c r="M12">
        <v>0.19700000000000001</v>
      </c>
      <c r="N12">
        <v>0.64</v>
      </c>
      <c r="O12" t="str">
        <f>IF(Table5[[#This Row],[hum]]&lt;0.3,"Humid",IF(Table5[[#This Row],[hum]]&gt;=0.3,"High Humid"))</f>
        <v>High Humid</v>
      </c>
      <c r="P12">
        <v>0.1343</v>
      </c>
      <c r="Q12">
        <v>4</v>
      </c>
      <c r="R12">
        <v>60</v>
      </c>
      <c r="S12">
        <v>64</v>
      </c>
    </row>
    <row r="13" spans="1:24" x14ac:dyDescent="0.25">
      <c r="A13">
        <v>630</v>
      </c>
      <c r="B13" s="1">
        <v>40572</v>
      </c>
      <c r="C13">
        <v>1</v>
      </c>
      <c r="D13">
        <v>0</v>
      </c>
      <c r="E13">
        <v>1</v>
      </c>
      <c r="F13">
        <v>12</v>
      </c>
      <c r="G13" t="b">
        <v>0</v>
      </c>
      <c r="H13">
        <v>6</v>
      </c>
      <c r="I13" t="str">
        <f>CHOOSE(H13+1,"Monday","Tuesday","Wednesday","Thursday","Friday","Saturday","Sunday")</f>
        <v>Sunday</v>
      </c>
      <c r="J13">
        <v>2</v>
      </c>
      <c r="K13">
        <v>0.2</v>
      </c>
      <c r="L13" t="str">
        <f>IF(Table5[[#This Row],[temp]]&lt;24,"Cold","Hot")</f>
        <v>Cold</v>
      </c>
      <c r="M13">
        <v>0.19700000000000001</v>
      </c>
      <c r="N13">
        <v>0.59</v>
      </c>
      <c r="O13" t="str">
        <f>IF(Table5[[#This Row],[hum]]&lt;0.3,"Humid",IF(Table5[[#This Row],[hum]]&gt;=0.3,"High Humid"))</f>
        <v>High Humid</v>
      </c>
      <c r="P13">
        <v>0.19400000000000001</v>
      </c>
      <c r="Q13">
        <v>12</v>
      </c>
      <c r="R13">
        <v>66</v>
      </c>
      <c r="S13">
        <v>78</v>
      </c>
    </row>
    <row r="14" spans="1:24" x14ac:dyDescent="0.25">
      <c r="A14">
        <v>631</v>
      </c>
      <c r="B14" s="1">
        <v>40572</v>
      </c>
      <c r="C14">
        <v>1</v>
      </c>
      <c r="D14">
        <v>0</v>
      </c>
      <c r="E14">
        <v>1</v>
      </c>
      <c r="F14">
        <v>13</v>
      </c>
      <c r="G14" t="b">
        <v>0</v>
      </c>
      <c r="H14">
        <v>6</v>
      </c>
      <c r="I14" t="str">
        <f>CHOOSE(H14+1,"Monday","Tuesday","Wednesday","Thursday","Friday","Saturday","Sunday")</f>
        <v>Sunday</v>
      </c>
      <c r="J14">
        <v>2</v>
      </c>
      <c r="K14">
        <v>0.22</v>
      </c>
      <c r="L14" t="str">
        <f>IF(Table5[[#This Row],[temp]]&lt;24,"Cold","Hot")</f>
        <v>Cold</v>
      </c>
      <c r="M14">
        <v>0.2273</v>
      </c>
      <c r="N14">
        <v>0.55000000000000004</v>
      </c>
      <c r="O14" t="str">
        <f>IF(Table5[[#This Row],[hum]]&lt;0.3,"Humid",IF(Table5[[#This Row],[hum]]&gt;=0.3,"High Humid"))</f>
        <v>High Humid</v>
      </c>
      <c r="P14">
        <v>0.16420000000000001</v>
      </c>
      <c r="Q14">
        <v>9</v>
      </c>
      <c r="R14">
        <v>56</v>
      </c>
      <c r="S14">
        <v>65</v>
      </c>
    </row>
    <row r="15" spans="1:24" x14ac:dyDescent="0.25">
      <c r="A15">
        <v>632</v>
      </c>
      <c r="B15" s="1">
        <v>40572</v>
      </c>
      <c r="C15">
        <v>1</v>
      </c>
      <c r="D15">
        <v>0</v>
      </c>
      <c r="E15">
        <v>1</v>
      </c>
      <c r="F15">
        <v>14</v>
      </c>
      <c r="G15" t="b">
        <v>0</v>
      </c>
      <c r="H15">
        <v>6</v>
      </c>
      <c r="I15" t="str">
        <f>CHOOSE(H15+1,"Monday","Tuesday","Wednesday","Thursday","Friday","Saturday","Sunday")</f>
        <v>Sunday</v>
      </c>
      <c r="J15">
        <v>2</v>
      </c>
      <c r="K15">
        <v>0.22</v>
      </c>
      <c r="L15" t="str">
        <f>IF(Table5[[#This Row],[temp]]&lt;24,"Cold","Hot")</f>
        <v>Cold</v>
      </c>
      <c r="M15">
        <v>0.2273</v>
      </c>
      <c r="N15">
        <v>0.6</v>
      </c>
      <c r="O15" t="str">
        <f>IF(Table5[[#This Row],[hum]]&lt;0.3,"Humid",IF(Table5[[#This Row],[hum]]&gt;=0.3,"High Humid"))</f>
        <v>High Humid</v>
      </c>
      <c r="P15">
        <v>0.1343</v>
      </c>
      <c r="Q15">
        <v>10</v>
      </c>
      <c r="R15">
        <v>89</v>
      </c>
      <c r="S15">
        <v>99</v>
      </c>
    </row>
    <row r="16" spans="1:24" x14ac:dyDescent="0.25">
      <c r="A16">
        <v>633</v>
      </c>
      <c r="B16" s="1">
        <v>40572</v>
      </c>
      <c r="C16">
        <v>1</v>
      </c>
      <c r="D16">
        <v>0</v>
      </c>
      <c r="E16">
        <v>1</v>
      </c>
      <c r="F16">
        <v>15</v>
      </c>
      <c r="G16" t="b">
        <v>0</v>
      </c>
      <c r="H16">
        <v>6</v>
      </c>
      <c r="I16" t="str">
        <f>CHOOSE(H16+1,"Monday","Tuesday","Wednesday","Thursday","Friday","Saturday","Sunday")</f>
        <v>Sunday</v>
      </c>
      <c r="J16">
        <v>1</v>
      </c>
      <c r="K16">
        <v>0.22</v>
      </c>
      <c r="L16" t="str">
        <f>IF(Table5[[#This Row],[temp]]&lt;24,"Cold","Hot")</f>
        <v>Cold</v>
      </c>
      <c r="M16">
        <v>0.21210000000000001</v>
      </c>
      <c r="N16">
        <v>0.69</v>
      </c>
      <c r="O16" t="str">
        <f>IF(Table5[[#This Row],[hum]]&lt;0.3,"Humid",IF(Table5[[#This Row],[hum]]&gt;=0.3,"High Humid"))</f>
        <v>High Humid</v>
      </c>
      <c r="P16">
        <v>0.25369999999999998</v>
      </c>
      <c r="Q16">
        <v>22</v>
      </c>
      <c r="R16">
        <v>98</v>
      </c>
      <c r="S16">
        <v>120</v>
      </c>
    </row>
    <row r="17" spans="1:19" x14ac:dyDescent="0.25">
      <c r="A17">
        <v>634</v>
      </c>
      <c r="B17" s="1">
        <v>40572</v>
      </c>
      <c r="C17">
        <v>1</v>
      </c>
      <c r="D17">
        <v>0</v>
      </c>
      <c r="E17">
        <v>1</v>
      </c>
      <c r="F17">
        <v>16</v>
      </c>
      <c r="G17" t="b">
        <v>0</v>
      </c>
      <c r="H17">
        <v>6</v>
      </c>
      <c r="I17" t="str">
        <f>CHOOSE(H17+1,"Monday","Tuesday","Wednesday","Thursday","Friday","Saturday","Sunday")</f>
        <v>Sunday</v>
      </c>
      <c r="J17">
        <v>1</v>
      </c>
      <c r="K17">
        <v>0.24</v>
      </c>
      <c r="L17" t="str">
        <f>IF(Table5[[#This Row],[temp]]&lt;24,"Cold","Hot")</f>
        <v>Cold</v>
      </c>
      <c r="M17">
        <v>0.2424</v>
      </c>
      <c r="N17">
        <v>0.6</v>
      </c>
      <c r="O17" t="str">
        <f>IF(Table5[[#This Row],[hum]]&lt;0.3,"Humid",IF(Table5[[#This Row],[hum]]&gt;=0.3,"High Humid"))</f>
        <v>High Humid</v>
      </c>
      <c r="P17">
        <v>0.16420000000000001</v>
      </c>
      <c r="Q17">
        <v>19</v>
      </c>
      <c r="R17">
        <v>88</v>
      </c>
      <c r="S17">
        <v>107</v>
      </c>
    </row>
    <row r="18" spans="1:19" x14ac:dyDescent="0.25">
      <c r="A18">
        <v>635</v>
      </c>
      <c r="B18" s="1">
        <v>40572</v>
      </c>
      <c r="C18">
        <v>1</v>
      </c>
      <c r="D18">
        <v>0</v>
      </c>
      <c r="E18">
        <v>1</v>
      </c>
      <c r="F18">
        <v>17</v>
      </c>
      <c r="G18" t="b">
        <v>0</v>
      </c>
      <c r="H18">
        <v>6</v>
      </c>
      <c r="I18" t="str">
        <f>CHOOSE(H18+1,"Monday","Tuesday","Wednesday","Thursday","Friday","Saturday","Sunday")</f>
        <v>Sunday</v>
      </c>
      <c r="J18">
        <v>1</v>
      </c>
      <c r="K18">
        <v>0.24</v>
      </c>
      <c r="L18" t="str">
        <f>IF(Table5[[#This Row],[temp]]&lt;24,"Cold","Hot")</f>
        <v>Cold</v>
      </c>
      <c r="M18">
        <v>0.28789999999999999</v>
      </c>
      <c r="N18">
        <v>0.6</v>
      </c>
      <c r="O18" t="str">
        <f>IF(Table5[[#This Row],[hum]]&lt;0.3,"Humid",IF(Table5[[#This Row],[hum]]&gt;=0.3,"High Humid"))</f>
        <v>High Humid</v>
      </c>
      <c r="P18">
        <v>0</v>
      </c>
      <c r="Q18">
        <v>9</v>
      </c>
      <c r="R18">
        <v>82</v>
      </c>
      <c r="S18">
        <v>91</v>
      </c>
    </row>
    <row r="19" spans="1:19" x14ac:dyDescent="0.25">
      <c r="A19">
        <v>636</v>
      </c>
      <c r="B19" s="1">
        <v>40572</v>
      </c>
      <c r="C19">
        <v>1</v>
      </c>
      <c r="D19">
        <v>0</v>
      </c>
      <c r="E19">
        <v>1</v>
      </c>
      <c r="F19">
        <v>18</v>
      </c>
      <c r="G19" t="b">
        <v>0</v>
      </c>
      <c r="H19">
        <v>6</v>
      </c>
      <c r="I19" t="str">
        <f>CHOOSE(H19+1,"Monday","Tuesday","Wednesday","Thursday","Friday","Saturday","Sunday")</f>
        <v>Sunday</v>
      </c>
      <c r="J19">
        <v>1</v>
      </c>
      <c r="K19">
        <v>0.22</v>
      </c>
      <c r="L19" t="str">
        <f>IF(Table5[[#This Row],[temp]]&lt;24,"Cold","Hot")</f>
        <v>Cold</v>
      </c>
      <c r="M19">
        <v>0.2273</v>
      </c>
      <c r="N19">
        <v>0.69</v>
      </c>
      <c r="O19" t="str">
        <f>IF(Table5[[#This Row],[hum]]&lt;0.3,"Humid",IF(Table5[[#This Row],[hum]]&gt;=0.3,"High Humid"))</f>
        <v>High Humid</v>
      </c>
      <c r="P19">
        <v>0.1343</v>
      </c>
      <c r="Q19">
        <v>9</v>
      </c>
      <c r="R19">
        <v>59</v>
      </c>
      <c r="S19">
        <v>68</v>
      </c>
    </row>
    <row r="20" spans="1:19" x14ac:dyDescent="0.25">
      <c r="A20">
        <v>637</v>
      </c>
      <c r="B20" s="1">
        <v>40572</v>
      </c>
      <c r="C20">
        <v>1</v>
      </c>
      <c r="D20">
        <v>0</v>
      </c>
      <c r="E20">
        <v>1</v>
      </c>
      <c r="F20">
        <v>19</v>
      </c>
      <c r="G20" t="b">
        <v>0</v>
      </c>
      <c r="H20">
        <v>6</v>
      </c>
      <c r="I20" t="str">
        <f>CHOOSE(H20+1,"Monday","Tuesday","Wednesday","Thursday","Friday","Saturday","Sunday")</f>
        <v>Sunday</v>
      </c>
      <c r="J20">
        <v>2</v>
      </c>
      <c r="K20">
        <v>0.22</v>
      </c>
      <c r="L20" t="str">
        <f>IF(Table5[[#This Row],[temp]]&lt;24,"Cold","Hot")</f>
        <v>Cold</v>
      </c>
      <c r="M20">
        <v>0.21210000000000001</v>
      </c>
      <c r="N20">
        <v>0.69</v>
      </c>
      <c r="O20" t="str">
        <f>IF(Table5[[#This Row],[hum]]&lt;0.3,"Humid",IF(Table5[[#This Row],[hum]]&gt;=0.3,"High Humid"))</f>
        <v>High Humid</v>
      </c>
      <c r="P20">
        <v>0.25369999999999998</v>
      </c>
      <c r="Q20">
        <v>6</v>
      </c>
      <c r="R20">
        <v>52</v>
      </c>
      <c r="S20">
        <v>58</v>
      </c>
    </row>
    <row r="21" spans="1:19" x14ac:dyDescent="0.25">
      <c r="A21">
        <v>638</v>
      </c>
      <c r="B21" s="1">
        <v>40572</v>
      </c>
      <c r="C21">
        <v>1</v>
      </c>
      <c r="D21">
        <v>0</v>
      </c>
      <c r="E21">
        <v>1</v>
      </c>
      <c r="F21">
        <v>20</v>
      </c>
      <c r="G21" t="b">
        <v>0</v>
      </c>
      <c r="H21">
        <v>6</v>
      </c>
      <c r="I21" t="str">
        <f>CHOOSE(H21+1,"Monday","Tuesday","Wednesday","Thursday","Friday","Saturday","Sunday")</f>
        <v>Sunday</v>
      </c>
      <c r="J21">
        <v>1</v>
      </c>
      <c r="K21">
        <v>0.18</v>
      </c>
      <c r="L21" t="str">
        <f>IF(Table5[[#This Row],[temp]]&lt;24,"Cold","Hot")</f>
        <v>Cold</v>
      </c>
      <c r="M21">
        <v>0.21210000000000001</v>
      </c>
      <c r="N21">
        <v>0.74</v>
      </c>
      <c r="O21" t="str">
        <f>IF(Table5[[#This Row],[hum]]&lt;0.3,"Humid",IF(Table5[[#This Row],[hum]]&gt;=0.3,"High Humid"))</f>
        <v>High Humid</v>
      </c>
      <c r="P21">
        <v>8.9599999999999999E-2</v>
      </c>
      <c r="Q21">
        <v>1</v>
      </c>
      <c r="R21">
        <v>42</v>
      </c>
      <c r="S21">
        <v>43</v>
      </c>
    </row>
    <row r="22" spans="1:19" x14ac:dyDescent="0.25">
      <c r="A22">
        <v>639</v>
      </c>
      <c r="B22" s="1">
        <v>40572</v>
      </c>
      <c r="C22">
        <v>1</v>
      </c>
      <c r="D22">
        <v>0</v>
      </c>
      <c r="E22">
        <v>1</v>
      </c>
      <c r="F22">
        <v>21</v>
      </c>
      <c r="G22" t="b">
        <v>0</v>
      </c>
      <c r="H22">
        <v>6</v>
      </c>
      <c r="I22" t="str">
        <f>CHOOSE(H22+1,"Monday","Tuesday","Wednesday","Thursday","Friday","Saturday","Sunday")</f>
        <v>Sunday</v>
      </c>
      <c r="J22">
        <v>1</v>
      </c>
      <c r="K22">
        <v>0.18</v>
      </c>
      <c r="L22" t="str">
        <f>IF(Table5[[#This Row],[temp]]&lt;24,"Cold","Hot")</f>
        <v>Cold</v>
      </c>
      <c r="M22">
        <v>0.21210000000000001</v>
      </c>
      <c r="N22">
        <v>0.74</v>
      </c>
      <c r="O22" t="str">
        <f>IF(Table5[[#This Row],[hum]]&lt;0.3,"Humid",IF(Table5[[#This Row],[hum]]&gt;=0.3,"High Humid"))</f>
        <v>High Humid</v>
      </c>
      <c r="P22">
        <v>8.9599999999999999E-2</v>
      </c>
      <c r="Q22">
        <v>1</v>
      </c>
      <c r="R22">
        <v>35</v>
      </c>
      <c r="S22">
        <v>36</v>
      </c>
    </row>
    <row r="23" spans="1:19" x14ac:dyDescent="0.25">
      <c r="A23">
        <v>640</v>
      </c>
      <c r="B23" s="1">
        <v>40572</v>
      </c>
      <c r="C23">
        <v>1</v>
      </c>
      <c r="D23">
        <v>0</v>
      </c>
      <c r="E23">
        <v>1</v>
      </c>
      <c r="F23">
        <v>22</v>
      </c>
      <c r="G23" t="b">
        <v>0</v>
      </c>
      <c r="H23">
        <v>6</v>
      </c>
      <c r="I23" t="str">
        <f>CHOOSE(H23+1,"Monday","Tuesday","Wednesday","Thursday","Friday","Saturday","Sunday")</f>
        <v>Sunday</v>
      </c>
      <c r="J23">
        <v>1</v>
      </c>
      <c r="K23">
        <v>0.16</v>
      </c>
      <c r="L23" t="str">
        <f>IF(Table5[[#This Row],[temp]]&lt;24,"Cold","Hot")</f>
        <v>Cold</v>
      </c>
      <c r="M23">
        <v>0.19700000000000001</v>
      </c>
      <c r="N23">
        <v>0.8</v>
      </c>
      <c r="O23" t="str">
        <f>IF(Table5[[#This Row],[hum]]&lt;0.3,"Humid",IF(Table5[[#This Row],[hum]]&gt;=0.3,"High Humid"))</f>
        <v>High Humid</v>
      </c>
      <c r="P23">
        <v>8.9599999999999999E-2</v>
      </c>
      <c r="Q23">
        <v>4</v>
      </c>
      <c r="R23">
        <v>28</v>
      </c>
      <c r="S23">
        <v>32</v>
      </c>
    </row>
    <row r="24" spans="1:19" x14ac:dyDescent="0.25">
      <c r="A24">
        <v>641</v>
      </c>
      <c r="B24" s="1">
        <v>40572</v>
      </c>
      <c r="C24">
        <v>1</v>
      </c>
      <c r="D24">
        <v>0</v>
      </c>
      <c r="E24">
        <v>1</v>
      </c>
      <c r="F24">
        <v>23</v>
      </c>
      <c r="G24" t="b">
        <v>0</v>
      </c>
      <c r="H24">
        <v>6</v>
      </c>
      <c r="I24" t="str">
        <f>CHOOSE(H24+1,"Monday","Tuesday","Wednesday","Thursday","Friday","Saturday","Sunday")</f>
        <v>Sunday</v>
      </c>
      <c r="J24">
        <v>1</v>
      </c>
      <c r="K24">
        <v>0.16</v>
      </c>
      <c r="L24" t="str">
        <f>IF(Table5[[#This Row],[temp]]&lt;24,"Cold","Hot")</f>
        <v>Cold</v>
      </c>
      <c r="M24">
        <v>0.19700000000000001</v>
      </c>
      <c r="N24">
        <v>0.8</v>
      </c>
      <c r="O24" t="str">
        <f>IF(Table5[[#This Row],[hum]]&lt;0.3,"Humid",IF(Table5[[#This Row],[hum]]&gt;=0.3,"High Humid"))</f>
        <v>High Humid</v>
      </c>
      <c r="P24">
        <v>8.9599999999999999E-2</v>
      </c>
      <c r="Q24">
        <v>3</v>
      </c>
      <c r="R24">
        <v>30</v>
      </c>
      <c r="S24">
        <v>33</v>
      </c>
    </row>
    <row r="25" spans="1:19" x14ac:dyDescent="0.25">
      <c r="A25">
        <v>782</v>
      </c>
      <c r="B25" s="1">
        <v>40579</v>
      </c>
      <c r="C25">
        <v>1</v>
      </c>
      <c r="D25">
        <v>0</v>
      </c>
      <c r="E25">
        <v>2</v>
      </c>
      <c r="F25">
        <v>0</v>
      </c>
      <c r="G25" t="b">
        <v>0</v>
      </c>
      <c r="H25">
        <v>6</v>
      </c>
      <c r="I25" t="str">
        <f>CHOOSE(H25+1,"Monday","Tuesday","Wednesday","Thursday","Friday","Saturday","Sunday")</f>
        <v>Sunday</v>
      </c>
      <c r="J25">
        <v>2</v>
      </c>
      <c r="K25">
        <v>0.24</v>
      </c>
      <c r="L25" t="str">
        <f>IF(Table5[[#This Row],[temp]]&lt;24,"Cold","Hot")</f>
        <v>Cold</v>
      </c>
      <c r="M25">
        <v>0.2424</v>
      </c>
      <c r="N25">
        <v>0.7</v>
      </c>
      <c r="O25" t="str">
        <f>IF(Table5[[#This Row],[hum]]&lt;0.3,"Humid",IF(Table5[[#This Row],[hum]]&gt;=0.3,"High Humid"))</f>
        <v>High Humid</v>
      </c>
      <c r="P25">
        <v>0.16420000000000001</v>
      </c>
      <c r="Q25">
        <v>3</v>
      </c>
      <c r="R25">
        <v>36</v>
      </c>
      <c r="S25">
        <v>39</v>
      </c>
    </row>
    <row r="26" spans="1:19" x14ac:dyDescent="0.25">
      <c r="A26">
        <v>783</v>
      </c>
      <c r="B26" s="1">
        <v>40579</v>
      </c>
      <c r="C26">
        <v>1</v>
      </c>
      <c r="D26">
        <v>0</v>
      </c>
      <c r="E26">
        <v>2</v>
      </c>
      <c r="F26">
        <v>1</v>
      </c>
      <c r="G26" t="b">
        <v>0</v>
      </c>
      <c r="H26">
        <v>6</v>
      </c>
      <c r="I26" t="str">
        <f>CHOOSE(H26+1,"Monday","Tuesday","Wednesday","Thursday","Friday","Saturday","Sunday")</f>
        <v>Sunday</v>
      </c>
      <c r="J26">
        <v>2</v>
      </c>
      <c r="K26">
        <v>0.24</v>
      </c>
      <c r="L26" t="str">
        <f>IF(Table5[[#This Row],[temp]]&lt;24,"Cold","Hot")</f>
        <v>Cold</v>
      </c>
      <c r="M26">
        <v>0.2424</v>
      </c>
      <c r="N26">
        <v>0.65</v>
      </c>
      <c r="O26" t="str">
        <f>IF(Table5[[#This Row],[hum]]&lt;0.3,"Humid",IF(Table5[[#This Row],[hum]]&gt;=0.3,"High Humid"))</f>
        <v>High Humid</v>
      </c>
      <c r="P26">
        <v>0.16420000000000001</v>
      </c>
      <c r="Q26">
        <v>1</v>
      </c>
      <c r="R26">
        <v>17</v>
      </c>
      <c r="S26">
        <v>18</v>
      </c>
    </row>
    <row r="27" spans="1:19" x14ac:dyDescent="0.25">
      <c r="A27">
        <v>784</v>
      </c>
      <c r="B27" s="1">
        <v>40579</v>
      </c>
      <c r="C27">
        <v>1</v>
      </c>
      <c r="D27">
        <v>0</v>
      </c>
      <c r="E27">
        <v>2</v>
      </c>
      <c r="F27">
        <v>2</v>
      </c>
      <c r="G27" t="b">
        <v>0</v>
      </c>
      <c r="H27">
        <v>6</v>
      </c>
      <c r="I27" t="str">
        <f>CHOOSE(H27+1,"Monday","Tuesday","Wednesday","Thursday","Friday","Saturday","Sunday")</f>
        <v>Sunday</v>
      </c>
      <c r="J27">
        <v>2</v>
      </c>
      <c r="K27">
        <v>0.24</v>
      </c>
      <c r="L27" t="str">
        <f>IF(Table5[[#This Row],[temp]]&lt;24,"Cold","Hot")</f>
        <v>Cold</v>
      </c>
      <c r="M27">
        <v>0.2424</v>
      </c>
      <c r="N27">
        <v>0.75</v>
      </c>
      <c r="O27" t="str">
        <f>IF(Table5[[#This Row],[hum]]&lt;0.3,"Humid",IF(Table5[[#This Row],[hum]]&gt;=0.3,"High Humid"))</f>
        <v>High Humid</v>
      </c>
      <c r="P27">
        <v>0.16420000000000001</v>
      </c>
      <c r="Q27">
        <v>5</v>
      </c>
      <c r="R27">
        <v>12</v>
      </c>
      <c r="S27">
        <v>17</v>
      </c>
    </row>
    <row r="28" spans="1:19" x14ac:dyDescent="0.25">
      <c r="A28">
        <v>785</v>
      </c>
      <c r="B28" s="1">
        <v>40579</v>
      </c>
      <c r="C28">
        <v>1</v>
      </c>
      <c r="D28">
        <v>0</v>
      </c>
      <c r="E28">
        <v>2</v>
      </c>
      <c r="F28">
        <v>3</v>
      </c>
      <c r="G28" t="b">
        <v>0</v>
      </c>
      <c r="H28">
        <v>6</v>
      </c>
      <c r="I28" t="str">
        <f>CHOOSE(H28+1,"Monday","Tuesday","Wednesday","Thursday","Friday","Saturday","Sunday")</f>
        <v>Sunday</v>
      </c>
      <c r="J28">
        <v>2</v>
      </c>
      <c r="K28">
        <v>0.24</v>
      </c>
      <c r="L28" t="str">
        <f>IF(Table5[[#This Row],[temp]]&lt;24,"Cold","Hot")</f>
        <v>Cold</v>
      </c>
      <c r="M28">
        <v>0.2424</v>
      </c>
      <c r="N28">
        <v>0.75</v>
      </c>
      <c r="O28" t="str">
        <f>IF(Table5[[#This Row],[hum]]&lt;0.3,"Humid",IF(Table5[[#This Row],[hum]]&gt;=0.3,"High Humid"))</f>
        <v>High Humid</v>
      </c>
      <c r="P28">
        <v>0.16420000000000001</v>
      </c>
      <c r="Q28">
        <v>1</v>
      </c>
      <c r="R28">
        <v>10</v>
      </c>
      <c r="S28">
        <v>11</v>
      </c>
    </row>
    <row r="29" spans="1:19" x14ac:dyDescent="0.25">
      <c r="A29">
        <v>786</v>
      </c>
      <c r="B29" s="1">
        <v>40579</v>
      </c>
      <c r="C29">
        <v>1</v>
      </c>
      <c r="D29">
        <v>0</v>
      </c>
      <c r="E29">
        <v>2</v>
      </c>
      <c r="F29">
        <v>4</v>
      </c>
      <c r="G29" t="b">
        <v>0</v>
      </c>
      <c r="H29">
        <v>6</v>
      </c>
      <c r="I29" t="str">
        <f>CHOOSE(H29+1,"Monday","Tuesday","Wednesday","Thursday","Friday","Saturday","Sunday")</f>
        <v>Sunday</v>
      </c>
      <c r="J29">
        <v>3</v>
      </c>
      <c r="K29">
        <v>0.22</v>
      </c>
      <c r="L29" t="str">
        <f>IF(Table5[[#This Row],[temp]]&lt;24,"Cold","Hot")</f>
        <v>Cold</v>
      </c>
      <c r="M29">
        <v>0.2273</v>
      </c>
      <c r="N29">
        <v>0.93</v>
      </c>
      <c r="O29" t="str">
        <f>IF(Table5[[#This Row],[hum]]&lt;0.3,"Humid",IF(Table5[[#This Row],[hum]]&gt;=0.3,"High Humid"))</f>
        <v>High Humid</v>
      </c>
      <c r="P29">
        <v>0.1343</v>
      </c>
      <c r="Q29">
        <v>0</v>
      </c>
      <c r="R29">
        <v>8</v>
      </c>
      <c r="S29">
        <v>8</v>
      </c>
    </row>
    <row r="30" spans="1:19" x14ac:dyDescent="0.25">
      <c r="A30">
        <v>787</v>
      </c>
      <c r="B30" s="1">
        <v>40579</v>
      </c>
      <c r="C30">
        <v>1</v>
      </c>
      <c r="D30">
        <v>0</v>
      </c>
      <c r="E30">
        <v>2</v>
      </c>
      <c r="F30">
        <v>5</v>
      </c>
      <c r="G30" t="b">
        <v>0</v>
      </c>
      <c r="H30">
        <v>6</v>
      </c>
      <c r="I30" t="str">
        <f>CHOOSE(H30+1,"Monday","Tuesday","Wednesday","Thursday","Friday","Saturday","Sunday")</f>
        <v>Sunday</v>
      </c>
      <c r="J30">
        <v>3</v>
      </c>
      <c r="K30">
        <v>0.2</v>
      </c>
      <c r="L30" t="str">
        <f>IF(Table5[[#This Row],[temp]]&lt;24,"Cold","Hot")</f>
        <v>Cold</v>
      </c>
      <c r="M30">
        <v>0.2273</v>
      </c>
      <c r="N30">
        <v>1</v>
      </c>
      <c r="O30" t="str">
        <f>IF(Table5[[#This Row],[hum]]&lt;0.3,"Humid",IF(Table5[[#This Row],[hum]]&gt;=0.3,"High Humid"))</f>
        <v>High Humid</v>
      </c>
      <c r="P30">
        <v>8.9599999999999999E-2</v>
      </c>
      <c r="Q30">
        <v>0</v>
      </c>
      <c r="R30">
        <v>9</v>
      </c>
      <c r="S30">
        <v>9</v>
      </c>
    </row>
    <row r="31" spans="1:19" x14ac:dyDescent="0.25">
      <c r="A31">
        <v>788</v>
      </c>
      <c r="B31" s="1">
        <v>40579</v>
      </c>
      <c r="C31">
        <v>1</v>
      </c>
      <c r="D31">
        <v>0</v>
      </c>
      <c r="E31">
        <v>2</v>
      </c>
      <c r="F31">
        <v>6</v>
      </c>
      <c r="G31" t="b">
        <v>0</v>
      </c>
      <c r="H31">
        <v>6</v>
      </c>
      <c r="I31" t="str">
        <f>CHOOSE(H31+1,"Monday","Tuesday","Wednesday","Thursday","Friday","Saturday","Sunday")</f>
        <v>Sunday</v>
      </c>
      <c r="J31">
        <v>3</v>
      </c>
      <c r="K31">
        <v>0.2</v>
      </c>
      <c r="L31" t="str">
        <f>IF(Table5[[#This Row],[temp]]&lt;24,"Cold","Hot")</f>
        <v>Cold</v>
      </c>
      <c r="M31">
        <v>0.2576</v>
      </c>
      <c r="N31">
        <v>1</v>
      </c>
      <c r="O31" t="str">
        <f>IF(Table5[[#This Row],[hum]]&lt;0.3,"Humid",IF(Table5[[#This Row],[hum]]&gt;=0.3,"High Humid"))</f>
        <v>High Humid</v>
      </c>
      <c r="P31">
        <v>0</v>
      </c>
      <c r="Q31">
        <v>0</v>
      </c>
      <c r="R31">
        <v>4</v>
      </c>
      <c r="S31">
        <v>4</v>
      </c>
    </row>
    <row r="32" spans="1:19" x14ac:dyDescent="0.25">
      <c r="A32">
        <v>789</v>
      </c>
      <c r="B32" s="1">
        <v>40579</v>
      </c>
      <c r="C32">
        <v>1</v>
      </c>
      <c r="D32">
        <v>0</v>
      </c>
      <c r="E32">
        <v>2</v>
      </c>
      <c r="F32">
        <v>7</v>
      </c>
      <c r="G32" t="b">
        <v>0</v>
      </c>
      <c r="H32">
        <v>6</v>
      </c>
      <c r="I32" t="str">
        <f>CHOOSE(H32+1,"Monday","Tuesday","Wednesday","Thursday","Friday","Saturday","Sunday")</f>
        <v>Sunday</v>
      </c>
      <c r="J32">
        <v>3</v>
      </c>
      <c r="K32">
        <v>0.22</v>
      </c>
      <c r="L32" t="str">
        <f>IF(Table5[[#This Row],[temp]]&lt;24,"Cold","Hot")</f>
        <v>Cold</v>
      </c>
      <c r="M32">
        <v>0.2576</v>
      </c>
      <c r="N32">
        <v>0.93</v>
      </c>
      <c r="O32" t="str">
        <f>IF(Table5[[#This Row],[hum]]&lt;0.3,"Humid",IF(Table5[[#This Row],[hum]]&gt;=0.3,"High Humid"))</f>
        <v>High Humid</v>
      </c>
      <c r="P32">
        <v>8.9599999999999999E-2</v>
      </c>
      <c r="Q32">
        <v>0</v>
      </c>
      <c r="R32">
        <v>4</v>
      </c>
      <c r="S32">
        <v>4</v>
      </c>
    </row>
    <row r="33" spans="1:19" x14ac:dyDescent="0.25">
      <c r="A33">
        <v>790</v>
      </c>
      <c r="B33" s="1">
        <v>40579</v>
      </c>
      <c r="C33">
        <v>1</v>
      </c>
      <c r="D33">
        <v>0</v>
      </c>
      <c r="E33">
        <v>2</v>
      </c>
      <c r="F33">
        <v>8</v>
      </c>
      <c r="G33" t="b">
        <v>0</v>
      </c>
      <c r="H33">
        <v>6</v>
      </c>
      <c r="I33" t="str">
        <f>CHOOSE(H33+1,"Monday","Tuesday","Wednesday","Thursday","Friday","Saturday","Sunday")</f>
        <v>Sunday</v>
      </c>
      <c r="J33">
        <v>3</v>
      </c>
      <c r="K33">
        <v>0.2</v>
      </c>
      <c r="L33" t="str">
        <f>IF(Table5[[#This Row],[temp]]&lt;24,"Cold","Hot")</f>
        <v>Cold</v>
      </c>
      <c r="M33">
        <v>0.2273</v>
      </c>
      <c r="N33">
        <v>1</v>
      </c>
      <c r="O33" t="str">
        <f>IF(Table5[[#This Row],[hum]]&lt;0.3,"Humid",IF(Table5[[#This Row],[hum]]&gt;=0.3,"High Humid"))</f>
        <v>High Humid</v>
      </c>
      <c r="P33">
        <v>8.9599999999999999E-2</v>
      </c>
      <c r="Q33">
        <v>0</v>
      </c>
      <c r="R33">
        <v>10</v>
      </c>
      <c r="S33">
        <v>10</v>
      </c>
    </row>
    <row r="34" spans="1:19" x14ac:dyDescent="0.25">
      <c r="A34">
        <v>791</v>
      </c>
      <c r="B34" s="1">
        <v>40579</v>
      </c>
      <c r="C34">
        <v>1</v>
      </c>
      <c r="D34">
        <v>0</v>
      </c>
      <c r="E34">
        <v>2</v>
      </c>
      <c r="F34">
        <v>9</v>
      </c>
      <c r="G34" t="b">
        <v>0</v>
      </c>
      <c r="H34">
        <v>6</v>
      </c>
      <c r="I34" t="str">
        <f>CHOOSE(H34+1,"Monday","Tuesday","Wednesday","Thursday","Friday","Saturday","Sunday")</f>
        <v>Sunday</v>
      </c>
      <c r="J34">
        <v>3</v>
      </c>
      <c r="K34">
        <v>0.2</v>
      </c>
      <c r="L34" t="str">
        <f>IF(Table5[[#This Row],[temp]]&lt;24,"Cold","Hot")</f>
        <v>Cold</v>
      </c>
      <c r="M34">
        <v>0.2273</v>
      </c>
      <c r="N34">
        <v>1</v>
      </c>
      <c r="O34" t="str">
        <f>IF(Table5[[#This Row],[hum]]&lt;0.3,"Humid",IF(Table5[[#This Row],[hum]]&gt;=0.3,"High Humid"))</f>
        <v>High Humid</v>
      </c>
      <c r="P34">
        <v>8.9599999999999999E-2</v>
      </c>
      <c r="Q34">
        <v>3</v>
      </c>
      <c r="R34">
        <v>17</v>
      </c>
      <c r="S34">
        <v>20</v>
      </c>
    </row>
    <row r="35" spans="1:19" x14ac:dyDescent="0.25">
      <c r="A35">
        <v>792</v>
      </c>
      <c r="B35" s="1">
        <v>40579</v>
      </c>
      <c r="C35">
        <v>1</v>
      </c>
      <c r="D35">
        <v>0</v>
      </c>
      <c r="E35">
        <v>2</v>
      </c>
      <c r="F35">
        <v>10</v>
      </c>
      <c r="G35" t="b">
        <v>0</v>
      </c>
      <c r="H35">
        <v>6</v>
      </c>
      <c r="I35" t="str">
        <f>CHOOSE(H35+1,"Monday","Tuesday","Wednesday","Thursday","Friday","Saturday","Sunday")</f>
        <v>Sunday</v>
      </c>
      <c r="J35">
        <v>3</v>
      </c>
      <c r="K35">
        <v>0.2</v>
      </c>
      <c r="L35" t="str">
        <f>IF(Table5[[#This Row],[temp]]&lt;24,"Cold","Hot")</f>
        <v>Cold</v>
      </c>
      <c r="M35">
        <v>0.21210000000000001</v>
      </c>
      <c r="N35">
        <v>1</v>
      </c>
      <c r="O35" t="str">
        <f>IF(Table5[[#This Row],[hum]]&lt;0.3,"Humid",IF(Table5[[#This Row],[hum]]&gt;=0.3,"High Humid"))</f>
        <v>High Humid</v>
      </c>
      <c r="P35">
        <v>0.1343</v>
      </c>
      <c r="Q35">
        <v>3</v>
      </c>
      <c r="R35">
        <v>31</v>
      </c>
      <c r="S35">
        <v>34</v>
      </c>
    </row>
    <row r="36" spans="1:19" x14ac:dyDescent="0.25">
      <c r="A36">
        <v>793</v>
      </c>
      <c r="B36" s="1">
        <v>40579</v>
      </c>
      <c r="C36">
        <v>1</v>
      </c>
      <c r="D36">
        <v>0</v>
      </c>
      <c r="E36">
        <v>2</v>
      </c>
      <c r="F36">
        <v>11</v>
      </c>
      <c r="G36" t="b">
        <v>0</v>
      </c>
      <c r="H36">
        <v>6</v>
      </c>
      <c r="I36" t="str">
        <f>CHOOSE(H36+1,"Monday","Tuesday","Wednesday","Thursday","Friday","Saturday","Sunday")</f>
        <v>Sunday</v>
      </c>
      <c r="J36">
        <v>3</v>
      </c>
      <c r="K36">
        <v>0.22</v>
      </c>
      <c r="L36" t="str">
        <f>IF(Table5[[#This Row],[temp]]&lt;24,"Cold","Hot")</f>
        <v>Cold</v>
      </c>
      <c r="M36">
        <v>0.2273</v>
      </c>
      <c r="N36">
        <v>1</v>
      </c>
      <c r="O36" t="str">
        <f>IF(Table5[[#This Row],[hum]]&lt;0.3,"Humid",IF(Table5[[#This Row],[hum]]&gt;=0.3,"High Humid"))</f>
        <v>High Humid</v>
      </c>
      <c r="P36">
        <v>0.1343</v>
      </c>
      <c r="Q36">
        <v>1</v>
      </c>
      <c r="R36">
        <v>46</v>
      </c>
      <c r="S36">
        <v>47</v>
      </c>
    </row>
    <row r="37" spans="1:19" x14ac:dyDescent="0.25">
      <c r="A37">
        <v>794</v>
      </c>
      <c r="B37" s="1">
        <v>40579</v>
      </c>
      <c r="C37">
        <v>1</v>
      </c>
      <c r="D37">
        <v>0</v>
      </c>
      <c r="E37">
        <v>2</v>
      </c>
      <c r="F37">
        <v>12</v>
      </c>
      <c r="G37" t="b">
        <v>0</v>
      </c>
      <c r="H37">
        <v>6</v>
      </c>
      <c r="I37" t="str">
        <f>CHOOSE(H37+1,"Monday","Tuesday","Wednesday","Thursday","Friday","Saturday","Sunday")</f>
        <v>Sunday</v>
      </c>
      <c r="J37">
        <v>3</v>
      </c>
      <c r="K37">
        <v>0.22</v>
      </c>
      <c r="L37" t="str">
        <f>IF(Table5[[#This Row],[temp]]&lt;24,"Cold","Hot")</f>
        <v>Cold</v>
      </c>
      <c r="M37">
        <v>0.2273</v>
      </c>
      <c r="N37">
        <v>1</v>
      </c>
      <c r="O37" t="str">
        <f>IF(Table5[[#This Row],[hum]]&lt;0.3,"Humid",IF(Table5[[#This Row],[hum]]&gt;=0.3,"High Humid"))</f>
        <v>High Humid</v>
      </c>
      <c r="P37">
        <v>0.16420000000000001</v>
      </c>
      <c r="Q37">
        <v>10</v>
      </c>
      <c r="R37">
        <v>42</v>
      </c>
      <c r="S37">
        <v>52</v>
      </c>
    </row>
    <row r="38" spans="1:19" x14ac:dyDescent="0.25">
      <c r="A38">
        <v>795</v>
      </c>
      <c r="B38" s="1">
        <v>40579</v>
      </c>
      <c r="C38">
        <v>1</v>
      </c>
      <c r="D38">
        <v>0</v>
      </c>
      <c r="E38">
        <v>2</v>
      </c>
      <c r="F38">
        <v>13</v>
      </c>
      <c r="G38" t="b">
        <v>0</v>
      </c>
      <c r="H38">
        <v>6</v>
      </c>
      <c r="I38" t="str">
        <f>CHOOSE(H38+1,"Monday","Tuesday","Wednesday","Thursday","Friday","Saturday","Sunday")</f>
        <v>Sunday</v>
      </c>
      <c r="J38">
        <v>3</v>
      </c>
      <c r="K38">
        <v>0.22</v>
      </c>
      <c r="L38" t="str">
        <f>IF(Table5[[#This Row],[temp]]&lt;24,"Cold","Hot")</f>
        <v>Cold</v>
      </c>
      <c r="M38">
        <v>0.2273</v>
      </c>
      <c r="N38">
        <v>1</v>
      </c>
      <c r="O38" t="str">
        <f>IF(Table5[[#This Row],[hum]]&lt;0.3,"Humid",IF(Table5[[#This Row],[hum]]&gt;=0.3,"High Humid"))</f>
        <v>High Humid</v>
      </c>
      <c r="P38">
        <v>0.16420000000000001</v>
      </c>
      <c r="Q38">
        <v>10</v>
      </c>
      <c r="R38">
        <v>62</v>
      </c>
      <c r="S38">
        <v>72</v>
      </c>
    </row>
    <row r="39" spans="1:19" x14ac:dyDescent="0.25">
      <c r="A39">
        <v>796</v>
      </c>
      <c r="B39" s="1">
        <v>40579</v>
      </c>
      <c r="C39">
        <v>1</v>
      </c>
      <c r="D39">
        <v>0</v>
      </c>
      <c r="E39">
        <v>2</v>
      </c>
      <c r="F39">
        <v>14</v>
      </c>
      <c r="G39" t="b">
        <v>0</v>
      </c>
      <c r="H39">
        <v>6</v>
      </c>
      <c r="I39" t="str">
        <f>CHOOSE(H39+1,"Monday","Tuesday","Wednesday","Thursday","Friday","Saturday","Sunday")</f>
        <v>Sunday</v>
      </c>
      <c r="J39">
        <v>3</v>
      </c>
      <c r="K39">
        <v>0.22</v>
      </c>
      <c r="L39" t="str">
        <f>IF(Table5[[#This Row],[temp]]&lt;24,"Cold","Hot")</f>
        <v>Cold</v>
      </c>
      <c r="M39">
        <v>0.2727</v>
      </c>
      <c r="N39">
        <v>1</v>
      </c>
      <c r="O39" t="str">
        <f>IF(Table5[[#This Row],[hum]]&lt;0.3,"Humid",IF(Table5[[#This Row],[hum]]&gt;=0.3,"High Humid"))</f>
        <v>High Humid</v>
      </c>
      <c r="P39">
        <v>0</v>
      </c>
      <c r="Q39">
        <v>5</v>
      </c>
      <c r="R39">
        <v>50</v>
      </c>
      <c r="S39">
        <v>55</v>
      </c>
    </row>
    <row r="40" spans="1:19" x14ac:dyDescent="0.25">
      <c r="A40">
        <v>797</v>
      </c>
      <c r="B40" s="1">
        <v>40579</v>
      </c>
      <c r="C40">
        <v>1</v>
      </c>
      <c r="D40">
        <v>0</v>
      </c>
      <c r="E40">
        <v>2</v>
      </c>
      <c r="F40">
        <v>15</v>
      </c>
      <c r="G40" t="b">
        <v>0</v>
      </c>
      <c r="H40">
        <v>6</v>
      </c>
      <c r="I40" t="str">
        <f>CHOOSE(H40+1,"Monday","Tuesday","Wednesday","Thursday","Friday","Saturday","Sunday")</f>
        <v>Sunday</v>
      </c>
      <c r="J40">
        <v>3</v>
      </c>
      <c r="K40">
        <v>0.22</v>
      </c>
      <c r="L40" t="str">
        <f>IF(Table5[[#This Row],[temp]]&lt;24,"Cold","Hot")</f>
        <v>Cold</v>
      </c>
      <c r="M40">
        <v>0.2727</v>
      </c>
      <c r="N40">
        <v>1</v>
      </c>
      <c r="O40" t="str">
        <f>IF(Table5[[#This Row],[hum]]&lt;0.3,"Humid",IF(Table5[[#This Row],[hum]]&gt;=0.3,"High Humid"))</f>
        <v>High Humid</v>
      </c>
      <c r="P40">
        <v>0</v>
      </c>
      <c r="Q40">
        <v>11</v>
      </c>
      <c r="R40">
        <v>49</v>
      </c>
      <c r="S40">
        <v>60</v>
      </c>
    </row>
    <row r="41" spans="1:19" x14ac:dyDescent="0.25">
      <c r="A41">
        <v>798</v>
      </c>
      <c r="B41" s="1">
        <v>40579</v>
      </c>
      <c r="C41">
        <v>1</v>
      </c>
      <c r="D41">
        <v>0</v>
      </c>
      <c r="E41">
        <v>2</v>
      </c>
      <c r="F41">
        <v>16</v>
      </c>
      <c r="G41" t="b">
        <v>0</v>
      </c>
      <c r="H41">
        <v>6</v>
      </c>
      <c r="I41" t="str">
        <f>CHOOSE(H41+1,"Monday","Tuesday","Wednesday","Thursday","Friday","Saturday","Sunday")</f>
        <v>Sunday</v>
      </c>
      <c r="J41">
        <v>3</v>
      </c>
      <c r="K41">
        <v>0.22</v>
      </c>
      <c r="L41" t="str">
        <f>IF(Table5[[#This Row],[temp]]&lt;24,"Cold","Hot")</f>
        <v>Cold</v>
      </c>
      <c r="M41">
        <v>0.2273</v>
      </c>
      <c r="N41">
        <v>1</v>
      </c>
      <c r="O41" t="str">
        <f>IF(Table5[[#This Row],[hum]]&lt;0.3,"Humid",IF(Table5[[#This Row],[hum]]&gt;=0.3,"High Humid"))</f>
        <v>High Humid</v>
      </c>
      <c r="P41">
        <v>0.1343</v>
      </c>
      <c r="Q41">
        <v>8</v>
      </c>
      <c r="R41">
        <v>63</v>
      </c>
      <c r="S41">
        <v>71</v>
      </c>
    </row>
    <row r="42" spans="1:19" x14ac:dyDescent="0.25">
      <c r="A42">
        <v>799</v>
      </c>
      <c r="B42" s="1">
        <v>40579</v>
      </c>
      <c r="C42">
        <v>1</v>
      </c>
      <c r="D42">
        <v>0</v>
      </c>
      <c r="E42">
        <v>2</v>
      </c>
      <c r="F42">
        <v>17</v>
      </c>
      <c r="G42" t="b">
        <v>0</v>
      </c>
      <c r="H42">
        <v>6</v>
      </c>
      <c r="I42" t="str">
        <f>CHOOSE(H42+1,"Monday","Tuesday","Wednesday","Thursday","Friday","Saturday","Sunday")</f>
        <v>Sunday</v>
      </c>
      <c r="J42">
        <v>2</v>
      </c>
      <c r="K42">
        <v>0.24</v>
      </c>
      <c r="L42" t="str">
        <f>IF(Table5[[#This Row],[temp]]&lt;24,"Cold","Hot")</f>
        <v>Cold</v>
      </c>
      <c r="M42">
        <v>0.21210000000000001</v>
      </c>
      <c r="N42">
        <v>1</v>
      </c>
      <c r="O42" t="str">
        <f>IF(Table5[[#This Row],[hum]]&lt;0.3,"Humid",IF(Table5[[#This Row],[hum]]&gt;=0.3,"High Humid"))</f>
        <v>High Humid</v>
      </c>
      <c r="P42">
        <v>0.28360000000000002</v>
      </c>
      <c r="Q42">
        <v>14</v>
      </c>
      <c r="R42">
        <v>64</v>
      </c>
      <c r="S42">
        <v>78</v>
      </c>
    </row>
    <row r="43" spans="1:19" x14ac:dyDescent="0.25">
      <c r="A43">
        <v>800</v>
      </c>
      <c r="B43" s="1">
        <v>40579</v>
      </c>
      <c r="C43">
        <v>1</v>
      </c>
      <c r="D43">
        <v>0</v>
      </c>
      <c r="E43">
        <v>2</v>
      </c>
      <c r="F43">
        <v>18</v>
      </c>
      <c r="G43" t="b">
        <v>0</v>
      </c>
      <c r="H43">
        <v>6</v>
      </c>
      <c r="I43" t="str">
        <f>CHOOSE(H43+1,"Monday","Tuesday","Wednesday","Thursday","Friday","Saturday","Sunday")</f>
        <v>Sunday</v>
      </c>
      <c r="J43">
        <v>2</v>
      </c>
      <c r="K43">
        <v>0.28000000000000003</v>
      </c>
      <c r="L43" t="str">
        <f>IF(Table5[[#This Row],[temp]]&lt;24,"Cold","Hot")</f>
        <v>Cold</v>
      </c>
      <c r="M43">
        <v>0.2424</v>
      </c>
      <c r="N43">
        <v>0.93</v>
      </c>
      <c r="O43" t="str">
        <f>IF(Table5[[#This Row],[hum]]&lt;0.3,"Humid",IF(Table5[[#This Row],[hum]]&gt;=0.3,"High Humid"))</f>
        <v>High Humid</v>
      </c>
      <c r="P43">
        <v>0.44779999999999998</v>
      </c>
      <c r="Q43">
        <v>2</v>
      </c>
      <c r="R43">
        <v>81</v>
      </c>
      <c r="S43">
        <v>83</v>
      </c>
    </row>
    <row r="44" spans="1:19" x14ac:dyDescent="0.25">
      <c r="A44">
        <v>801</v>
      </c>
      <c r="B44" s="1">
        <v>40579</v>
      </c>
      <c r="C44">
        <v>1</v>
      </c>
      <c r="D44">
        <v>0</v>
      </c>
      <c r="E44">
        <v>2</v>
      </c>
      <c r="F44">
        <v>19</v>
      </c>
      <c r="G44" t="b">
        <v>0</v>
      </c>
      <c r="H44">
        <v>6</v>
      </c>
      <c r="I44" t="str">
        <f>CHOOSE(H44+1,"Monday","Tuesday","Wednesday","Thursday","Friday","Saturday","Sunday")</f>
        <v>Sunday</v>
      </c>
      <c r="J44">
        <v>2</v>
      </c>
      <c r="K44">
        <v>0.28000000000000003</v>
      </c>
      <c r="L44" t="str">
        <f>IF(Table5[[#This Row],[temp]]&lt;24,"Cold","Hot")</f>
        <v>Cold</v>
      </c>
      <c r="M44">
        <v>0.2424</v>
      </c>
      <c r="N44">
        <v>0.93</v>
      </c>
      <c r="O44" t="str">
        <f>IF(Table5[[#This Row],[hum]]&lt;0.3,"Humid",IF(Table5[[#This Row],[hum]]&gt;=0.3,"High Humid"))</f>
        <v>High Humid</v>
      </c>
      <c r="P44">
        <v>0.44779999999999998</v>
      </c>
      <c r="Q44">
        <v>6</v>
      </c>
      <c r="R44">
        <v>78</v>
      </c>
      <c r="S44">
        <v>84</v>
      </c>
    </row>
    <row r="45" spans="1:19" x14ac:dyDescent="0.25">
      <c r="A45">
        <v>802</v>
      </c>
      <c r="B45" s="1">
        <v>40579</v>
      </c>
      <c r="C45">
        <v>1</v>
      </c>
      <c r="D45">
        <v>0</v>
      </c>
      <c r="E45">
        <v>2</v>
      </c>
      <c r="F45">
        <v>20</v>
      </c>
      <c r="G45" t="b">
        <v>0</v>
      </c>
      <c r="H45">
        <v>6</v>
      </c>
      <c r="I45" t="str">
        <f>CHOOSE(H45+1,"Monday","Tuesday","Wednesday","Thursday","Friday","Saturday","Sunday")</f>
        <v>Sunday</v>
      </c>
      <c r="J45">
        <v>1</v>
      </c>
      <c r="K45">
        <v>0.3</v>
      </c>
      <c r="L45" t="str">
        <f>IF(Table5[[#This Row],[temp]]&lt;24,"Cold","Hot")</f>
        <v>Cold</v>
      </c>
      <c r="M45">
        <v>0.28789999999999999</v>
      </c>
      <c r="N45">
        <v>0.87</v>
      </c>
      <c r="O45" t="str">
        <f>IF(Table5[[#This Row],[hum]]&lt;0.3,"Humid",IF(Table5[[#This Row],[hum]]&gt;=0.3,"High Humid"))</f>
        <v>High Humid</v>
      </c>
      <c r="P45">
        <v>0.25369999999999998</v>
      </c>
      <c r="Q45">
        <v>5</v>
      </c>
      <c r="R45">
        <v>64</v>
      </c>
      <c r="S45">
        <v>69</v>
      </c>
    </row>
    <row r="46" spans="1:19" x14ac:dyDescent="0.25">
      <c r="A46">
        <v>803</v>
      </c>
      <c r="B46" s="1">
        <v>40579</v>
      </c>
      <c r="C46">
        <v>1</v>
      </c>
      <c r="D46">
        <v>0</v>
      </c>
      <c r="E46">
        <v>2</v>
      </c>
      <c r="F46">
        <v>21</v>
      </c>
      <c r="G46" t="b">
        <v>0</v>
      </c>
      <c r="H46">
        <v>6</v>
      </c>
      <c r="I46" t="str">
        <f>CHOOSE(H46+1,"Monday","Tuesday","Wednesday","Thursday","Friday","Saturday","Sunday")</f>
        <v>Sunday</v>
      </c>
      <c r="J46">
        <v>1</v>
      </c>
      <c r="K46">
        <v>0.26</v>
      </c>
      <c r="L46" t="str">
        <f>IF(Table5[[#This Row],[temp]]&lt;24,"Cold","Hot")</f>
        <v>Cold</v>
      </c>
      <c r="M46">
        <v>0.2576</v>
      </c>
      <c r="N46">
        <v>1</v>
      </c>
      <c r="O46" t="str">
        <f>IF(Table5[[#This Row],[hum]]&lt;0.3,"Humid",IF(Table5[[#This Row],[hum]]&gt;=0.3,"High Humid"))</f>
        <v>High Humid</v>
      </c>
      <c r="P46">
        <v>0.19400000000000001</v>
      </c>
      <c r="Q46">
        <v>3</v>
      </c>
      <c r="R46">
        <v>53</v>
      </c>
      <c r="S46">
        <v>56</v>
      </c>
    </row>
    <row r="47" spans="1:19" x14ac:dyDescent="0.25">
      <c r="A47">
        <v>804</v>
      </c>
      <c r="B47" s="1">
        <v>40579</v>
      </c>
      <c r="C47">
        <v>1</v>
      </c>
      <c r="D47">
        <v>0</v>
      </c>
      <c r="E47">
        <v>2</v>
      </c>
      <c r="F47">
        <v>22</v>
      </c>
      <c r="G47" t="b">
        <v>0</v>
      </c>
      <c r="H47">
        <v>6</v>
      </c>
      <c r="I47" t="str">
        <f>CHOOSE(H47+1,"Monday","Tuesday","Wednesday","Thursday","Friday","Saturday","Sunday")</f>
        <v>Sunday</v>
      </c>
      <c r="J47">
        <v>1</v>
      </c>
      <c r="K47">
        <v>0.26</v>
      </c>
      <c r="L47" t="str">
        <f>IF(Table5[[#This Row],[temp]]&lt;24,"Cold","Hot")</f>
        <v>Cold</v>
      </c>
      <c r="M47">
        <v>0.2727</v>
      </c>
      <c r="N47">
        <v>0.93</v>
      </c>
      <c r="O47" t="str">
        <f>IF(Table5[[#This Row],[hum]]&lt;0.3,"Humid",IF(Table5[[#This Row],[hum]]&gt;=0.3,"High Humid"))</f>
        <v>High Humid</v>
      </c>
      <c r="P47">
        <v>0.1343</v>
      </c>
      <c r="Q47">
        <v>2</v>
      </c>
      <c r="R47">
        <v>43</v>
      </c>
      <c r="S47">
        <v>45</v>
      </c>
    </row>
    <row r="48" spans="1:19" x14ac:dyDescent="0.25">
      <c r="A48">
        <v>805</v>
      </c>
      <c r="B48" s="1">
        <v>40579</v>
      </c>
      <c r="C48">
        <v>1</v>
      </c>
      <c r="D48">
        <v>0</v>
      </c>
      <c r="E48">
        <v>2</v>
      </c>
      <c r="F48">
        <v>23</v>
      </c>
      <c r="G48" t="b">
        <v>0</v>
      </c>
      <c r="H48">
        <v>6</v>
      </c>
      <c r="I48" t="str">
        <f>CHOOSE(H48+1,"Monday","Tuesday","Wednesday","Thursday","Friday","Saturday","Sunday")</f>
        <v>Sunday</v>
      </c>
      <c r="J48">
        <v>1</v>
      </c>
      <c r="K48">
        <v>0.26</v>
      </c>
      <c r="L48" t="str">
        <f>IF(Table5[[#This Row],[temp]]&lt;24,"Cold","Hot")</f>
        <v>Cold</v>
      </c>
      <c r="M48">
        <v>0.2576</v>
      </c>
      <c r="N48">
        <v>0.93</v>
      </c>
      <c r="O48" t="str">
        <f>IF(Table5[[#This Row],[hum]]&lt;0.3,"Humid",IF(Table5[[#This Row],[hum]]&gt;=0.3,"High Humid"))</f>
        <v>High Humid</v>
      </c>
      <c r="P48">
        <v>0.22389999999999999</v>
      </c>
      <c r="Q48">
        <v>7</v>
      </c>
      <c r="R48">
        <v>52</v>
      </c>
      <c r="S48">
        <v>59</v>
      </c>
    </row>
    <row r="49" spans="1:19" x14ac:dyDescent="0.25">
      <c r="A49">
        <v>946</v>
      </c>
      <c r="B49" s="1">
        <v>40586</v>
      </c>
      <c r="C49">
        <v>1</v>
      </c>
      <c r="D49">
        <v>0</v>
      </c>
      <c r="E49">
        <v>2</v>
      </c>
      <c r="F49">
        <v>0</v>
      </c>
      <c r="G49" t="b">
        <v>0</v>
      </c>
      <c r="H49">
        <v>6</v>
      </c>
      <c r="I49" t="str">
        <f>CHOOSE(H49+1,"Monday","Tuesday","Wednesday","Thursday","Friday","Saturday","Sunday")</f>
        <v>Sunday</v>
      </c>
      <c r="J49">
        <v>1</v>
      </c>
      <c r="K49">
        <v>0.16</v>
      </c>
      <c r="L49" t="str">
        <f>IF(Table5[[#This Row],[temp]]&lt;24,"Cold","Hot")</f>
        <v>Cold</v>
      </c>
      <c r="M49">
        <v>0.19700000000000001</v>
      </c>
      <c r="N49">
        <v>0.69</v>
      </c>
      <c r="O49" t="str">
        <f>IF(Table5[[#This Row],[hum]]&lt;0.3,"Humid",IF(Table5[[#This Row],[hum]]&gt;=0.3,"High Humid"))</f>
        <v>High Humid</v>
      </c>
      <c r="P49">
        <v>8.9599999999999999E-2</v>
      </c>
      <c r="Q49">
        <v>3</v>
      </c>
      <c r="R49">
        <v>27</v>
      </c>
      <c r="S49">
        <v>30</v>
      </c>
    </row>
    <row r="50" spans="1:19" x14ac:dyDescent="0.25">
      <c r="A50">
        <v>947</v>
      </c>
      <c r="B50" s="1">
        <v>40586</v>
      </c>
      <c r="C50">
        <v>1</v>
      </c>
      <c r="D50">
        <v>0</v>
      </c>
      <c r="E50">
        <v>2</v>
      </c>
      <c r="F50">
        <v>1</v>
      </c>
      <c r="G50" t="b">
        <v>0</v>
      </c>
      <c r="H50">
        <v>6</v>
      </c>
      <c r="I50" t="str">
        <f>CHOOSE(H50+1,"Monday","Tuesday","Wednesday","Thursday","Friday","Saturday","Sunday")</f>
        <v>Sunday</v>
      </c>
      <c r="J50">
        <v>1</v>
      </c>
      <c r="K50">
        <v>0.14000000000000001</v>
      </c>
      <c r="L50" t="str">
        <f>IF(Table5[[#This Row],[temp]]&lt;24,"Cold","Hot")</f>
        <v>Cold</v>
      </c>
      <c r="M50">
        <v>0.21210000000000001</v>
      </c>
      <c r="N50">
        <v>0.86</v>
      </c>
      <c r="O50" t="str">
        <f>IF(Table5[[#This Row],[hum]]&lt;0.3,"Humid",IF(Table5[[#This Row],[hum]]&gt;=0.3,"High Humid"))</f>
        <v>High Humid</v>
      </c>
      <c r="P50">
        <v>0</v>
      </c>
      <c r="Q50">
        <v>2</v>
      </c>
      <c r="R50">
        <v>22</v>
      </c>
      <c r="S50">
        <v>24</v>
      </c>
    </row>
    <row r="51" spans="1:19" x14ac:dyDescent="0.25">
      <c r="A51">
        <v>948</v>
      </c>
      <c r="B51" s="1">
        <v>40586</v>
      </c>
      <c r="C51">
        <v>1</v>
      </c>
      <c r="D51">
        <v>0</v>
      </c>
      <c r="E51">
        <v>2</v>
      </c>
      <c r="F51">
        <v>2</v>
      </c>
      <c r="G51" t="b">
        <v>0</v>
      </c>
      <c r="H51">
        <v>6</v>
      </c>
      <c r="I51" t="str">
        <f>CHOOSE(H51+1,"Monday","Tuesday","Wednesday","Thursday","Friday","Saturday","Sunday")</f>
        <v>Sunday</v>
      </c>
      <c r="J51">
        <v>1</v>
      </c>
      <c r="K51">
        <v>0.14000000000000001</v>
      </c>
      <c r="L51" t="str">
        <f>IF(Table5[[#This Row],[temp]]&lt;24,"Cold","Hot")</f>
        <v>Cold</v>
      </c>
      <c r="M51">
        <v>0.21210000000000001</v>
      </c>
      <c r="N51">
        <v>0.8</v>
      </c>
      <c r="O51" t="str">
        <f>IF(Table5[[#This Row],[hum]]&lt;0.3,"Humid",IF(Table5[[#This Row],[hum]]&gt;=0.3,"High Humid"))</f>
        <v>High Humid</v>
      </c>
      <c r="P51">
        <v>0</v>
      </c>
      <c r="Q51">
        <v>2</v>
      </c>
      <c r="R51">
        <v>13</v>
      </c>
      <c r="S51">
        <v>15</v>
      </c>
    </row>
    <row r="52" spans="1:19" x14ac:dyDescent="0.25">
      <c r="A52">
        <v>949</v>
      </c>
      <c r="B52" s="1">
        <v>40586</v>
      </c>
      <c r="C52">
        <v>1</v>
      </c>
      <c r="D52">
        <v>0</v>
      </c>
      <c r="E52">
        <v>2</v>
      </c>
      <c r="F52">
        <v>3</v>
      </c>
      <c r="G52" t="b">
        <v>0</v>
      </c>
      <c r="H52">
        <v>6</v>
      </c>
      <c r="I52" t="str">
        <f>CHOOSE(H52+1,"Monday","Tuesday","Wednesday","Thursday","Friday","Saturday","Sunday")</f>
        <v>Sunday</v>
      </c>
      <c r="J52">
        <v>1</v>
      </c>
      <c r="K52">
        <v>0.12</v>
      </c>
      <c r="L52" t="str">
        <f>IF(Table5[[#This Row],[temp]]&lt;24,"Cold","Hot")</f>
        <v>Cold</v>
      </c>
      <c r="M52">
        <v>0.19700000000000001</v>
      </c>
      <c r="N52">
        <v>0.8</v>
      </c>
      <c r="O52" t="str">
        <f>IF(Table5[[#This Row],[hum]]&lt;0.3,"Humid",IF(Table5[[#This Row],[hum]]&gt;=0.3,"High Humid"))</f>
        <v>High Humid</v>
      </c>
      <c r="P52">
        <v>0</v>
      </c>
      <c r="Q52">
        <v>3</v>
      </c>
      <c r="R52">
        <v>7</v>
      </c>
      <c r="S52">
        <v>10</v>
      </c>
    </row>
    <row r="53" spans="1:19" x14ac:dyDescent="0.25">
      <c r="A53">
        <v>950</v>
      </c>
      <c r="B53" s="1">
        <v>40586</v>
      </c>
      <c r="C53">
        <v>1</v>
      </c>
      <c r="D53">
        <v>0</v>
      </c>
      <c r="E53">
        <v>2</v>
      </c>
      <c r="F53">
        <v>4</v>
      </c>
      <c r="G53" t="b">
        <v>0</v>
      </c>
      <c r="H53">
        <v>6</v>
      </c>
      <c r="I53" t="str">
        <f>CHOOSE(H53+1,"Monday","Tuesday","Wednesday","Thursday","Friday","Saturday","Sunday")</f>
        <v>Sunday</v>
      </c>
      <c r="J53">
        <v>1</v>
      </c>
      <c r="K53">
        <v>0.12</v>
      </c>
      <c r="L53" t="str">
        <f>IF(Table5[[#This Row],[temp]]&lt;24,"Cold","Hot")</f>
        <v>Cold</v>
      </c>
      <c r="M53">
        <v>0.16669999999999999</v>
      </c>
      <c r="N53">
        <v>0.74</v>
      </c>
      <c r="O53" t="str">
        <f>IF(Table5[[#This Row],[hum]]&lt;0.3,"Humid",IF(Table5[[#This Row],[hum]]&gt;=0.3,"High Humid"))</f>
        <v>High Humid</v>
      </c>
      <c r="P53">
        <v>8.9599999999999999E-2</v>
      </c>
      <c r="Q53">
        <v>0</v>
      </c>
      <c r="R53">
        <v>4</v>
      </c>
      <c r="S53">
        <v>4</v>
      </c>
    </row>
    <row r="54" spans="1:19" x14ac:dyDescent="0.25">
      <c r="A54">
        <v>951</v>
      </c>
      <c r="B54" s="1">
        <v>40586</v>
      </c>
      <c r="C54">
        <v>1</v>
      </c>
      <c r="D54">
        <v>0</v>
      </c>
      <c r="E54">
        <v>2</v>
      </c>
      <c r="F54">
        <v>5</v>
      </c>
      <c r="G54" t="b">
        <v>0</v>
      </c>
      <c r="H54">
        <v>6</v>
      </c>
      <c r="I54" t="str">
        <f>CHOOSE(H54+1,"Monday","Tuesday","Wednesday","Thursday","Friday","Saturday","Sunday")</f>
        <v>Sunday</v>
      </c>
      <c r="J54">
        <v>1</v>
      </c>
      <c r="K54">
        <v>0.12</v>
      </c>
      <c r="L54" t="str">
        <f>IF(Table5[[#This Row],[temp]]&lt;24,"Cold","Hot")</f>
        <v>Cold</v>
      </c>
      <c r="M54">
        <v>0.16669999999999999</v>
      </c>
      <c r="N54">
        <v>0.74</v>
      </c>
      <c r="O54" t="str">
        <f>IF(Table5[[#This Row],[hum]]&lt;0.3,"Humid",IF(Table5[[#This Row],[hum]]&gt;=0.3,"High Humid"))</f>
        <v>High Humid</v>
      </c>
      <c r="P54">
        <v>8.9599999999999999E-2</v>
      </c>
      <c r="Q54">
        <v>0</v>
      </c>
      <c r="R54">
        <v>1</v>
      </c>
      <c r="S54">
        <v>1</v>
      </c>
    </row>
    <row r="55" spans="1:19" x14ac:dyDescent="0.25">
      <c r="A55">
        <v>952</v>
      </c>
      <c r="B55" s="1">
        <v>40586</v>
      </c>
      <c r="C55">
        <v>1</v>
      </c>
      <c r="D55">
        <v>0</v>
      </c>
      <c r="E55">
        <v>2</v>
      </c>
      <c r="F55">
        <v>6</v>
      </c>
      <c r="G55" t="b">
        <v>0</v>
      </c>
      <c r="H55">
        <v>6</v>
      </c>
      <c r="I55" t="str">
        <f>CHOOSE(H55+1,"Monday","Tuesday","Wednesday","Thursday","Friday","Saturday","Sunday")</f>
        <v>Sunday</v>
      </c>
      <c r="J55">
        <v>1</v>
      </c>
      <c r="K55">
        <v>0.12</v>
      </c>
      <c r="L55" t="str">
        <f>IF(Table5[[#This Row],[temp]]&lt;24,"Cold","Hot")</f>
        <v>Cold</v>
      </c>
      <c r="M55">
        <v>0.13639999999999999</v>
      </c>
      <c r="N55">
        <v>0.93</v>
      </c>
      <c r="O55" t="str">
        <f>IF(Table5[[#This Row],[hum]]&lt;0.3,"Humid",IF(Table5[[#This Row],[hum]]&gt;=0.3,"High Humid"))</f>
        <v>High Humid</v>
      </c>
      <c r="P55">
        <v>0.19400000000000001</v>
      </c>
      <c r="Q55">
        <v>1</v>
      </c>
      <c r="R55">
        <v>1</v>
      </c>
      <c r="S55">
        <v>2</v>
      </c>
    </row>
    <row r="56" spans="1:19" x14ac:dyDescent="0.25">
      <c r="A56">
        <v>953</v>
      </c>
      <c r="B56" s="1">
        <v>40586</v>
      </c>
      <c r="C56">
        <v>1</v>
      </c>
      <c r="D56">
        <v>0</v>
      </c>
      <c r="E56">
        <v>2</v>
      </c>
      <c r="F56">
        <v>7</v>
      </c>
      <c r="G56" t="b">
        <v>0</v>
      </c>
      <c r="H56">
        <v>6</v>
      </c>
      <c r="I56" t="str">
        <f>CHOOSE(H56+1,"Monday","Tuesday","Wednesday","Thursday","Friday","Saturday","Sunday")</f>
        <v>Sunday</v>
      </c>
      <c r="J56">
        <v>1</v>
      </c>
      <c r="K56">
        <v>0.12</v>
      </c>
      <c r="L56" t="str">
        <f>IF(Table5[[#This Row],[temp]]&lt;24,"Cold","Hot")</f>
        <v>Cold</v>
      </c>
      <c r="M56">
        <v>0.1515</v>
      </c>
      <c r="N56">
        <v>0.8</v>
      </c>
      <c r="O56" t="str">
        <f>IF(Table5[[#This Row],[hum]]&lt;0.3,"Humid",IF(Table5[[#This Row],[hum]]&gt;=0.3,"High Humid"))</f>
        <v>High Humid</v>
      </c>
      <c r="P56">
        <v>0.1045</v>
      </c>
      <c r="Q56">
        <v>2</v>
      </c>
      <c r="R56">
        <v>9</v>
      </c>
      <c r="S56">
        <v>11</v>
      </c>
    </row>
    <row r="57" spans="1:19" x14ac:dyDescent="0.25">
      <c r="A57">
        <v>954</v>
      </c>
      <c r="B57" s="1">
        <v>40586</v>
      </c>
      <c r="C57">
        <v>1</v>
      </c>
      <c r="D57">
        <v>0</v>
      </c>
      <c r="E57">
        <v>2</v>
      </c>
      <c r="F57">
        <v>8</v>
      </c>
      <c r="G57" t="b">
        <v>0</v>
      </c>
      <c r="H57">
        <v>6</v>
      </c>
      <c r="I57" t="str">
        <f>CHOOSE(H57+1,"Monday","Tuesday","Wednesday","Thursday","Friday","Saturday","Sunday")</f>
        <v>Sunday</v>
      </c>
      <c r="J57">
        <v>1</v>
      </c>
      <c r="K57">
        <v>0.14000000000000001</v>
      </c>
      <c r="L57" t="str">
        <f>IF(Table5[[#This Row],[temp]]&lt;24,"Cold","Hot")</f>
        <v>Cold</v>
      </c>
      <c r="M57">
        <v>0.1515</v>
      </c>
      <c r="N57">
        <v>0.86</v>
      </c>
      <c r="O57" t="str">
        <f>IF(Table5[[#This Row],[hum]]&lt;0.3,"Humid",IF(Table5[[#This Row],[hum]]&gt;=0.3,"High Humid"))</f>
        <v>High Humid</v>
      </c>
      <c r="P57">
        <v>0.1343</v>
      </c>
      <c r="Q57">
        <v>2</v>
      </c>
      <c r="R57">
        <v>28</v>
      </c>
      <c r="S57">
        <v>30</v>
      </c>
    </row>
    <row r="58" spans="1:19" x14ac:dyDescent="0.25">
      <c r="A58">
        <v>955</v>
      </c>
      <c r="B58" s="1">
        <v>40586</v>
      </c>
      <c r="C58">
        <v>1</v>
      </c>
      <c r="D58">
        <v>0</v>
      </c>
      <c r="E58">
        <v>2</v>
      </c>
      <c r="F58">
        <v>9</v>
      </c>
      <c r="G58" t="b">
        <v>0</v>
      </c>
      <c r="H58">
        <v>6</v>
      </c>
      <c r="I58" t="str">
        <f>CHOOSE(H58+1,"Monday","Tuesday","Wednesday","Thursday","Friday","Saturday","Sunday")</f>
        <v>Sunday</v>
      </c>
      <c r="J58">
        <v>1</v>
      </c>
      <c r="K58">
        <v>0.16</v>
      </c>
      <c r="L58" t="str">
        <f>IF(Table5[[#This Row],[temp]]&lt;24,"Cold","Hot")</f>
        <v>Cold</v>
      </c>
      <c r="M58">
        <v>0.18179999999999999</v>
      </c>
      <c r="N58">
        <v>0.64</v>
      </c>
      <c r="O58" t="str">
        <f>IF(Table5[[#This Row],[hum]]&lt;0.3,"Humid",IF(Table5[[#This Row],[hum]]&gt;=0.3,"High Humid"))</f>
        <v>High Humid</v>
      </c>
      <c r="P58">
        <v>0.1343</v>
      </c>
      <c r="Q58">
        <v>5</v>
      </c>
      <c r="R58">
        <v>38</v>
      </c>
      <c r="S58">
        <v>43</v>
      </c>
    </row>
    <row r="59" spans="1:19" x14ac:dyDescent="0.25">
      <c r="A59">
        <v>956</v>
      </c>
      <c r="B59" s="1">
        <v>40586</v>
      </c>
      <c r="C59">
        <v>1</v>
      </c>
      <c r="D59">
        <v>0</v>
      </c>
      <c r="E59">
        <v>2</v>
      </c>
      <c r="F59">
        <v>10</v>
      </c>
      <c r="G59" t="b">
        <v>0</v>
      </c>
      <c r="H59">
        <v>6</v>
      </c>
      <c r="I59" t="str">
        <f>CHOOSE(H59+1,"Monday","Tuesday","Wednesday","Thursday","Friday","Saturday","Sunday")</f>
        <v>Sunday</v>
      </c>
      <c r="J59">
        <v>1</v>
      </c>
      <c r="K59">
        <v>0.22</v>
      </c>
      <c r="L59" t="str">
        <f>IF(Table5[[#This Row],[temp]]&lt;24,"Cold","Hot")</f>
        <v>Cold</v>
      </c>
      <c r="M59">
        <v>0.21210000000000001</v>
      </c>
      <c r="N59">
        <v>0.41</v>
      </c>
      <c r="O59" t="str">
        <f>IF(Table5[[#This Row],[hum]]&lt;0.3,"Humid",IF(Table5[[#This Row],[hum]]&gt;=0.3,"High Humid"))</f>
        <v>High Humid</v>
      </c>
      <c r="P59">
        <v>0.25369999999999998</v>
      </c>
      <c r="Q59">
        <v>13</v>
      </c>
      <c r="R59">
        <v>71</v>
      </c>
      <c r="S59">
        <v>84</v>
      </c>
    </row>
    <row r="60" spans="1:19" x14ac:dyDescent="0.25">
      <c r="A60">
        <v>957</v>
      </c>
      <c r="B60" s="1">
        <v>40586</v>
      </c>
      <c r="C60">
        <v>1</v>
      </c>
      <c r="D60">
        <v>0</v>
      </c>
      <c r="E60">
        <v>2</v>
      </c>
      <c r="F60">
        <v>11</v>
      </c>
      <c r="G60" t="b">
        <v>0</v>
      </c>
      <c r="H60">
        <v>6</v>
      </c>
      <c r="I60" t="str">
        <f>CHOOSE(H60+1,"Monday","Tuesday","Wednesday","Thursday","Friday","Saturday","Sunday")</f>
        <v>Sunday</v>
      </c>
      <c r="J60">
        <v>1</v>
      </c>
      <c r="K60">
        <v>0.3</v>
      </c>
      <c r="L60" t="str">
        <f>IF(Table5[[#This Row],[temp]]&lt;24,"Cold","Hot")</f>
        <v>Cold</v>
      </c>
      <c r="M60">
        <v>0.2727</v>
      </c>
      <c r="N60">
        <v>0.28000000000000003</v>
      </c>
      <c r="O60" t="str">
        <f>IF(Table5[[#This Row],[hum]]&lt;0.3,"Humid",IF(Table5[[#This Row],[hum]]&gt;=0.3,"High Humid"))</f>
        <v>Humid</v>
      </c>
      <c r="P60">
        <v>0.32840000000000003</v>
      </c>
      <c r="Q60">
        <v>30</v>
      </c>
      <c r="R60">
        <v>84</v>
      </c>
      <c r="S60">
        <v>114</v>
      </c>
    </row>
    <row r="61" spans="1:19" x14ac:dyDescent="0.25">
      <c r="A61">
        <v>958</v>
      </c>
      <c r="B61" s="1">
        <v>40586</v>
      </c>
      <c r="C61">
        <v>1</v>
      </c>
      <c r="D61">
        <v>0</v>
      </c>
      <c r="E61">
        <v>2</v>
      </c>
      <c r="F61">
        <v>12</v>
      </c>
      <c r="G61" t="b">
        <v>0</v>
      </c>
      <c r="H61">
        <v>6</v>
      </c>
      <c r="I61" t="str">
        <f>CHOOSE(H61+1,"Monday","Tuesday","Wednesday","Thursday","Friday","Saturday","Sunday")</f>
        <v>Sunday</v>
      </c>
      <c r="J61">
        <v>1</v>
      </c>
      <c r="K61">
        <v>0.3</v>
      </c>
      <c r="L61" t="str">
        <f>IF(Table5[[#This Row],[temp]]&lt;24,"Cold","Hot")</f>
        <v>Cold</v>
      </c>
      <c r="M61">
        <v>0.2727</v>
      </c>
      <c r="N61">
        <v>0.39</v>
      </c>
      <c r="O61" t="str">
        <f>IF(Table5[[#This Row],[hum]]&lt;0.3,"Humid",IF(Table5[[#This Row],[hum]]&gt;=0.3,"High Humid"))</f>
        <v>High Humid</v>
      </c>
      <c r="P61">
        <v>0.4627</v>
      </c>
      <c r="Q61">
        <v>27</v>
      </c>
      <c r="R61">
        <v>93</v>
      </c>
      <c r="S61">
        <v>120</v>
      </c>
    </row>
    <row r="62" spans="1:19" x14ac:dyDescent="0.25">
      <c r="A62">
        <v>959</v>
      </c>
      <c r="B62" s="1">
        <v>40586</v>
      </c>
      <c r="C62">
        <v>1</v>
      </c>
      <c r="D62">
        <v>0</v>
      </c>
      <c r="E62">
        <v>2</v>
      </c>
      <c r="F62">
        <v>13</v>
      </c>
      <c r="G62" t="b">
        <v>0</v>
      </c>
      <c r="H62">
        <v>6</v>
      </c>
      <c r="I62" t="str">
        <f>CHOOSE(H62+1,"Monday","Tuesday","Wednesday","Thursday","Friday","Saturday","Sunday")</f>
        <v>Sunday</v>
      </c>
      <c r="J62">
        <v>1</v>
      </c>
      <c r="K62">
        <v>0.3</v>
      </c>
      <c r="L62" t="str">
        <f>IF(Table5[[#This Row],[temp]]&lt;24,"Cold","Hot")</f>
        <v>Cold</v>
      </c>
      <c r="M62">
        <v>0.2727</v>
      </c>
      <c r="N62">
        <v>0.39</v>
      </c>
      <c r="O62" t="str">
        <f>IF(Table5[[#This Row],[hum]]&lt;0.3,"Humid",IF(Table5[[#This Row],[hum]]&gt;=0.3,"High Humid"))</f>
        <v>High Humid</v>
      </c>
      <c r="P62">
        <v>0.41789999999999999</v>
      </c>
      <c r="Q62">
        <v>32</v>
      </c>
      <c r="R62">
        <v>103</v>
      </c>
      <c r="S62">
        <v>135</v>
      </c>
    </row>
    <row r="63" spans="1:19" x14ac:dyDescent="0.25">
      <c r="A63">
        <v>960</v>
      </c>
      <c r="B63" s="1">
        <v>40586</v>
      </c>
      <c r="C63">
        <v>1</v>
      </c>
      <c r="D63">
        <v>0</v>
      </c>
      <c r="E63">
        <v>2</v>
      </c>
      <c r="F63">
        <v>14</v>
      </c>
      <c r="G63" t="b">
        <v>0</v>
      </c>
      <c r="H63">
        <v>6</v>
      </c>
      <c r="I63" t="str">
        <f>CHOOSE(H63+1,"Monday","Tuesday","Wednesday","Thursday","Friday","Saturday","Sunday")</f>
        <v>Sunday</v>
      </c>
      <c r="J63">
        <v>1</v>
      </c>
      <c r="K63">
        <v>0.34</v>
      </c>
      <c r="L63" t="str">
        <f>IF(Table5[[#This Row],[temp]]&lt;24,"Cold","Hot")</f>
        <v>Cold</v>
      </c>
      <c r="M63">
        <v>0.31819999999999998</v>
      </c>
      <c r="N63">
        <v>0.31</v>
      </c>
      <c r="O63" t="str">
        <f>IF(Table5[[#This Row],[hum]]&lt;0.3,"Humid",IF(Table5[[#This Row],[hum]]&gt;=0.3,"High Humid"))</f>
        <v>High Humid</v>
      </c>
      <c r="P63">
        <v>0.28360000000000002</v>
      </c>
      <c r="Q63">
        <v>30</v>
      </c>
      <c r="R63">
        <v>90</v>
      </c>
      <c r="S63">
        <v>120</v>
      </c>
    </row>
    <row r="64" spans="1:19" x14ac:dyDescent="0.25">
      <c r="A64">
        <v>961</v>
      </c>
      <c r="B64" s="1">
        <v>40586</v>
      </c>
      <c r="C64">
        <v>1</v>
      </c>
      <c r="D64">
        <v>0</v>
      </c>
      <c r="E64">
        <v>2</v>
      </c>
      <c r="F64">
        <v>15</v>
      </c>
      <c r="G64" t="b">
        <v>0</v>
      </c>
      <c r="H64">
        <v>6</v>
      </c>
      <c r="I64" t="str">
        <f>CHOOSE(H64+1,"Monday","Tuesday","Wednesday","Thursday","Friday","Saturday","Sunday")</f>
        <v>Sunday</v>
      </c>
      <c r="J64">
        <v>1</v>
      </c>
      <c r="K64">
        <v>0.34</v>
      </c>
      <c r="L64" t="str">
        <f>IF(Table5[[#This Row],[temp]]&lt;24,"Cold","Hot")</f>
        <v>Cold</v>
      </c>
      <c r="M64">
        <v>0.30299999999999999</v>
      </c>
      <c r="N64">
        <v>0.28999999999999998</v>
      </c>
      <c r="O64" t="str">
        <f>IF(Table5[[#This Row],[hum]]&lt;0.3,"Humid",IF(Table5[[#This Row],[hum]]&gt;=0.3,"High Humid"))</f>
        <v>Humid</v>
      </c>
      <c r="P64">
        <v>0.41789999999999999</v>
      </c>
      <c r="Q64">
        <v>47</v>
      </c>
      <c r="R64">
        <v>127</v>
      </c>
      <c r="S64">
        <v>174</v>
      </c>
    </row>
    <row r="65" spans="1:19" x14ac:dyDescent="0.25">
      <c r="A65">
        <v>962</v>
      </c>
      <c r="B65" s="1">
        <v>40586</v>
      </c>
      <c r="C65">
        <v>1</v>
      </c>
      <c r="D65">
        <v>0</v>
      </c>
      <c r="E65">
        <v>2</v>
      </c>
      <c r="F65">
        <v>16</v>
      </c>
      <c r="G65" t="b">
        <v>0</v>
      </c>
      <c r="H65">
        <v>6</v>
      </c>
      <c r="I65" t="str">
        <f>CHOOSE(H65+1,"Monday","Tuesday","Wednesday","Thursday","Friday","Saturday","Sunday")</f>
        <v>Sunday</v>
      </c>
      <c r="J65">
        <v>1</v>
      </c>
      <c r="K65">
        <v>0.34</v>
      </c>
      <c r="L65" t="str">
        <f>IF(Table5[[#This Row],[temp]]&lt;24,"Cold","Hot")</f>
        <v>Cold</v>
      </c>
      <c r="M65">
        <v>0.30299999999999999</v>
      </c>
      <c r="N65">
        <v>0.28999999999999998</v>
      </c>
      <c r="O65" t="str">
        <f>IF(Table5[[#This Row],[hum]]&lt;0.3,"Humid",IF(Table5[[#This Row],[hum]]&gt;=0.3,"High Humid"))</f>
        <v>Humid</v>
      </c>
      <c r="P65">
        <v>0.41789999999999999</v>
      </c>
      <c r="Q65">
        <v>42</v>
      </c>
      <c r="R65">
        <v>103</v>
      </c>
      <c r="S65">
        <v>145</v>
      </c>
    </row>
    <row r="66" spans="1:19" x14ac:dyDescent="0.25">
      <c r="A66">
        <v>963</v>
      </c>
      <c r="B66" s="1">
        <v>40586</v>
      </c>
      <c r="C66">
        <v>1</v>
      </c>
      <c r="D66">
        <v>0</v>
      </c>
      <c r="E66">
        <v>2</v>
      </c>
      <c r="F66">
        <v>17</v>
      </c>
      <c r="G66" t="b">
        <v>0</v>
      </c>
      <c r="H66">
        <v>6</v>
      </c>
      <c r="I66" t="str">
        <f>CHOOSE(H66+1,"Monday","Tuesday","Wednesday","Thursday","Friday","Saturday","Sunday")</f>
        <v>Sunday</v>
      </c>
      <c r="J66">
        <v>1</v>
      </c>
      <c r="K66">
        <v>0.32</v>
      </c>
      <c r="L66" t="str">
        <f>IF(Table5[[#This Row],[temp]]&lt;24,"Cold","Hot")</f>
        <v>Cold</v>
      </c>
      <c r="M66">
        <v>0.28789999999999999</v>
      </c>
      <c r="N66">
        <v>0.31</v>
      </c>
      <c r="O66" t="str">
        <f>IF(Table5[[#This Row],[hum]]&lt;0.3,"Humid",IF(Table5[[#This Row],[hum]]&gt;=0.3,"High Humid"))</f>
        <v>High Humid</v>
      </c>
      <c r="P66">
        <v>0.52239999999999998</v>
      </c>
      <c r="Q66">
        <v>24</v>
      </c>
      <c r="R66">
        <v>113</v>
      </c>
      <c r="S66">
        <v>137</v>
      </c>
    </row>
    <row r="67" spans="1:19" x14ac:dyDescent="0.25">
      <c r="A67">
        <v>964</v>
      </c>
      <c r="B67" s="1">
        <v>40586</v>
      </c>
      <c r="C67">
        <v>1</v>
      </c>
      <c r="D67">
        <v>0</v>
      </c>
      <c r="E67">
        <v>2</v>
      </c>
      <c r="F67">
        <v>18</v>
      </c>
      <c r="G67" t="b">
        <v>0</v>
      </c>
      <c r="H67">
        <v>6</v>
      </c>
      <c r="I67" t="str">
        <f>CHOOSE(H67+1,"Monday","Tuesday","Wednesday","Thursday","Friday","Saturday","Sunday")</f>
        <v>Sunday</v>
      </c>
      <c r="J67">
        <v>1</v>
      </c>
      <c r="K67">
        <v>0.28000000000000003</v>
      </c>
      <c r="L67" t="str">
        <f>IF(Table5[[#This Row],[temp]]&lt;24,"Cold","Hot")</f>
        <v>Cold</v>
      </c>
      <c r="M67">
        <v>0.2576</v>
      </c>
      <c r="N67">
        <v>0.38</v>
      </c>
      <c r="O67" t="str">
        <f>IF(Table5[[#This Row],[hum]]&lt;0.3,"Humid",IF(Table5[[#This Row],[hum]]&gt;=0.3,"High Humid"))</f>
        <v>High Humid</v>
      </c>
      <c r="P67">
        <v>0.32840000000000003</v>
      </c>
      <c r="Q67">
        <v>4</v>
      </c>
      <c r="R67">
        <v>60</v>
      </c>
      <c r="S67">
        <v>64</v>
      </c>
    </row>
    <row r="68" spans="1:19" x14ac:dyDescent="0.25">
      <c r="A68">
        <v>965</v>
      </c>
      <c r="B68" s="1">
        <v>40586</v>
      </c>
      <c r="C68">
        <v>1</v>
      </c>
      <c r="D68">
        <v>0</v>
      </c>
      <c r="E68">
        <v>2</v>
      </c>
      <c r="F68">
        <v>19</v>
      </c>
      <c r="G68" t="b">
        <v>0</v>
      </c>
      <c r="H68">
        <v>6</v>
      </c>
      <c r="I68" t="str">
        <f>CHOOSE(H68+1,"Monday","Tuesday","Wednesday","Thursday","Friday","Saturday","Sunday")</f>
        <v>Sunday</v>
      </c>
      <c r="J68">
        <v>1</v>
      </c>
      <c r="K68">
        <v>0.28000000000000003</v>
      </c>
      <c r="L68" t="str">
        <f>IF(Table5[[#This Row],[temp]]&lt;24,"Cold","Hot")</f>
        <v>Cold</v>
      </c>
      <c r="M68">
        <v>0.2727</v>
      </c>
      <c r="N68">
        <v>0.38</v>
      </c>
      <c r="O68" t="str">
        <f>IF(Table5[[#This Row],[hum]]&lt;0.3,"Humid",IF(Table5[[#This Row],[hum]]&gt;=0.3,"High Humid"))</f>
        <v>High Humid</v>
      </c>
      <c r="P68">
        <v>0.16420000000000001</v>
      </c>
      <c r="Q68">
        <v>2</v>
      </c>
      <c r="R68">
        <v>39</v>
      </c>
      <c r="S68">
        <v>41</v>
      </c>
    </row>
    <row r="69" spans="1:19" x14ac:dyDescent="0.25">
      <c r="A69">
        <v>966</v>
      </c>
      <c r="B69" s="1">
        <v>40586</v>
      </c>
      <c r="C69">
        <v>1</v>
      </c>
      <c r="D69">
        <v>0</v>
      </c>
      <c r="E69">
        <v>2</v>
      </c>
      <c r="F69">
        <v>20</v>
      </c>
      <c r="G69" t="b">
        <v>0</v>
      </c>
      <c r="H69">
        <v>6</v>
      </c>
      <c r="I69" t="str">
        <f>CHOOSE(H69+1,"Monday","Tuesday","Wednesday","Thursday","Friday","Saturday","Sunday")</f>
        <v>Sunday</v>
      </c>
      <c r="J69">
        <v>1</v>
      </c>
      <c r="K69">
        <v>0.26</v>
      </c>
      <c r="L69" t="str">
        <f>IF(Table5[[#This Row],[temp]]&lt;24,"Cold","Hot")</f>
        <v>Cold</v>
      </c>
      <c r="M69">
        <v>0.2576</v>
      </c>
      <c r="N69">
        <v>0.41</v>
      </c>
      <c r="O69" t="str">
        <f>IF(Table5[[#This Row],[hum]]&lt;0.3,"Humid",IF(Table5[[#This Row],[hum]]&gt;=0.3,"High Humid"))</f>
        <v>High Humid</v>
      </c>
      <c r="P69">
        <v>0.22389999999999999</v>
      </c>
      <c r="Q69">
        <v>1</v>
      </c>
      <c r="R69">
        <v>39</v>
      </c>
      <c r="S69">
        <v>40</v>
      </c>
    </row>
    <row r="70" spans="1:19" x14ac:dyDescent="0.25">
      <c r="A70">
        <v>967</v>
      </c>
      <c r="B70" s="1">
        <v>40586</v>
      </c>
      <c r="C70">
        <v>1</v>
      </c>
      <c r="D70">
        <v>0</v>
      </c>
      <c r="E70">
        <v>2</v>
      </c>
      <c r="F70">
        <v>21</v>
      </c>
      <c r="G70" t="b">
        <v>0</v>
      </c>
      <c r="H70">
        <v>6</v>
      </c>
      <c r="I70" t="str">
        <f>CHOOSE(H70+1,"Monday","Tuesday","Wednesday","Thursday","Friday","Saturday","Sunday")</f>
        <v>Sunday</v>
      </c>
      <c r="J70">
        <v>1</v>
      </c>
      <c r="K70">
        <v>0.26</v>
      </c>
      <c r="L70" t="str">
        <f>IF(Table5[[#This Row],[temp]]&lt;24,"Cold","Hot")</f>
        <v>Cold</v>
      </c>
      <c r="M70">
        <v>0.30299999999999999</v>
      </c>
      <c r="N70">
        <v>0.41</v>
      </c>
      <c r="O70" t="str">
        <f>IF(Table5[[#This Row],[hum]]&lt;0.3,"Humid",IF(Table5[[#This Row],[hum]]&gt;=0.3,"High Humid"))</f>
        <v>High Humid</v>
      </c>
      <c r="P70">
        <v>0</v>
      </c>
      <c r="Q70">
        <v>9</v>
      </c>
      <c r="R70">
        <v>42</v>
      </c>
      <c r="S70">
        <v>51</v>
      </c>
    </row>
    <row r="71" spans="1:19" x14ac:dyDescent="0.25">
      <c r="A71">
        <v>968</v>
      </c>
      <c r="B71" s="1">
        <v>40586</v>
      </c>
      <c r="C71">
        <v>1</v>
      </c>
      <c r="D71">
        <v>0</v>
      </c>
      <c r="E71">
        <v>2</v>
      </c>
      <c r="F71">
        <v>22</v>
      </c>
      <c r="G71" t="b">
        <v>0</v>
      </c>
      <c r="H71">
        <v>6</v>
      </c>
      <c r="I71" t="str">
        <f>CHOOSE(H71+1,"Monday","Tuesday","Wednesday","Thursday","Friday","Saturday","Sunday")</f>
        <v>Sunday</v>
      </c>
      <c r="J71">
        <v>1</v>
      </c>
      <c r="K71">
        <v>0.24</v>
      </c>
      <c r="L71" t="str">
        <f>IF(Table5[[#This Row],[temp]]&lt;24,"Cold","Hot")</f>
        <v>Cold</v>
      </c>
      <c r="M71">
        <v>0.2576</v>
      </c>
      <c r="N71">
        <v>0.44</v>
      </c>
      <c r="O71" t="str">
        <f>IF(Table5[[#This Row],[hum]]&lt;0.3,"Humid",IF(Table5[[#This Row],[hum]]&gt;=0.3,"High Humid"))</f>
        <v>High Humid</v>
      </c>
      <c r="P71">
        <v>8.9599999999999999E-2</v>
      </c>
      <c r="Q71">
        <v>6</v>
      </c>
      <c r="R71">
        <v>39</v>
      </c>
      <c r="S71">
        <v>45</v>
      </c>
    </row>
    <row r="72" spans="1:19" x14ac:dyDescent="0.25">
      <c r="A72">
        <v>969</v>
      </c>
      <c r="B72" s="1">
        <v>40586</v>
      </c>
      <c r="C72">
        <v>1</v>
      </c>
      <c r="D72">
        <v>0</v>
      </c>
      <c r="E72">
        <v>2</v>
      </c>
      <c r="F72">
        <v>23</v>
      </c>
      <c r="G72" t="b">
        <v>0</v>
      </c>
      <c r="H72">
        <v>6</v>
      </c>
      <c r="I72" t="str">
        <f>CHOOSE(H72+1,"Monday","Tuesday","Wednesday","Thursday","Friday","Saturday","Sunday")</f>
        <v>Sunday</v>
      </c>
      <c r="J72">
        <v>1</v>
      </c>
      <c r="K72">
        <v>0.22</v>
      </c>
      <c r="L72" t="str">
        <f>IF(Table5[[#This Row],[temp]]&lt;24,"Cold","Hot")</f>
        <v>Cold</v>
      </c>
      <c r="M72">
        <v>0.2273</v>
      </c>
      <c r="N72">
        <v>0.51</v>
      </c>
      <c r="O72" t="str">
        <f>IF(Table5[[#This Row],[hum]]&lt;0.3,"Humid",IF(Table5[[#This Row],[hum]]&gt;=0.3,"High Humid"))</f>
        <v>High Humid</v>
      </c>
      <c r="P72">
        <v>0.1343</v>
      </c>
      <c r="Q72">
        <v>1</v>
      </c>
      <c r="R72">
        <v>31</v>
      </c>
      <c r="S72">
        <v>32</v>
      </c>
    </row>
    <row r="73" spans="1:19" x14ac:dyDescent="0.25">
      <c r="A73">
        <v>611</v>
      </c>
      <c r="B73" s="1">
        <v>40571</v>
      </c>
      <c r="C73">
        <v>1</v>
      </c>
      <c r="D73">
        <v>0</v>
      </c>
      <c r="E73">
        <v>1</v>
      </c>
      <c r="F73">
        <v>16</v>
      </c>
      <c r="G73" t="b">
        <v>0</v>
      </c>
      <c r="H73">
        <v>5</v>
      </c>
      <c r="I73" t="str">
        <f>CHOOSE(H73+1,"Monday","Tuesday","Wednesday","Thursday","Friday","Saturday","Sunday")</f>
        <v>Saturday</v>
      </c>
      <c r="J73">
        <v>1</v>
      </c>
      <c r="K73">
        <v>0.22</v>
      </c>
      <c r="L73" t="str">
        <f>IF(Table5[[#This Row],[temp]]&lt;24,"Cold","Hot")</f>
        <v>Cold</v>
      </c>
      <c r="M73">
        <v>0.2727</v>
      </c>
      <c r="N73">
        <v>0.8</v>
      </c>
      <c r="O73" t="str">
        <f>IF(Table5[[#This Row],[hum]]&lt;0.3,"Humid",IF(Table5[[#This Row],[hum]]&gt;=0.3,"High Humid"))</f>
        <v>High Humid</v>
      </c>
      <c r="P73">
        <v>0</v>
      </c>
      <c r="Q73">
        <v>10</v>
      </c>
      <c r="R73">
        <v>70</v>
      </c>
      <c r="S73">
        <v>80</v>
      </c>
    </row>
    <row r="74" spans="1:19" x14ac:dyDescent="0.25">
      <c r="A74">
        <v>612</v>
      </c>
      <c r="B74" s="1">
        <v>40571</v>
      </c>
      <c r="C74">
        <v>1</v>
      </c>
      <c r="D74">
        <v>0</v>
      </c>
      <c r="E74">
        <v>1</v>
      </c>
      <c r="F74">
        <v>17</v>
      </c>
      <c r="G74" t="b">
        <v>0</v>
      </c>
      <c r="H74">
        <v>5</v>
      </c>
      <c r="I74" t="str">
        <f>CHOOSE(H74+1,"Monday","Tuesday","Wednesday","Thursday","Friday","Saturday","Sunday")</f>
        <v>Saturday</v>
      </c>
      <c r="J74">
        <v>1</v>
      </c>
      <c r="K74">
        <v>0.24</v>
      </c>
      <c r="L74" t="str">
        <f>IF(Table5[[#This Row],[temp]]&lt;24,"Cold","Hot")</f>
        <v>Cold</v>
      </c>
      <c r="M74">
        <v>0.2424</v>
      </c>
      <c r="N74">
        <v>0.75</v>
      </c>
      <c r="O74" t="str">
        <f>IF(Table5[[#This Row],[hum]]&lt;0.3,"Humid",IF(Table5[[#This Row],[hum]]&gt;=0.3,"High Humid"))</f>
        <v>High Humid</v>
      </c>
      <c r="P74">
        <v>0.1343</v>
      </c>
      <c r="Q74">
        <v>2</v>
      </c>
      <c r="R74">
        <v>147</v>
      </c>
      <c r="S74">
        <v>149</v>
      </c>
    </row>
    <row r="75" spans="1:19" x14ac:dyDescent="0.25">
      <c r="A75">
        <v>613</v>
      </c>
      <c r="B75" s="1">
        <v>40571</v>
      </c>
      <c r="C75">
        <v>1</v>
      </c>
      <c r="D75">
        <v>0</v>
      </c>
      <c r="E75">
        <v>1</v>
      </c>
      <c r="F75">
        <v>18</v>
      </c>
      <c r="G75" t="b">
        <v>0</v>
      </c>
      <c r="H75">
        <v>5</v>
      </c>
      <c r="I75" t="str">
        <f>CHOOSE(H75+1,"Monday","Tuesday","Wednesday","Thursday","Friday","Saturday","Sunday")</f>
        <v>Saturday</v>
      </c>
      <c r="J75">
        <v>1</v>
      </c>
      <c r="K75">
        <v>0.24</v>
      </c>
      <c r="L75" t="str">
        <f>IF(Table5[[#This Row],[temp]]&lt;24,"Cold","Hot")</f>
        <v>Cold</v>
      </c>
      <c r="M75">
        <v>0.2273</v>
      </c>
      <c r="N75">
        <v>0.75</v>
      </c>
      <c r="O75" t="str">
        <f>IF(Table5[[#This Row],[hum]]&lt;0.3,"Humid",IF(Table5[[#This Row],[hum]]&gt;=0.3,"High Humid"))</f>
        <v>High Humid</v>
      </c>
      <c r="P75">
        <v>0.19400000000000001</v>
      </c>
      <c r="Q75">
        <v>2</v>
      </c>
      <c r="R75">
        <v>107</v>
      </c>
      <c r="S75">
        <v>109</v>
      </c>
    </row>
    <row r="76" spans="1:19" x14ac:dyDescent="0.25">
      <c r="A76">
        <v>614</v>
      </c>
      <c r="B76" s="1">
        <v>40571</v>
      </c>
      <c r="C76">
        <v>1</v>
      </c>
      <c r="D76">
        <v>0</v>
      </c>
      <c r="E76">
        <v>1</v>
      </c>
      <c r="F76">
        <v>19</v>
      </c>
      <c r="G76" t="b">
        <v>0</v>
      </c>
      <c r="H76">
        <v>5</v>
      </c>
      <c r="I76" t="str">
        <f>CHOOSE(H76+1,"Monday","Tuesday","Wednesday","Thursday","Friday","Saturday","Sunday")</f>
        <v>Saturday</v>
      </c>
      <c r="J76">
        <v>2</v>
      </c>
      <c r="K76">
        <v>0.24</v>
      </c>
      <c r="L76" t="str">
        <f>IF(Table5[[#This Row],[temp]]&lt;24,"Cold","Hot")</f>
        <v>Cold</v>
      </c>
      <c r="M76">
        <v>0.2424</v>
      </c>
      <c r="N76">
        <v>0.75</v>
      </c>
      <c r="O76" t="str">
        <f>IF(Table5[[#This Row],[hum]]&lt;0.3,"Humid",IF(Table5[[#This Row],[hum]]&gt;=0.3,"High Humid"))</f>
        <v>High Humid</v>
      </c>
      <c r="P76">
        <v>0.1343</v>
      </c>
      <c r="Q76">
        <v>5</v>
      </c>
      <c r="R76">
        <v>84</v>
      </c>
      <c r="S76">
        <v>89</v>
      </c>
    </row>
    <row r="77" spans="1:19" x14ac:dyDescent="0.25">
      <c r="A77">
        <v>615</v>
      </c>
      <c r="B77" s="1">
        <v>40571</v>
      </c>
      <c r="C77">
        <v>1</v>
      </c>
      <c r="D77">
        <v>0</v>
      </c>
      <c r="E77">
        <v>1</v>
      </c>
      <c r="F77">
        <v>20</v>
      </c>
      <c r="G77" t="b">
        <v>0</v>
      </c>
      <c r="H77">
        <v>5</v>
      </c>
      <c r="I77" t="str">
        <f>CHOOSE(H77+1,"Monday","Tuesday","Wednesday","Thursday","Friday","Saturday","Sunday")</f>
        <v>Saturday</v>
      </c>
      <c r="J77">
        <v>2</v>
      </c>
      <c r="K77">
        <v>0.24</v>
      </c>
      <c r="L77" t="str">
        <f>IF(Table5[[#This Row],[temp]]&lt;24,"Cold","Hot")</f>
        <v>Cold</v>
      </c>
      <c r="M77">
        <v>0.2273</v>
      </c>
      <c r="N77">
        <v>0.7</v>
      </c>
      <c r="O77" t="str">
        <f>IF(Table5[[#This Row],[hum]]&lt;0.3,"Humid",IF(Table5[[#This Row],[hum]]&gt;=0.3,"High Humid"))</f>
        <v>High Humid</v>
      </c>
      <c r="P77">
        <v>0.19400000000000001</v>
      </c>
      <c r="Q77">
        <v>1</v>
      </c>
      <c r="R77">
        <v>61</v>
      </c>
      <c r="S77">
        <v>62</v>
      </c>
    </row>
    <row r="78" spans="1:19" x14ac:dyDescent="0.25">
      <c r="A78">
        <v>616</v>
      </c>
      <c r="B78" s="1">
        <v>40571</v>
      </c>
      <c r="C78">
        <v>1</v>
      </c>
      <c r="D78">
        <v>0</v>
      </c>
      <c r="E78">
        <v>1</v>
      </c>
      <c r="F78">
        <v>21</v>
      </c>
      <c r="G78" t="b">
        <v>0</v>
      </c>
      <c r="H78">
        <v>5</v>
      </c>
      <c r="I78" t="str">
        <f>CHOOSE(H78+1,"Monday","Tuesday","Wednesday","Thursday","Friday","Saturday","Sunday")</f>
        <v>Saturday</v>
      </c>
      <c r="J78">
        <v>2</v>
      </c>
      <c r="K78">
        <v>0.22</v>
      </c>
      <c r="L78" t="str">
        <f>IF(Table5[[#This Row],[temp]]&lt;24,"Cold","Hot")</f>
        <v>Cold</v>
      </c>
      <c r="M78">
        <v>0.2273</v>
      </c>
      <c r="N78">
        <v>0.75</v>
      </c>
      <c r="O78" t="str">
        <f>IF(Table5[[#This Row],[hum]]&lt;0.3,"Humid",IF(Table5[[#This Row],[hum]]&gt;=0.3,"High Humid"))</f>
        <v>High Humid</v>
      </c>
      <c r="P78">
        <v>0.1343</v>
      </c>
      <c r="Q78">
        <v>1</v>
      </c>
      <c r="R78">
        <v>57</v>
      </c>
      <c r="S78">
        <v>58</v>
      </c>
    </row>
    <row r="79" spans="1:19" x14ac:dyDescent="0.25">
      <c r="A79">
        <v>617</v>
      </c>
      <c r="B79" s="1">
        <v>40571</v>
      </c>
      <c r="C79">
        <v>1</v>
      </c>
      <c r="D79">
        <v>0</v>
      </c>
      <c r="E79">
        <v>1</v>
      </c>
      <c r="F79">
        <v>22</v>
      </c>
      <c r="G79" t="b">
        <v>0</v>
      </c>
      <c r="H79">
        <v>5</v>
      </c>
      <c r="I79" t="str">
        <f>CHOOSE(H79+1,"Monday","Tuesday","Wednesday","Thursday","Friday","Saturday","Sunday")</f>
        <v>Saturday</v>
      </c>
      <c r="J79">
        <v>1</v>
      </c>
      <c r="K79">
        <v>0.24</v>
      </c>
      <c r="L79" t="str">
        <f>IF(Table5[[#This Row],[temp]]&lt;24,"Cold","Hot")</f>
        <v>Cold</v>
      </c>
      <c r="M79">
        <v>0.21210000000000001</v>
      </c>
      <c r="N79">
        <v>0.65</v>
      </c>
      <c r="O79" t="str">
        <f>IF(Table5[[#This Row],[hum]]&lt;0.3,"Humid",IF(Table5[[#This Row],[hum]]&gt;=0.3,"High Humid"))</f>
        <v>High Humid</v>
      </c>
      <c r="P79">
        <v>0.35820000000000002</v>
      </c>
      <c r="Q79">
        <v>0</v>
      </c>
      <c r="R79">
        <v>26</v>
      </c>
      <c r="S79">
        <v>26</v>
      </c>
    </row>
    <row r="80" spans="1:19" x14ac:dyDescent="0.25">
      <c r="A80">
        <v>618</v>
      </c>
      <c r="B80" s="1">
        <v>40571</v>
      </c>
      <c r="C80">
        <v>1</v>
      </c>
      <c r="D80">
        <v>0</v>
      </c>
      <c r="E80">
        <v>1</v>
      </c>
      <c r="F80">
        <v>23</v>
      </c>
      <c r="G80" t="b">
        <v>0</v>
      </c>
      <c r="H80">
        <v>5</v>
      </c>
      <c r="I80" t="str">
        <f>CHOOSE(H80+1,"Monday","Tuesday","Wednesday","Thursday","Friday","Saturday","Sunday")</f>
        <v>Saturday</v>
      </c>
      <c r="J80">
        <v>1</v>
      </c>
      <c r="K80">
        <v>0.24</v>
      </c>
      <c r="L80" t="str">
        <f>IF(Table5[[#This Row],[temp]]&lt;24,"Cold","Hot")</f>
        <v>Cold</v>
      </c>
      <c r="M80">
        <v>0.2273</v>
      </c>
      <c r="N80">
        <v>0.6</v>
      </c>
      <c r="O80" t="str">
        <f>IF(Table5[[#This Row],[hum]]&lt;0.3,"Humid",IF(Table5[[#This Row],[hum]]&gt;=0.3,"High Humid"))</f>
        <v>High Humid</v>
      </c>
      <c r="P80">
        <v>0.22389999999999999</v>
      </c>
      <c r="Q80">
        <v>1</v>
      </c>
      <c r="R80">
        <v>22</v>
      </c>
      <c r="S80">
        <v>23</v>
      </c>
    </row>
    <row r="81" spans="1:19" x14ac:dyDescent="0.25">
      <c r="A81">
        <v>759</v>
      </c>
      <c r="B81" s="1">
        <v>40578</v>
      </c>
      <c r="C81">
        <v>1</v>
      </c>
      <c r="D81">
        <v>0</v>
      </c>
      <c r="E81">
        <v>2</v>
      </c>
      <c r="F81">
        <v>0</v>
      </c>
      <c r="G81" t="b">
        <v>0</v>
      </c>
      <c r="H81">
        <v>5</v>
      </c>
      <c r="I81" t="str">
        <f>CHOOSE(H81+1,"Monday","Tuesday","Wednesday","Thursday","Friday","Saturday","Sunday")</f>
        <v>Saturday</v>
      </c>
      <c r="J81">
        <v>2</v>
      </c>
      <c r="K81">
        <v>0.2</v>
      </c>
      <c r="L81" t="str">
        <f>IF(Table5[[#This Row],[temp]]&lt;24,"Cold","Hot")</f>
        <v>Cold</v>
      </c>
      <c r="M81">
        <v>0.2576</v>
      </c>
      <c r="N81">
        <v>0.44</v>
      </c>
      <c r="O81" t="str">
        <f>IF(Table5[[#This Row],[hum]]&lt;0.3,"Humid",IF(Table5[[#This Row],[hum]]&gt;=0.3,"High Humid"))</f>
        <v>High Humid</v>
      </c>
      <c r="P81">
        <v>0</v>
      </c>
      <c r="Q81">
        <v>3</v>
      </c>
      <c r="R81">
        <v>10</v>
      </c>
      <c r="S81">
        <v>13</v>
      </c>
    </row>
    <row r="82" spans="1:19" x14ac:dyDescent="0.25">
      <c r="A82">
        <v>760</v>
      </c>
      <c r="B82" s="1">
        <v>40578</v>
      </c>
      <c r="C82">
        <v>1</v>
      </c>
      <c r="D82">
        <v>0</v>
      </c>
      <c r="E82">
        <v>2</v>
      </c>
      <c r="F82">
        <v>1</v>
      </c>
      <c r="G82" t="b">
        <v>0</v>
      </c>
      <c r="H82">
        <v>5</v>
      </c>
      <c r="I82" t="str">
        <f>CHOOSE(H82+1,"Monday","Tuesday","Wednesday","Thursday","Friday","Saturday","Sunday")</f>
        <v>Saturday</v>
      </c>
      <c r="J82">
        <v>2</v>
      </c>
      <c r="K82">
        <v>0.16</v>
      </c>
      <c r="L82" t="str">
        <f>IF(Table5[[#This Row],[temp]]&lt;24,"Cold","Hot")</f>
        <v>Cold</v>
      </c>
      <c r="M82">
        <v>0.2273</v>
      </c>
      <c r="N82">
        <v>0.59</v>
      </c>
      <c r="O82" t="str">
        <f>IF(Table5[[#This Row],[hum]]&lt;0.3,"Humid",IF(Table5[[#This Row],[hum]]&gt;=0.3,"High Humid"))</f>
        <v>High Humid</v>
      </c>
      <c r="P82">
        <v>0</v>
      </c>
      <c r="Q82">
        <v>0</v>
      </c>
      <c r="R82">
        <v>7</v>
      </c>
      <c r="S82">
        <v>7</v>
      </c>
    </row>
    <row r="83" spans="1:19" x14ac:dyDescent="0.25">
      <c r="A83">
        <v>761</v>
      </c>
      <c r="B83" s="1">
        <v>40578</v>
      </c>
      <c r="C83">
        <v>1</v>
      </c>
      <c r="D83">
        <v>0</v>
      </c>
      <c r="E83">
        <v>2</v>
      </c>
      <c r="F83">
        <v>2</v>
      </c>
      <c r="G83" t="b">
        <v>0</v>
      </c>
      <c r="H83">
        <v>5</v>
      </c>
      <c r="I83" t="str">
        <f>CHOOSE(H83+1,"Monday","Tuesday","Wednesday","Thursday","Friday","Saturday","Sunday")</f>
        <v>Saturday</v>
      </c>
      <c r="J83">
        <v>2</v>
      </c>
      <c r="K83">
        <v>0.14000000000000001</v>
      </c>
      <c r="L83" t="str">
        <f>IF(Table5[[#This Row],[temp]]&lt;24,"Cold","Hot")</f>
        <v>Cold</v>
      </c>
      <c r="M83">
        <v>0.16669999999999999</v>
      </c>
      <c r="N83">
        <v>0.63</v>
      </c>
      <c r="O83" t="str">
        <f>IF(Table5[[#This Row],[hum]]&lt;0.3,"Humid",IF(Table5[[#This Row],[hum]]&gt;=0.3,"High Humid"))</f>
        <v>High Humid</v>
      </c>
      <c r="P83">
        <v>0.1045</v>
      </c>
      <c r="Q83">
        <v>0</v>
      </c>
      <c r="R83">
        <v>1</v>
      </c>
      <c r="S83">
        <v>1</v>
      </c>
    </row>
    <row r="84" spans="1:19" x14ac:dyDescent="0.25">
      <c r="A84">
        <v>762</v>
      </c>
      <c r="B84" s="1">
        <v>40578</v>
      </c>
      <c r="C84">
        <v>1</v>
      </c>
      <c r="D84">
        <v>0</v>
      </c>
      <c r="E84">
        <v>2</v>
      </c>
      <c r="F84">
        <v>3</v>
      </c>
      <c r="G84" t="b">
        <v>0</v>
      </c>
      <c r="H84">
        <v>5</v>
      </c>
      <c r="I84" t="str">
        <f>CHOOSE(H84+1,"Monday","Tuesday","Wednesday","Thursday","Friday","Saturday","Sunday")</f>
        <v>Saturday</v>
      </c>
      <c r="J84">
        <v>2</v>
      </c>
      <c r="K84">
        <v>0.14000000000000001</v>
      </c>
      <c r="L84" t="str">
        <f>IF(Table5[[#This Row],[temp]]&lt;24,"Cold","Hot")</f>
        <v>Cold</v>
      </c>
      <c r="M84">
        <v>0.16669999999999999</v>
      </c>
      <c r="N84">
        <v>0.63</v>
      </c>
      <c r="O84" t="str">
        <f>IF(Table5[[#This Row],[hum]]&lt;0.3,"Humid",IF(Table5[[#This Row],[hum]]&gt;=0.3,"High Humid"))</f>
        <v>High Humid</v>
      </c>
      <c r="P84">
        <v>0.1045</v>
      </c>
      <c r="Q84">
        <v>0</v>
      </c>
      <c r="R84">
        <v>1</v>
      </c>
      <c r="S84">
        <v>1</v>
      </c>
    </row>
    <row r="85" spans="1:19" x14ac:dyDescent="0.25">
      <c r="A85">
        <v>763</v>
      </c>
      <c r="B85" s="1">
        <v>40578</v>
      </c>
      <c r="C85">
        <v>1</v>
      </c>
      <c r="D85">
        <v>0</v>
      </c>
      <c r="E85">
        <v>2</v>
      </c>
      <c r="F85">
        <v>5</v>
      </c>
      <c r="G85" t="b">
        <v>0</v>
      </c>
      <c r="H85">
        <v>5</v>
      </c>
      <c r="I85" t="str">
        <f>CHOOSE(H85+1,"Monday","Tuesday","Wednesday","Thursday","Friday","Saturday","Sunday")</f>
        <v>Saturday</v>
      </c>
      <c r="J85">
        <v>2</v>
      </c>
      <c r="K85">
        <v>0.14000000000000001</v>
      </c>
      <c r="L85" t="str">
        <f>IF(Table5[[#This Row],[temp]]&lt;24,"Cold","Hot")</f>
        <v>Cold</v>
      </c>
      <c r="M85">
        <v>0.1515</v>
      </c>
      <c r="N85">
        <v>0.63</v>
      </c>
      <c r="O85" t="str">
        <f>IF(Table5[[#This Row],[hum]]&lt;0.3,"Humid",IF(Table5[[#This Row],[hum]]&gt;=0.3,"High Humid"))</f>
        <v>High Humid</v>
      </c>
      <c r="P85">
        <v>0.1343</v>
      </c>
      <c r="Q85">
        <v>0</v>
      </c>
      <c r="R85">
        <v>7</v>
      </c>
      <c r="S85">
        <v>7</v>
      </c>
    </row>
    <row r="86" spans="1:19" x14ac:dyDescent="0.25">
      <c r="A86">
        <v>764</v>
      </c>
      <c r="B86" s="1">
        <v>40578</v>
      </c>
      <c r="C86">
        <v>1</v>
      </c>
      <c r="D86">
        <v>0</v>
      </c>
      <c r="E86">
        <v>2</v>
      </c>
      <c r="F86">
        <v>6</v>
      </c>
      <c r="G86" t="b">
        <v>0</v>
      </c>
      <c r="H86">
        <v>5</v>
      </c>
      <c r="I86" t="str">
        <f>CHOOSE(H86+1,"Monday","Tuesday","Wednesday","Thursday","Friday","Saturday","Sunday")</f>
        <v>Saturday</v>
      </c>
      <c r="J86">
        <v>2</v>
      </c>
      <c r="K86">
        <v>0.16</v>
      </c>
      <c r="L86" t="str">
        <f>IF(Table5[[#This Row],[temp]]&lt;24,"Cold","Hot")</f>
        <v>Cold</v>
      </c>
      <c r="M86">
        <v>0.2273</v>
      </c>
      <c r="N86">
        <v>0.55000000000000004</v>
      </c>
      <c r="O86" t="str">
        <f>IF(Table5[[#This Row],[hum]]&lt;0.3,"Humid",IF(Table5[[#This Row],[hum]]&gt;=0.3,"High Humid"))</f>
        <v>High Humid</v>
      </c>
      <c r="P86">
        <v>0</v>
      </c>
      <c r="Q86">
        <v>2</v>
      </c>
      <c r="R86">
        <v>26</v>
      </c>
      <c r="S86">
        <v>28</v>
      </c>
    </row>
    <row r="87" spans="1:19" x14ac:dyDescent="0.25">
      <c r="A87">
        <v>765</v>
      </c>
      <c r="B87" s="1">
        <v>40578</v>
      </c>
      <c r="C87">
        <v>1</v>
      </c>
      <c r="D87">
        <v>0</v>
      </c>
      <c r="E87">
        <v>2</v>
      </c>
      <c r="F87">
        <v>7</v>
      </c>
      <c r="G87" t="b">
        <v>0</v>
      </c>
      <c r="H87">
        <v>5</v>
      </c>
      <c r="I87" t="str">
        <f>CHOOSE(H87+1,"Monday","Tuesday","Wednesday","Thursday","Friday","Saturday","Sunday")</f>
        <v>Saturday</v>
      </c>
      <c r="J87">
        <v>1</v>
      </c>
      <c r="K87">
        <v>0.14000000000000001</v>
      </c>
      <c r="L87" t="str">
        <f>IF(Table5[[#This Row],[temp]]&lt;24,"Cold","Hot")</f>
        <v>Cold</v>
      </c>
      <c r="M87">
        <v>0.21210000000000001</v>
      </c>
      <c r="N87">
        <v>0.59</v>
      </c>
      <c r="O87" t="str">
        <f>IF(Table5[[#This Row],[hum]]&lt;0.3,"Humid",IF(Table5[[#This Row],[hum]]&gt;=0.3,"High Humid"))</f>
        <v>High Humid</v>
      </c>
      <c r="P87">
        <v>0</v>
      </c>
      <c r="Q87">
        <v>0</v>
      </c>
      <c r="R87">
        <v>87</v>
      </c>
      <c r="S87">
        <v>87</v>
      </c>
    </row>
    <row r="88" spans="1:19" x14ac:dyDescent="0.25">
      <c r="A88">
        <v>766</v>
      </c>
      <c r="B88" s="1">
        <v>40578</v>
      </c>
      <c r="C88">
        <v>1</v>
      </c>
      <c r="D88">
        <v>0</v>
      </c>
      <c r="E88">
        <v>2</v>
      </c>
      <c r="F88">
        <v>8</v>
      </c>
      <c r="G88" t="b">
        <v>0</v>
      </c>
      <c r="H88">
        <v>5</v>
      </c>
      <c r="I88" t="str">
        <f>CHOOSE(H88+1,"Monday","Tuesday","Wednesday","Thursday","Friday","Saturday","Sunday")</f>
        <v>Saturday</v>
      </c>
      <c r="J88">
        <v>1</v>
      </c>
      <c r="K88">
        <v>0.14000000000000001</v>
      </c>
      <c r="L88" t="str">
        <f>IF(Table5[[#This Row],[temp]]&lt;24,"Cold","Hot")</f>
        <v>Cold</v>
      </c>
      <c r="M88">
        <v>0.1515</v>
      </c>
      <c r="N88">
        <v>0.74</v>
      </c>
      <c r="O88" t="str">
        <f>IF(Table5[[#This Row],[hum]]&lt;0.3,"Humid",IF(Table5[[#This Row],[hum]]&gt;=0.3,"High Humid"))</f>
        <v>High Humid</v>
      </c>
      <c r="P88">
        <v>0.1343</v>
      </c>
      <c r="Q88">
        <v>3</v>
      </c>
      <c r="R88">
        <v>217</v>
      </c>
      <c r="S88">
        <v>220</v>
      </c>
    </row>
    <row r="89" spans="1:19" x14ac:dyDescent="0.25">
      <c r="A89">
        <v>767</v>
      </c>
      <c r="B89" s="1">
        <v>40578</v>
      </c>
      <c r="C89">
        <v>1</v>
      </c>
      <c r="D89">
        <v>0</v>
      </c>
      <c r="E89">
        <v>2</v>
      </c>
      <c r="F89">
        <v>9</v>
      </c>
      <c r="G89" t="b">
        <v>0</v>
      </c>
      <c r="H89">
        <v>5</v>
      </c>
      <c r="I89" t="str">
        <f>CHOOSE(H89+1,"Monday","Tuesday","Wednesday","Thursday","Friday","Saturday","Sunday")</f>
        <v>Saturday</v>
      </c>
      <c r="J89">
        <v>2</v>
      </c>
      <c r="K89">
        <v>0.16</v>
      </c>
      <c r="L89" t="str">
        <f>IF(Table5[[#This Row],[temp]]&lt;24,"Cold","Hot")</f>
        <v>Cold</v>
      </c>
      <c r="M89">
        <v>0.18179999999999999</v>
      </c>
      <c r="N89">
        <v>0.8</v>
      </c>
      <c r="O89" t="str">
        <f>IF(Table5[[#This Row],[hum]]&lt;0.3,"Humid",IF(Table5[[#This Row],[hum]]&gt;=0.3,"High Humid"))</f>
        <v>High Humid</v>
      </c>
      <c r="P89">
        <v>0.1343</v>
      </c>
      <c r="Q89">
        <v>3</v>
      </c>
      <c r="R89">
        <v>124</v>
      </c>
      <c r="S89">
        <v>127</v>
      </c>
    </row>
    <row r="90" spans="1:19" x14ac:dyDescent="0.25">
      <c r="A90">
        <v>768</v>
      </c>
      <c r="B90" s="1">
        <v>40578</v>
      </c>
      <c r="C90">
        <v>1</v>
      </c>
      <c r="D90">
        <v>0</v>
      </c>
      <c r="E90">
        <v>2</v>
      </c>
      <c r="F90">
        <v>10</v>
      </c>
      <c r="G90" t="b">
        <v>0</v>
      </c>
      <c r="H90">
        <v>5</v>
      </c>
      <c r="I90" t="str">
        <f>CHOOSE(H90+1,"Monday","Tuesday","Wednesday","Thursday","Friday","Saturday","Sunday")</f>
        <v>Saturday</v>
      </c>
      <c r="J90">
        <v>2</v>
      </c>
      <c r="K90">
        <v>0.2</v>
      </c>
      <c r="L90" t="str">
        <f>IF(Table5[[#This Row],[temp]]&lt;24,"Cold","Hot")</f>
        <v>Cold</v>
      </c>
      <c r="M90">
        <v>0.21210000000000001</v>
      </c>
      <c r="N90">
        <v>0.51</v>
      </c>
      <c r="O90" t="str">
        <f>IF(Table5[[#This Row],[hum]]&lt;0.3,"Humid",IF(Table5[[#This Row],[hum]]&gt;=0.3,"High Humid"))</f>
        <v>High Humid</v>
      </c>
      <c r="P90">
        <v>0.1343</v>
      </c>
      <c r="Q90">
        <v>5</v>
      </c>
      <c r="R90">
        <v>46</v>
      </c>
      <c r="S90">
        <v>51</v>
      </c>
    </row>
    <row r="91" spans="1:19" x14ac:dyDescent="0.25">
      <c r="A91">
        <v>769</v>
      </c>
      <c r="B91" s="1">
        <v>40578</v>
      </c>
      <c r="C91">
        <v>1</v>
      </c>
      <c r="D91">
        <v>0</v>
      </c>
      <c r="E91">
        <v>2</v>
      </c>
      <c r="F91">
        <v>11</v>
      </c>
      <c r="G91" t="b">
        <v>0</v>
      </c>
      <c r="H91">
        <v>5</v>
      </c>
      <c r="I91" t="str">
        <f>CHOOSE(H91+1,"Monday","Tuesday","Wednesday","Thursday","Friday","Saturday","Sunday")</f>
        <v>Saturday</v>
      </c>
      <c r="J91">
        <v>1</v>
      </c>
      <c r="K91">
        <v>0.22</v>
      </c>
      <c r="L91" t="str">
        <f>IF(Table5[[#This Row],[temp]]&lt;24,"Cold","Hot")</f>
        <v>Cold</v>
      </c>
      <c r="M91">
        <v>0.2273</v>
      </c>
      <c r="N91">
        <v>0.51</v>
      </c>
      <c r="O91" t="str">
        <f>IF(Table5[[#This Row],[hum]]&lt;0.3,"Humid",IF(Table5[[#This Row],[hum]]&gt;=0.3,"High Humid"))</f>
        <v>High Humid</v>
      </c>
      <c r="P91">
        <v>0.16420000000000001</v>
      </c>
      <c r="Q91">
        <v>3</v>
      </c>
      <c r="R91">
        <v>61</v>
      </c>
      <c r="S91">
        <v>64</v>
      </c>
    </row>
    <row r="92" spans="1:19" x14ac:dyDescent="0.25">
      <c r="A92">
        <v>770</v>
      </c>
      <c r="B92" s="1">
        <v>40578</v>
      </c>
      <c r="C92">
        <v>1</v>
      </c>
      <c r="D92">
        <v>0</v>
      </c>
      <c r="E92">
        <v>2</v>
      </c>
      <c r="F92">
        <v>12</v>
      </c>
      <c r="G92" t="b">
        <v>0</v>
      </c>
      <c r="H92">
        <v>5</v>
      </c>
      <c r="I92" t="str">
        <f>CHOOSE(H92+1,"Monday","Tuesday","Wednesday","Thursday","Friday","Saturday","Sunday")</f>
        <v>Saturday</v>
      </c>
      <c r="J92">
        <v>2</v>
      </c>
      <c r="K92">
        <v>0.24</v>
      </c>
      <c r="L92" t="str">
        <f>IF(Table5[[#This Row],[temp]]&lt;24,"Cold","Hot")</f>
        <v>Cold</v>
      </c>
      <c r="M92">
        <v>0.2424</v>
      </c>
      <c r="N92">
        <v>0.48</v>
      </c>
      <c r="O92" t="str">
        <f>IF(Table5[[#This Row],[hum]]&lt;0.3,"Humid",IF(Table5[[#This Row],[hum]]&gt;=0.3,"High Humid"))</f>
        <v>High Humid</v>
      </c>
      <c r="P92">
        <v>0.16420000000000001</v>
      </c>
      <c r="Q92">
        <v>8</v>
      </c>
      <c r="R92">
        <v>78</v>
      </c>
      <c r="S92">
        <v>86</v>
      </c>
    </row>
    <row r="93" spans="1:19" x14ac:dyDescent="0.25">
      <c r="A93">
        <v>771</v>
      </c>
      <c r="B93" s="1">
        <v>40578</v>
      </c>
      <c r="C93">
        <v>1</v>
      </c>
      <c r="D93">
        <v>0</v>
      </c>
      <c r="E93">
        <v>2</v>
      </c>
      <c r="F93">
        <v>13</v>
      </c>
      <c r="G93" t="b">
        <v>0</v>
      </c>
      <c r="H93">
        <v>5</v>
      </c>
      <c r="I93" t="str">
        <f>CHOOSE(H93+1,"Monday","Tuesday","Wednesday","Thursday","Friday","Saturday","Sunday")</f>
        <v>Saturday</v>
      </c>
      <c r="J93">
        <v>2</v>
      </c>
      <c r="K93">
        <v>0.26</v>
      </c>
      <c r="L93" t="str">
        <f>IF(Table5[[#This Row],[temp]]&lt;24,"Cold","Hot")</f>
        <v>Cold</v>
      </c>
      <c r="M93">
        <v>0.2576</v>
      </c>
      <c r="N93">
        <v>0.5</v>
      </c>
      <c r="O93" t="str">
        <f>IF(Table5[[#This Row],[hum]]&lt;0.3,"Humid",IF(Table5[[#This Row],[hum]]&gt;=0.3,"High Humid"))</f>
        <v>High Humid</v>
      </c>
      <c r="P93">
        <v>0.22389999999999999</v>
      </c>
      <c r="Q93">
        <v>9</v>
      </c>
      <c r="R93">
        <v>73</v>
      </c>
      <c r="S93">
        <v>82</v>
      </c>
    </row>
    <row r="94" spans="1:19" x14ac:dyDescent="0.25">
      <c r="A94">
        <v>772</v>
      </c>
      <c r="B94" s="1">
        <v>40578</v>
      </c>
      <c r="C94">
        <v>1</v>
      </c>
      <c r="D94">
        <v>0</v>
      </c>
      <c r="E94">
        <v>2</v>
      </c>
      <c r="F94">
        <v>14</v>
      </c>
      <c r="G94" t="b">
        <v>0</v>
      </c>
      <c r="H94">
        <v>5</v>
      </c>
      <c r="I94" t="str">
        <f>CHOOSE(H94+1,"Monday","Tuesday","Wednesday","Thursday","Friday","Saturday","Sunday")</f>
        <v>Saturday</v>
      </c>
      <c r="J94">
        <v>2</v>
      </c>
      <c r="K94">
        <v>0.28000000000000003</v>
      </c>
      <c r="L94" t="str">
        <f>IF(Table5[[#This Row],[temp]]&lt;24,"Cold","Hot")</f>
        <v>Cold</v>
      </c>
      <c r="M94">
        <v>0.2727</v>
      </c>
      <c r="N94">
        <v>0.45</v>
      </c>
      <c r="O94" t="str">
        <f>IF(Table5[[#This Row],[hum]]&lt;0.3,"Humid",IF(Table5[[#This Row],[hum]]&gt;=0.3,"High Humid"))</f>
        <v>High Humid</v>
      </c>
      <c r="P94">
        <v>0.16420000000000001</v>
      </c>
      <c r="Q94">
        <v>15</v>
      </c>
      <c r="R94">
        <v>76</v>
      </c>
      <c r="S94">
        <v>91</v>
      </c>
    </row>
    <row r="95" spans="1:19" x14ac:dyDescent="0.25">
      <c r="A95">
        <v>773</v>
      </c>
      <c r="B95" s="1">
        <v>40578</v>
      </c>
      <c r="C95">
        <v>1</v>
      </c>
      <c r="D95">
        <v>0</v>
      </c>
      <c r="E95">
        <v>2</v>
      </c>
      <c r="F95">
        <v>15</v>
      </c>
      <c r="G95" t="b">
        <v>0</v>
      </c>
      <c r="H95">
        <v>5</v>
      </c>
      <c r="I95" t="str">
        <f>CHOOSE(H95+1,"Monday","Tuesday","Wednesday","Thursday","Friday","Saturday","Sunday")</f>
        <v>Saturday</v>
      </c>
      <c r="J95">
        <v>2</v>
      </c>
      <c r="K95">
        <v>0.28000000000000003</v>
      </c>
      <c r="L95" t="str">
        <f>IF(Table5[[#This Row],[temp]]&lt;24,"Cold","Hot")</f>
        <v>Cold</v>
      </c>
      <c r="M95">
        <v>0.2727</v>
      </c>
      <c r="N95">
        <v>0.48</v>
      </c>
      <c r="O95" t="str">
        <f>IF(Table5[[#This Row],[hum]]&lt;0.3,"Humid",IF(Table5[[#This Row],[hum]]&gt;=0.3,"High Humid"))</f>
        <v>High Humid</v>
      </c>
      <c r="P95">
        <v>0.25369999999999998</v>
      </c>
      <c r="Q95">
        <v>9</v>
      </c>
      <c r="R95">
        <v>81</v>
      </c>
      <c r="S95">
        <v>90</v>
      </c>
    </row>
    <row r="96" spans="1:19" x14ac:dyDescent="0.25">
      <c r="A96">
        <v>774</v>
      </c>
      <c r="B96" s="1">
        <v>40578</v>
      </c>
      <c r="C96">
        <v>1</v>
      </c>
      <c r="D96">
        <v>0</v>
      </c>
      <c r="E96">
        <v>2</v>
      </c>
      <c r="F96">
        <v>16</v>
      </c>
      <c r="G96" t="b">
        <v>0</v>
      </c>
      <c r="H96">
        <v>5</v>
      </c>
      <c r="I96" t="str">
        <f>CHOOSE(H96+1,"Monday","Tuesday","Wednesday","Thursday","Friday","Saturday","Sunday")</f>
        <v>Saturday</v>
      </c>
      <c r="J96">
        <v>2</v>
      </c>
      <c r="K96">
        <v>0.3</v>
      </c>
      <c r="L96" t="str">
        <f>IF(Table5[[#This Row],[temp]]&lt;24,"Cold","Hot")</f>
        <v>Cold</v>
      </c>
      <c r="M96">
        <v>0.28789999999999999</v>
      </c>
      <c r="N96">
        <v>0.42</v>
      </c>
      <c r="O96" t="str">
        <f>IF(Table5[[#This Row],[hum]]&lt;0.3,"Humid",IF(Table5[[#This Row],[hum]]&gt;=0.3,"High Humid"))</f>
        <v>High Humid</v>
      </c>
      <c r="P96">
        <v>0.22389999999999999</v>
      </c>
      <c r="Q96">
        <v>8</v>
      </c>
      <c r="R96">
        <v>91</v>
      </c>
      <c r="S96">
        <v>99</v>
      </c>
    </row>
    <row r="97" spans="1:19" x14ac:dyDescent="0.25">
      <c r="A97">
        <v>775</v>
      </c>
      <c r="B97" s="1">
        <v>40578</v>
      </c>
      <c r="C97">
        <v>1</v>
      </c>
      <c r="D97">
        <v>0</v>
      </c>
      <c r="E97">
        <v>2</v>
      </c>
      <c r="F97">
        <v>17</v>
      </c>
      <c r="G97" t="b">
        <v>0</v>
      </c>
      <c r="H97">
        <v>5</v>
      </c>
      <c r="I97" t="str">
        <f>CHOOSE(H97+1,"Monday","Tuesday","Wednesday","Thursday","Friday","Saturday","Sunday")</f>
        <v>Saturday</v>
      </c>
      <c r="J97">
        <v>2</v>
      </c>
      <c r="K97">
        <v>0.26</v>
      </c>
      <c r="L97" t="str">
        <f>IF(Table5[[#This Row],[temp]]&lt;24,"Cold","Hot")</f>
        <v>Cold</v>
      </c>
      <c r="M97">
        <v>0.2727</v>
      </c>
      <c r="N97">
        <v>0.56000000000000005</v>
      </c>
      <c r="O97" t="str">
        <f>IF(Table5[[#This Row],[hum]]&lt;0.3,"Humid",IF(Table5[[#This Row],[hum]]&gt;=0.3,"High Humid"))</f>
        <v>High Humid</v>
      </c>
      <c r="P97">
        <v>0.1343</v>
      </c>
      <c r="Q97">
        <v>10</v>
      </c>
      <c r="R97">
        <v>195</v>
      </c>
      <c r="S97">
        <v>205</v>
      </c>
    </row>
    <row r="98" spans="1:19" x14ac:dyDescent="0.25">
      <c r="A98">
        <v>776</v>
      </c>
      <c r="B98" s="1">
        <v>40578</v>
      </c>
      <c r="C98">
        <v>1</v>
      </c>
      <c r="D98">
        <v>0</v>
      </c>
      <c r="E98">
        <v>2</v>
      </c>
      <c r="F98">
        <v>18</v>
      </c>
      <c r="G98" t="b">
        <v>0</v>
      </c>
      <c r="H98">
        <v>5</v>
      </c>
      <c r="I98" t="str">
        <f>CHOOSE(H98+1,"Monday","Tuesday","Wednesday","Thursday","Friday","Saturday","Sunday")</f>
        <v>Saturday</v>
      </c>
      <c r="J98">
        <v>2</v>
      </c>
      <c r="K98">
        <v>0.24</v>
      </c>
      <c r="L98" t="str">
        <f>IF(Table5[[#This Row],[temp]]&lt;24,"Cold","Hot")</f>
        <v>Cold</v>
      </c>
      <c r="M98">
        <v>0.2576</v>
      </c>
      <c r="N98">
        <v>0.6</v>
      </c>
      <c r="O98" t="str">
        <f>IF(Table5[[#This Row],[hum]]&lt;0.3,"Humid",IF(Table5[[#This Row],[hum]]&gt;=0.3,"High Humid"))</f>
        <v>High Humid</v>
      </c>
      <c r="P98">
        <v>0.1045</v>
      </c>
      <c r="Q98">
        <v>3</v>
      </c>
      <c r="R98">
        <v>152</v>
      </c>
      <c r="S98">
        <v>155</v>
      </c>
    </row>
    <row r="99" spans="1:19" x14ac:dyDescent="0.25">
      <c r="A99">
        <v>777</v>
      </c>
      <c r="B99" s="1">
        <v>40578</v>
      </c>
      <c r="C99">
        <v>1</v>
      </c>
      <c r="D99">
        <v>0</v>
      </c>
      <c r="E99">
        <v>2</v>
      </c>
      <c r="F99">
        <v>19</v>
      </c>
      <c r="G99" t="b">
        <v>0</v>
      </c>
      <c r="H99">
        <v>5</v>
      </c>
      <c r="I99" t="str">
        <f>CHOOSE(H99+1,"Monday","Tuesday","Wednesday","Thursday","Friday","Saturday","Sunday")</f>
        <v>Saturday</v>
      </c>
      <c r="J99">
        <v>2</v>
      </c>
      <c r="K99">
        <v>0.24</v>
      </c>
      <c r="L99" t="str">
        <f>IF(Table5[[#This Row],[temp]]&lt;24,"Cold","Hot")</f>
        <v>Cold</v>
      </c>
      <c r="M99">
        <v>0.2424</v>
      </c>
      <c r="N99">
        <v>0.65</v>
      </c>
      <c r="O99" t="str">
        <f>IF(Table5[[#This Row],[hum]]&lt;0.3,"Humid",IF(Table5[[#This Row],[hum]]&gt;=0.3,"High Humid"))</f>
        <v>High Humid</v>
      </c>
      <c r="P99">
        <v>0.1343</v>
      </c>
      <c r="Q99">
        <v>1</v>
      </c>
      <c r="R99">
        <v>102</v>
      </c>
      <c r="S99">
        <v>103</v>
      </c>
    </row>
    <row r="100" spans="1:19" x14ac:dyDescent="0.25">
      <c r="A100">
        <v>778</v>
      </c>
      <c r="B100" s="1">
        <v>40578</v>
      </c>
      <c r="C100">
        <v>1</v>
      </c>
      <c r="D100">
        <v>0</v>
      </c>
      <c r="E100">
        <v>2</v>
      </c>
      <c r="F100">
        <v>20</v>
      </c>
      <c r="G100" t="b">
        <v>0</v>
      </c>
      <c r="H100">
        <v>5</v>
      </c>
      <c r="I100" t="str">
        <f>CHOOSE(H100+1,"Monday","Tuesday","Wednesday","Thursday","Friday","Saturday","Sunday")</f>
        <v>Saturday</v>
      </c>
      <c r="J100">
        <v>2</v>
      </c>
      <c r="K100">
        <v>0.24</v>
      </c>
      <c r="L100" t="str">
        <f>IF(Table5[[#This Row],[temp]]&lt;24,"Cold","Hot")</f>
        <v>Cold</v>
      </c>
      <c r="M100">
        <v>0.2424</v>
      </c>
      <c r="N100">
        <v>0.65</v>
      </c>
      <c r="O100" t="str">
        <f>IF(Table5[[#This Row],[hum]]&lt;0.3,"Humid",IF(Table5[[#This Row],[hum]]&gt;=0.3,"High Humid"))</f>
        <v>High Humid</v>
      </c>
      <c r="P100">
        <v>0.16420000000000001</v>
      </c>
      <c r="Q100">
        <v>2</v>
      </c>
      <c r="R100">
        <v>69</v>
      </c>
      <c r="S100">
        <v>71</v>
      </c>
    </row>
    <row r="101" spans="1:19" x14ac:dyDescent="0.25">
      <c r="A101">
        <v>779</v>
      </c>
      <c r="B101" s="1">
        <v>40578</v>
      </c>
      <c r="C101">
        <v>1</v>
      </c>
      <c r="D101">
        <v>0</v>
      </c>
      <c r="E101">
        <v>2</v>
      </c>
      <c r="F101">
        <v>21</v>
      </c>
      <c r="G101" t="b">
        <v>0</v>
      </c>
      <c r="H101">
        <v>5</v>
      </c>
      <c r="I101" t="str">
        <f>CHOOSE(H101+1,"Monday","Tuesday","Wednesday","Thursday","Friday","Saturday","Sunday")</f>
        <v>Saturday</v>
      </c>
      <c r="J101">
        <v>2</v>
      </c>
      <c r="K101">
        <v>0.24</v>
      </c>
      <c r="L101" t="str">
        <f>IF(Table5[[#This Row],[temp]]&lt;24,"Cold","Hot")</f>
        <v>Cold</v>
      </c>
      <c r="M101">
        <v>0.2424</v>
      </c>
      <c r="N101">
        <v>0.7</v>
      </c>
      <c r="O101" t="str">
        <f>IF(Table5[[#This Row],[hum]]&lt;0.3,"Humid",IF(Table5[[#This Row],[hum]]&gt;=0.3,"High Humid"))</f>
        <v>High Humid</v>
      </c>
      <c r="P101">
        <v>0.16420000000000001</v>
      </c>
      <c r="Q101">
        <v>2</v>
      </c>
      <c r="R101">
        <v>41</v>
      </c>
      <c r="S101">
        <v>43</v>
      </c>
    </row>
    <row r="102" spans="1:19" x14ac:dyDescent="0.25">
      <c r="A102">
        <v>780</v>
      </c>
      <c r="B102" s="1">
        <v>40578</v>
      </c>
      <c r="C102">
        <v>1</v>
      </c>
      <c r="D102">
        <v>0</v>
      </c>
      <c r="E102">
        <v>2</v>
      </c>
      <c r="F102">
        <v>22</v>
      </c>
      <c r="G102" t="b">
        <v>0</v>
      </c>
      <c r="H102">
        <v>5</v>
      </c>
      <c r="I102" t="str">
        <f>CHOOSE(H102+1,"Monday","Tuesday","Wednesday","Thursday","Friday","Saturday","Sunday")</f>
        <v>Saturday</v>
      </c>
      <c r="J102">
        <v>2</v>
      </c>
      <c r="K102">
        <v>0.24</v>
      </c>
      <c r="L102" t="str">
        <f>IF(Table5[[#This Row],[temp]]&lt;24,"Cold","Hot")</f>
        <v>Cold</v>
      </c>
      <c r="M102">
        <v>0.2424</v>
      </c>
      <c r="N102">
        <v>0.65</v>
      </c>
      <c r="O102" t="str">
        <f>IF(Table5[[#This Row],[hum]]&lt;0.3,"Humid",IF(Table5[[#This Row],[hum]]&gt;=0.3,"High Humid"))</f>
        <v>High Humid</v>
      </c>
      <c r="P102">
        <v>0.16420000000000001</v>
      </c>
      <c r="Q102">
        <v>1</v>
      </c>
      <c r="R102">
        <v>45</v>
      </c>
      <c r="S102">
        <v>46</v>
      </c>
    </row>
    <row r="103" spans="1:19" x14ac:dyDescent="0.25">
      <c r="A103">
        <v>781</v>
      </c>
      <c r="B103" s="1">
        <v>40578</v>
      </c>
      <c r="C103">
        <v>1</v>
      </c>
      <c r="D103">
        <v>0</v>
      </c>
      <c r="E103">
        <v>2</v>
      </c>
      <c r="F103">
        <v>23</v>
      </c>
      <c r="G103" t="b">
        <v>0</v>
      </c>
      <c r="H103">
        <v>5</v>
      </c>
      <c r="I103" t="str">
        <f>CHOOSE(H103+1,"Monday","Tuesday","Wednesday","Thursday","Friday","Saturday","Sunday")</f>
        <v>Saturday</v>
      </c>
      <c r="J103">
        <v>2</v>
      </c>
      <c r="K103">
        <v>0.24</v>
      </c>
      <c r="L103" t="str">
        <f>IF(Table5[[#This Row],[temp]]&lt;24,"Cold","Hot")</f>
        <v>Cold</v>
      </c>
      <c r="M103">
        <v>0.2424</v>
      </c>
      <c r="N103">
        <v>0.7</v>
      </c>
      <c r="O103" t="str">
        <f>IF(Table5[[#This Row],[hum]]&lt;0.3,"Humid",IF(Table5[[#This Row],[hum]]&gt;=0.3,"High Humid"))</f>
        <v>High Humid</v>
      </c>
      <c r="P103">
        <v>0.1343</v>
      </c>
      <c r="Q103">
        <v>1</v>
      </c>
      <c r="R103">
        <v>30</v>
      </c>
      <c r="S103">
        <v>31</v>
      </c>
    </row>
    <row r="104" spans="1:19" x14ac:dyDescent="0.25">
      <c r="A104">
        <v>924</v>
      </c>
      <c r="B104" s="1">
        <v>40585</v>
      </c>
      <c r="C104">
        <v>1</v>
      </c>
      <c r="D104">
        <v>0</v>
      </c>
      <c r="E104">
        <v>2</v>
      </c>
      <c r="F104">
        <v>0</v>
      </c>
      <c r="G104" t="b">
        <v>0</v>
      </c>
      <c r="H104">
        <v>5</v>
      </c>
      <c r="I104" t="str">
        <f>CHOOSE(H104+1,"Monday","Tuesday","Wednesday","Thursday","Friday","Saturday","Sunday")</f>
        <v>Saturday</v>
      </c>
      <c r="J104">
        <v>1</v>
      </c>
      <c r="K104">
        <v>0.1</v>
      </c>
      <c r="L104" t="str">
        <f>IF(Table5[[#This Row],[temp]]&lt;24,"Cold","Hot")</f>
        <v>Cold</v>
      </c>
      <c r="M104">
        <v>0.13639999999999999</v>
      </c>
      <c r="N104">
        <v>0.49</v>
      </c>
      <c r="O104" t="str">
        <f>IF(Table5[[#This Row],[hum]]&lt;0.3,"Humid",IF(Table5[[#This Row],[hum]]&gt;=0.3,"High Humid"))</f>
        <v>High Humid</v>
      </c>
      <c r="P104">
        <v>0.1045</v>
      </c>
      <c r="Q104">
        <v>2</v>
      </c>
      <c r="R104">
        <v>12</v>
      </c>
      <c r="S104">
        <v>14</v>
      </c>
    </row>
    <row r="105" spans="1:19" x14ac:dyDescent="0.25">
      <c r="A105">
        <v>925</v>
      </c>
      <c r="B105" s="1">
        <v>40585</v>
      </c>
      <c r="C105">
        <v>1</v>
      </c>
      <c r="D105">
        <v>0</v>
      </c>
      <c r="E105">
        <v>2</v>
      </c>
      <c r="F105">
        <v>1</v>
      </c>
      <c r="G105" t="b">
        <v>0</v>
      </c>
      <c r="H105">
        <v>5</v>
      </c>
      <c r="I105" t="str">
        <f>CHOOSE(H105+1,"Monday","Tuesday","Wednesday","Thursday","Friday","Saturday","Sunday")</f>
        <v>Saturday</v>
      </c>
      <c r="J105">
        <v>1</v>
      </c>
      <c r="K105">
        <v>0.1</v>
      </c>
      <c r="L105" t="str">
        <f>IF(Table5[[#This Row],[temp]]&lt;24,"Cold","Hot")</f>
        <v>Cold</v>
      </c>
      <c r="M105">
        <v>0.13639999999999999</v>
      </c>
      <c r="N105">
        <v>0.54</v>
      </c>
      <c r="O105" t="str">
        <f>IF(Table5[[#This Row],[hum]]&lt;0.3,"Humid",IF(Table5[[#This Row],[hum]]&gt;=0.3,"High Humid"))</f>
        <v>High Humid</v>
      </c>
      <c r="P105">
        <v>8.9599999999999999E-2</v>
      </c>
      <c r="Q105">
        <v>1</v>
      </c>
      <c r="R105">
        <v>6</v>
      </c>
      <c r="S105">
        <v>7</v>
      </c>
    </row>
    <row r="106" spans="1:19" x14ac:dyDescent="0.25">
      <c r="A106">
        <v>926</v>
      </c>
      <c r="B106" s="1">
        <v>40585</v>
      </c>
      <c r="C106">
        <v>1</v>
      </c>
      <c r="D106">
        <v>0</v>
      </c>
      <c r="E106">
        <v>2</v>
      </c>
      <c r="F106">
        <v>2</v>
      </c>
      <c r="G106" t="b">
        <v>0</v>
      </c>
      <c r="H106">
        <v>5</v>
      </c>
      <c r="I106" t="str">
        <f>CHOOSE(H106+1,"Monday","Tuesday","Wednesday","Thursday","Friday","Saturday","Sunday")</f>
        <v>Saturday</v>
      </c>
      <c r="J106">
        <v>1</v>
      </c>
      <c r="K106">
        <v>0.1</v>
      </c>
      <c r="L106" t="str">
        <f>IF(Table5[[#This Row],[temp]]&lt;24,"Cold","Hot")</f>
        <v>Cold</v>
      </c>
      <c r="M106">
        <v>0.13639999999999999</v>
      </c>
      <c r="N106">
        <v>0.54</v>
      </c>
      <c r="O106" t="str">
        <f>IF(Table5[[#This Row],[hum]]&lt;0.3,"Humid",IF(Table5[[#This Row],[hum]]&gt;=0.3,"High Humid"))</f>
        <v>High Humid</v>
      </c>
      <c r="P106">
        <v>8.9599999999999999E-2</v>
      </c>
      <c r="Q106">
        <v>0</v>
      </c>
      <c r="R106">
        <v>3</v>
      </c>
      <c r="S106">
        <v>3</v>
      </c>
    </row>
    <row r="107" spans="1:19" x14ac:dyDescent="0.25">
      <c r="A107">
        <v>927</v>
      </c>
      <c r="B107" s="1">
        <v>40585</v>
      </c>
      <c r="C107">
        <v>1</v>
      </c>
      <c r="D107">
        <v>0</v>
      </c>
      <c r="E107">
        <v>2</v>
      </c>
      <c r="F107">
        <v>5</v>
      </c>
      <c r="G107" t="b">
        <v>0</v>
      </c>
      <c r="H107">
        <v>5</v>
      </c>
      <c r="I107" t="str">
        <f>CHOOSE(H107+1,"Monday","Tuesday","Wednesday","Thursday","Friday","Saturday","Sunday")</f>
        <v>Saturday</v>
      </c>
      <c r="J107">
        <v>1</v>
      </c>
      <c r="K107">
        <v>0.08</v>
      </c>
      <c r="L107" t="str">
        <f>IF(Table5[[#This Row],[temp]]&lt;24,"Cold","Hot")</f>
        <v>Cold</v>
      </c>
      <c r="M107">
        <v>0.1212</v>
      </c>
      <c r="N107">
        <v>0.63</v>
      </c>
      <c r="O107" t="str">
        <f>IF(Table5[[#This Row],[hum]]&lt;0.3,"Humid",IF(Table5[[#This Row],[hum]]&gt;=0.3,"High Humid"))</f>
        <v>High Humid</v>
      </c>
      <c r="P107">
        <v>8.9599999999999999E-2</v>
      </c>
      <c r="Q107">
        <v>0</v>
      </c>
      <c r="R107">
        <v>4</v>
      </c>
      <c r="S107">
        <v>4</v>
      </c>
    </row>
    <row r="108" spans="1:19" x14ac:dyDescent="0.25">
      <c r="A108">
        <v>928</v>
      </c>
      <c r="B108" s="1">
        <v>40585</v>
      </c>
      <c r="C108">
        <v>1</v>
      </c>
      <c r="D108">
        <v>0</v>
      </c>
      <c r="E108">
        <v>2</v>
      </c>
      <c r="F108">
        <v>6</v>
      </c>
      <c r="G108" t="b">
        <v>0</v>
      </c>
      <c r="H108">
        <v>5</v>
      </c>
      <c r="I108" t="str">
        <f>CHOOSE(H108+1,"Monday","Tuesday","Wednesday","Thursday","Friday","Saturday","Sunday")</f>
        <v>Saturday</v>
      </c>
      <c r="J108">
        <v>1</v>
      </c>
      <c r="K108">
        <v>0.1</v>
      </c>
      <c r="L108" t="str">
        <f>IF(Table5[[#This Row],[temp]]&lt;24,"Cold","Hot")</f>
        <v>Cold</v>
      </c>
      <c r="M108">
        <v>0.18179999999999999</v>
      </c>
      <c r="N108">
        <v>0.68</v>
      </c>
      <c r="O108" t="str">
        <f>IF(Table5[[#This Row],[hum]]&lt;0.3,"Humid",IF(Table5[[#This Row],[hum]]&gt;=0.3,"High Humid"))</f>
        <v>High Humid</v>
      </c>
      <c r="P108">
        <v>0</v>
      </c>
      <c r="Q108">
        <v>1</v>
      </c>
      <c r="R108">
        <v>23</v>
      </c>
      <c r="S108">
        <v>24</v>
      </c>
    </row>
    <row r="109" spans="1:19" x14ac:dyDescent="0.25">
      <c r="A109">
        <v>929</v>
      </c>
      <c r="B109" s="1">
        <v>40585</v>
      </c>
      <c r="C109">
        <v>1</v>
      </c>
      <c r="D109">
        <v>0</v>
      </c>
      <c r="E109">
        <v>2</v>
      </c>
      <c r="F109">
        <v>7</v>
      </c>
      <c r="G109" t="b">
        <v>0</v>
      </c>
      <c r="H109">
        <v>5</v>
      </c>
      <c r="I109" t="str">
        <f>CHOOSE(H109+1,"Monday","Tuesday","Wednesday","Thursday","Friday","Saturday","Sunday")</f>
        <v>Saturday</v>
      </c>
      <c r="J109">
        <v>1</v>
      </c>
      <c r="K109">
        <v>0.08</v>
      </c>
      <c r="L109" t="str">
        <f>IF(Table5[[#This Row],[temp]]&lt;24,"Cold","Hot")</f>
        <v>Cold</v>
      </c>
      <c r="M109">
        <v>0.16669999999999999</v>
      </c>
      <c r="N109">
        <v>0.73</v>
      </c>
      <c r="O109" t="str">
        <f>IF(Table5[[#This Row],[hum]]&lt;0.3,"Humid",IF(Table5[[#This Row],[hum]]&gt;=0.3,"High Humid"))</f>
        <v>High Humid</v>
      </c>
      <c r="P109">
        <v>0</v>
      </c>
      <c r="Q109">
        <v>1</v>
      </c>
      <c r="R109">
        <v>73</v>
      </c>
      <c r="S109">
        <v>74</v>
      </c>
    </row>
    <row r="110" spans="1:19" x14ac:dyDescent="0.25">
      <c r="A110">
        <v>930</v>
      </c>
      <c r="B110" s="1">
        <v>40585</v>
      </c>
      <c r="C110">
        <v>1</v>
      </c>
      <c r="D110">
        <v>0</v>
      </c>
      <c r="E110">
        <v>2</v>
      </c>
      <c r="F110">
        <v>8</v>
      </c>
      <c r="G110" t="b">
        <v>0</v>
      </c>
      <c r="H110">
        <v>5</v>
      </c>
      <c r="I110" t="str">
        <f>CHOOSE(H110+1,"Monday","Tuesday","Wednesday","Thursday","Friday","Saturday","Sunday")</f>
        <v>Saturday</v>
      </c>
      <c r="J110">
        <v>1</v>
      </c>
      <c r="K110">
        <v>0.1</v>
      </c>
      <c r="L110" t="str">
        <f>IF(Table5[[#This Row],[temp]]&lt;24,"Cold","Hot")</f>
        <v>Cold</v>
      </c>
      <c r="M110">
        <v>0.1212</v>
      </c>
      <c r="N110">
        <v>0.74</v>
      </c>
      <c r="O110" t="str">
        <f>IF(Table5[[#This Row],[hum]]&lt;0.3,"Humid",IF(Table5[[#This Row],[hum]]&gt;=0.3,"High Humid"))</f>
        <v>High Humid</v>
      </c>
      <c r="P110">
        <v>0.16420000000000001</v>
      </c>
      <c r="Q110">
        <v>4</v>
      </c>
      <c r="R110">
        <v>212</v>
      </c>
      <c r="S110">
        <v>216</v>
      </c>
    </row>
    <row r="111" spans="1:19" x14ac:dyDescent="0.25">
      <c r="A111">
        <v>931</v>
      </c>
      <c r="B111" s="1">
        <v>40585</v>
      </c>
      <c r="C111">
        <v>1</v>
      </c>
      <c r="D111">
        <v>0</v>
      </c>
      <c r="E111">
        <v>2</v>
      </c>
      <c r="F111">
        <v>9</v>
      </c>
      <c r="G111" t="b">
        <v>0</v>
      </c>
      <c r="H111">
        <v>5</v>
      </c>
      <c r="I111" t="str">
        <f>CHOOSE(H111+1,"Monday","Tuesday","Wednesday","Thursday","Friday","Saturday","Sunday")</f>
        <v>Saturday</v>
      </c>
      <c r="J111">
        <v>1</v>
      </c>
      <c r="K111">
        <v>0.12</v>
      </c>
      <c r="L111" t="str">
        <f>IF(Table5[[#This Row],[temp]]&lt;24,"Cold","Hot")</f>
        <v>Cold</v>
      </c>
      <c r="M111">
        <v>0.1212</v>
      </c>
      <c r="N111">
        <v>0.74</v>
      </c>
      <c r="O111" t="str">
        <f>IF(Table5[[#This Row],[hum]]&lt;0.3,"Humid",IF(Table5[[#This Row],[hum]]&gt;=0.3,"High Humid"))</f>
        <v>High Humid</v>
      </c>
      <c r="P111">
        <v>0.22389999999999999</v>
      </c>
      <c r="Q111">
        <v>8</v>
      </c>
      <c r="R111">
        <v>132</v>
      </c>
      <c r="S111">
        <v>140</v>
      </c>
    </row>
    <row r="112" spans="1:19" x14ac:dyDescent="0.25">
      <c r="A112">
        <v>932</v>
      </c>
      <c r="B112" s="1">
        <v>40585</v>
      </c>
      <c r="C112">
        <v>1</v>
      </c>
      <c r="D112">
        <v>0</v>
      </c>
      <c r="E112">
        <v>2</v>
      </c>
      <c r="F112">
        <v>10</v>
      </c>
      <c r="G112" t="b">
        <v>0</v>
      </c>
      <c r="H112">
        <v>5</v>
      </c>
      <c r="I112" t="str">
        <f>CHOOSE(H112+1,"Monday","Tuesday","Wednesday","Thursday","Friday","Saturday","Sunday")</f>
        <v>Saturday</v>
      </c>
      <c r="J112">
        <v>1</v>
      </c>
      <c r="K112">
        <v>0.14000000000000001</v>
      </c>
      <c r="L112" t="str">
        <f>IF(Table5[[#This Row],[temp]]&lt;24,"Cold","Hot")</f>
        <v>Cold</v>
      </c>
      <c r="M112">
        <v>0.13639999999999999</v>
      </c>
      <c r="N112">
        <v>0.69</v>
      </c>
      <c r="O112" t="str">
        <f>IF(Table5[[#This Row],[hum]]&lt;0.3,"Humid",IF(Table5[[#This Row],[hum]]&gt;=0.3,"High Humid"))</f>
        <v>High Humid</v>
      </c>
      <c r="P112">
        <v>0.19400000000000001</v>
      </c>
      <c r="Q112">
        <v>5</v>
      </c>
      <c r="R112">
        <v>39</v>
      </c>
      <c r="S112">
        <v>44</v>
      </c>
    </row>
    <row r="113" spans="1:19" x14ac:dyDescent="0.25">
      <c r="A113">
        <v>933</v>
      </c>
      <c r="B113" s="1">
        <v>40585</v>
      </c>
      <c r="C113">
        <v>1</v>
      </c>
      <c r="D113">
        <v>0</v>
      </c>
      <c r="E113">
        <v>2</v>
      </c>
      <c r="F113">
        <v>11</v>
      </c>
      <c r="G113" t="b">
        <v>0</v>
      </c>
      <c r="H113">
        <v>5</v>
      </c>
      <c r="I113" t="str">
        <f>CHOOSE(H113+1,"Monday","Tuesday","Wednesday","Thursday","Friday","Saturday","Sunday")</f>
        <v>Saturday</v>
      </c>
      <c r="J113">
        <v>1</v>
      </c>
      <c r="K113">
        <v>0.22</v>
      </c>
      <c r="L113" t="str">
        <f>IF(Table5[[#This Row],[temp]]&lt;24,"Cold","Hot")</f>
        <v>Cold</v>
      </c>
      <c r="M113">
        <v>0.2273</v>
      </c>
      <c r="N113">
        <v>0.47</v>
      </c>
      <c r="O113" t="str">
        <f>IF(Table5[[#This Row],[hum]]&lt;0.3,"Humid",IF(Table5[[#This Row],[hum]]&gt;=0.3,"High Humid"))</f>
        <v>High Humid</v>
      </c>
      <c r="P113">
        <v>0.1343</v>
      </c>
      <c r="Q113">
        <v>12</v>
      </c>
      <c r="R113">
        <v>52</v>
      </c>
      <c r="S113">
        <v>64</v>
      </c>
    </row>
    <row r="114" spans="1:19" x14ac:dyDescent="0.25">
      <c r="A114">
        <v>934</v>
      </c>
      <c r="B114" s="1">
        <v>40585</v>
      </c>
      <c r="C114">
        <v>1</v>
      </c>
      <c r="D114">
        <v>0</v>
      </c>
      <c r="E114">
        <v>2</v>
      </c>
      <c r="F114">
        <v>12</v>
      </c>
      <c r="G114" t="b">
        <v>0</v>
      </c>
      <c r="H114">
        <v>5</v>
      </c>
      <c r="I114" t="str">
        <f>CHOOSE(H114+1,"Monday","Tuesday","Wednesday","Thursday","Friday","Saturday","Sunday")</f>
        <v>Saturday</v>
      </c>
      <c r="J114">
        <v>1</v>
      </c>
      <c r="K114">
        <v>0.22</v>
      </c>
      <c r="L114" t="str">
        <f>IF(Table5[[#This Row],[temp]]&lt;24,"Cold","Hot")</f>
        <v>Cold</v>
      </c>
      <c r="M114">
        <v>0.2273</v>
      </c>
      <c r="N114">
        <v>0.47</v>
      </c>
      <c r="O114" t="str">
        <f>IF(Table5[[#This Row],[hum]]&lt;0.3,"Humid",IF(Table5[[#This Row],[hum]]&gt;=0.3,"High Humid"))</f>
        <v>High Humid</v>
      </c>
      <c r="P114">
        <v>0.1343</v>
      </c>
      <c r="Q114">
        <v>7</v>
      </c>
      <c r="R114">
        <v>64</v>
      </c>
      <c r="S114">
        <v>71</v>
      </c>
    </row>
    <row r="115" spans="1:19" x14ac:dyDescent="0.25">
      <c r="A115">
        <v>935</v>
      </c>
      <c r="B115" s="1">
        <v>40585</v>
      </c>
      <c r="C115">
        <v>1</v>
      </c>
      <c r="D115">
        <v>0</v>
      </c>
      <c r="E115">
        <v>2</v>
      </c>
      <c r="F115">
        <v>13</v>
      </c>
      <c r="G115" t="b">
        <v>0</v>
      </c>
      <c r="H115">
        <v>5</v>
      </c>
      <c r="I115" t="str">
        <f>CHOOSE(H115+1,"Monday","Tuesday","Wednesday","Thursday","Friday","Saturday","Sunday")</f>
        <v>Saturday</v>
      </c>
      <c r="J115">
        <v>1</v>
      </c>
      <c r="K115">
        <v>0.24</v>
      </c>
      <c r="L115" t="str">
        <f>IF(Table5[[#This Row],[temp]]&lt;24,"Cold","Hot")</f>
        <v>Cold</v>
      </c>
      <c r="M115">
        <v>0.2273</v>
      </c>
      <c r="N115">
        <v>0.35</v>
      </c>
      <c r="O115" t="str">
        <f>IF(Table5[[#This Row],[hum]]&lt;0.3,"Humid",IF(Table5[[#This Row],[hum]]&gt;=0.3,"High Humid"))</f>
        <v>High Humid</v>
      </c>
      <c r="P115">
        <v>0.19400000000000001</v>
      </c>
      <c r="Q115">
        <v>21</v>
      </c>
      <c r="R115">
        <v>89</v>
      </c>
      <c r="S115">
        <v>110</v>
      </c>
    </row>
    <row r="116" spans="1:19" x14ac:dyDescent="0.25">
      <c r="A116">
        <v>936</v>
      </c>
      <c r="B116" s="1">
        <v>40585</v>
      </c>
      <c r="C116">
        <v>1</v>
      </c>
      <c r="D116">
        <v>0</v>
      </c>
      <c r="E116">
        <v>2</v>
      </c>
      <c r="F116">
        <v>14</v>
      </c>
      <c r="G116" t="b">
        <v>0</v>
      </c>
      <c r="H116">
        <v>5</v>
      </c>
      <c r="I116" t="str">
        <f>CHOOSE(H116+1,"Monday","Tuesday","Wednesday","Thursday","Friday","Saturday","Sunday")</f>
        <v>Saturday</v>
      </c>
      <c r="J116">
        <v>1</v>
      </c>
      <c r="K116">
        <v>0.3</v>
      </c>
      <c r="L116" t="str">
        <f>IF(Table5[[#This Row],[temp]]&lt;24,"Cold","Hot")</f>
        <v>Cold</v>
      </c>
      <c r="M116">
        <v>0.28789999999999999</v>
      </c>
      <c r="N116">
        <v>0.26</v>
      </c>
      <c r="O116" t="str">
        <f>IF(Table5[[#This Row],[hum]]&lt;0.3,"Humid",IF(Table5[[#This Row],[hum]]&gt;=0.3,"High Humid"))</f>
        <v>Humid</v>
      </c>
      <c r="P116">
        <v>0.25369999999999998</v>
      </c>
      <c r="Q116">
        <v>17</v>
      </c>
      <c r="R116">
        <v>67</v>
      </c>
      <c r="S116">
        <v>84</v>
      </c>
    </row>
    <row r="117" spans="1:19" x14ac:dyDescent="0.25">
      <c r="A117">
        <v>937</v>
      </c>
      <c r="B117" s="1">
        <v>40585</v>
      </c>
      <c r="C117">
        <v>1</v>
      </c>
      <c r="D117">
        <v>0</v>
      </c>
      <c r="E117">
        <v>2</v>
      </c>
      <c r="F117">
        <v>15</v>
      </c>
      <c r="G117" t="b">
        <v>0</v>
      </c>
      <c r="H117">
        <v>5</v>
      </c>
      <c r="I117" t="str">
        <f>CHOOSE(H117+1,"Monday","Tuesday","Wednesday","Thursday","Friday","Saturday","Sunday")</f>
        <v>Saturday</v>
      </c>
      <c r="J117">
        <v>1</v>
      </c>
      <c r="K117">
        <v>0.32</v>
      </c>
      <c r="L117" t="str">
        <f>IF(Table5[[#This Row],[temp]]&lt;24,"Cold","Hot")</f>
        <v>Cold</v>
      </c>
      <c r="M117">
        <v>0.31819999999999998</v>
      </c>
      <c r="N117">
        <v>0.21</v>
      </c>
      <c r="O117" t="str">
        <f>IF(Table5[[#This Row],[hum]]&lt;0.3,"Humid",IF(Table5[[#This Row],[hum]]&gt;=0.3,"High Humid"))</f>
        <v>Humid</v>
      </c>
      <c r="P117">
        <v>0.16420000000000001</v>
      </c>
      <c r="Q117">
        <v>12</v>
      </c>
      <c r="R117">
        <v>62</v>
      </c>
      <c r="S117">
        <v>74</v>
      </c>
    </row>
    <row r="118" spans="1:19" x14ac:dyDescent="0.25">
      <c r="A118">
        <v>938</v>
      </c>
      <c r="B118" s="1">
        <v>40585</v>
      </c>
      <c r="C118">
        <v>1</v>
      </c>
      <c r="D118">
        <v>0</v>
      </c>
      <c r="E118">
        <v>2</v>
      </c>
      <c r="F118">
        <v>16</v>
      </c>
      <c r="G118" t="b">
        <v>0</v>
      </c>
      <c r="H118">
        <v>5</v>
      </c>
      <c r="I118" t="str">
        <f>CHOOSE(H118+1,"Monday","Tuesday","Wednesday","Thursday","Friday","Saturday","Sunday")</f>
        <v>Saturday</v>
      </c>
      <c r="J118">
        <v>1</v>
      </c>
      <c r="K118">
        <v>0.3</v>
      </c>
      <c r="L118" t="str">
        <f>IF(Table5[[#This Row],[temp]]&lt;24,"Cold","Hot")</f>
        <v>Cold</v>
      </c>
      <c r="M118">
        <v>0.28789999999999999</v>
      </c>
      <c r="N118">
        <v>0.28000000000000003</v>
      </c>
      <c r="O118" t="str">
        <f>IF(Table5[[#This Row],[hum]]&lt;0.3,"Humid",IF(Table5[[#This Row],[hum]]&gt;=0.3,"High Humid"))</f>
        <v>Humid</v>
      </c>
      <c r="P118">
        <v>0.19400000000000001</v>
      </c>
      <c r="Q118">
        <v>14</v>
      </c>
      <c r="R118">
        <v>111</v>
      </c>
      <c r="S118">
        <v>125</v>
      </c>
    </row>
    <row r="119" spans="1:19" x14ac:dyDescent="0.25">
      <c r="A119">
        <v>939</v>
      </c>
      <c r="B119" s="1">
        <v>40585</v>
      </c>
      <c r="C119">
        <v>1</v>
      </c>
      <c r="D119">
        <v>0</v>
      </c>
      <c r="E119">
        <v>2</v>
      </c>
      <c r="F119">
        <v>17</v>
      </c>
      <c r="G119" t="b">
        <v>0</v>
      </c>
      <c r="H119">
        <v>5</v>
      </c>
      <c r="I119" t="str">
        <f>CHOOSE(H119+1,"Monday","Tuesday","Wednesday","Thursday","Friday","Saturday","Sunday")</f>
        <v>Saturday</v>
      </c>
      <c r="J119">
        <v>1</v>
      </c>
      <c r="K119">
        <v>0.3</v>
      </c>
      <c r="L119" t="str">
        <f>IF(Table5[[#This Row],[temp]]&lt;24,"Cold","Hot")</f>
        <v>Cold</v>
      </c>
      <c r="M119">
        <v>0.33329999999999999</v>
      </c>
      <c r="N119">
        <v>0.24</v>
      </c>
      <c r="O119" t="str">
        <f>IF(Table5[[#This Row],[hum]]&lt;0.3,"Humid",IF(Table5[[#This Row],[hum]]&gt;=0.3,"High Humid"))</f>
        <v>Humid</v>
      </c>
      <c r="P119">
        <v>0</v>
      </c>
      <c r="Q119">
        <v>18</v>
      </c>
      <c r="R119">
        <v>193</v>
      </c>
      <c r="S119">
        <v>211</v>
      </c>
    </row>
    <row r="120" spans="1:19" x14ac:dyDescent="0.25">
      <c r="A120">
        <v>940</v>
      </c>
      <c r="B120" s="1">
        <v>40585</v>
      </c>
      <c r="C120">
        <v>1</v>
      </c>
      <c r="D120">
        <v>0</v>
      </c>
      <c r="E120">
        <v>2</v>
      </c>
      <c r="F120">
        <v>18</v>
      </c>
      <c r="G120" t="b">
        <v>0</v>
      </c>
      <c r="H120">
        <v>5</v>
      </c>
      <c r="I120" t="str">
        <f>CHOOSE(H120+1,"Monday","Tuesday","Wednesday","Thursday","Friday","Saturday","Sunday")</f>
        <v>Saturday</v>
      </c>
      <c r="J120">
        <v>1</v>
      </c>
      <c r="K120">
        <v>0.28000000000000003</v>
      </c>
      <c r="L120" t="str">
        <f>IF(Table5[[#This Row],[temp]]&lt;24,"Cold","Hot")</f>
        <v>Cold</v>
      </c>
      <c r="M120">
        <v>0.31819999999999998</v>
      </c>
      <c r="N120">
        <v>0.28000000000000003</v>
      </c>
      <c r="O120" t="str">
        <f>IF(Table5[[#This Row],[hum]]&lt;0.3,"Humid",IF(Table5[[#This Row],[hum]]&gt;=0.3,"High Humid"))</f>
        <v>Humid</v>
      </c>
      <c r="P120">
        <v>0</v>
      </c>
      <c r="Q120">
        <v>9</v>
      </c>
      <c r="R120">
        <v>165</v>
      </c>
      <c r="S120">
        <v>174</v>
      </c>
    </row>
    <row r="121" spans="1:19" x14ac:dyDescent="0.25">
      <c r="A121">
        <v>941</v>
      </c>
      <c r="B121" s="1">
        <v>40585</v>
      </c>
      <c r="C121">
        <v>1</v>
      </c>
      <c r="D121">
        <v>0</v>
      </c>
      <c r="E121">
        <v>2</v>
      </c>
      <c r="F121">
        <v>19</v>
      </c>
      <c r="G121" t="b">
        <v>0</v>
      </c>
      <c r="H121">
        <v>5</v>
      </c>
      <c r="I121" t="str">
        <f>CHOOSE(H121+1,"Monday","Tuesday","Wednesday","Thursday","Friday","Saturday","Sunday")</f>
        <v>Saturday</v>
      </c>
      <c r="J121">
        <v>1</v>
      </c>
      <c r="K121">
        <v>0.26</v>
      </c>
      <c r="L121" t="str">
        <f>IF(Table5[[#This Row],[temp]]&lt;24,"Cold","Hot")</f>
        <v>Cold</v>
      </c>
      <c r="M121">
        <v>0.30299999999999999</v>
      </c>
      <c r="N121">
        <v>0.33</v>
      </c>
      <c r="O121" t="str">
        <f>IF(Table5[[#This Row],[hum]]&lt;0.3,"Humid",IF(Table5[[#This Row],[hum]]&gt;=0.3,"High Humid"))</f>
        <v>High Humid</v>
      </c>
      <c r="P121">
        <v>0</v>
      </c>
      <c r="Q121">
        <v>7</v>
      </c>
      <c r="R121">
        <v>94</v>
      </c>
      <c r="S121">
        <v>101</v>
      </c>
    </row>
    <row r="122" spans="1:19" x14ac:dyDescent="0.25">
      <c r="A122">
        <v>942</v>
      </c>
      <c r="B122" s="1">
        <v>40585</v>
      </c>
      <c r="C122">
        <v>1</v>
      </c>
      <c r="D122">
        <v>0</v>
      </c>
      <c r="E122">
        <v>2</v>
      </c>
      <c r="F122">
        <v>20</v>
      </c>
      <c r="G122" t="b">
        <v>0</v>
      </c>
      <c r="H122">
        <v>5</v>
      </c>
      <c r="I122" t="str">
        <f>CHOOSE(H122+1,"Monday","Tuesday","Wednesday","Thursday","Friday","Saturday","Sunday")</f>
        <v>Saturday</v>
      </c>
      <c r="J122">
        <v>1</v>
      </c>
      <c r="K122">
        <v>0.22</v>
      </c>
      <c r="L122" t="str">
        <f>IF(Table5[[#This Row],[temp]]&lt;24,"Cold","Hot")</f>
        <v>Cold</v>
      </c>
      <c r="M122">
        <v>0.2273</v>
      </c>
      <c r="N122">
        <v>0.55000000000000004</v>
      </c>
      <c r="O122" t="str">
        <f>IF(Table5[[#This Row],[hum]]&lt;0.3,"Humid",IF(Table5[[#This Row],[hum]]&gt;=0.3,"High Humid"))</f>
        <v>High Humid</v>
      </c>
      <c r="P122">
        <v>0.1343</v>
      </c>
      <c r="Q122">
        <v>2</v>
      </c>
      <c r="R122">
        <v>61</v>
      </c>
      <c r="S122">
        <v>63</v>
      </c>
    </row>
    <row r="123" spans="1:19" x14ac:dyDescent="0.25">
      <c r="A123">
        <v>943</v>
      </c>
      <c r="B123" s="1">
        <v>40585</v>
      </c>
      <c r="C123">
        <v>1</v>
      </c>
      <c r="D123">
        <v>0</v>
      </c>
      <c r="E123">
        <v>2</v>
      </c>
      <c r="F123">
        <v>21</v>
      </c>
      <c r="G123" t="b">
        <v>0</v>
      </c>
      <c r="H123">
        <v>5</v>
      </c>
      <c r="I123" t="str">
        <f>CHOOSE(H123+1,"Monday","Tuesday","Wednesday","Thursday","Friday","Saturday","Sunday")</f>
        <v>Saturday</v>
      </c>
      <c r="J123">
        <v>1</v>
      </c>
      <c r="K123">
        <v>0.2</v>
      </c>
      <c r="L123" t="str">
        <f>IF(Table5[[#This Row],[temp]]&lt;24,"Cold","Hot")</f>
        <v>Cold</v>
      </c>
      <c r="M123">
        <v>0.21210000000000001</v>
      </c>
      <c r="N123">
        <v>0.59</v>
      </c>
      <c r="O123" t="str">
        <f>IF(Table5[[#This Row],[hum]]&lt;0.3,"Humid",IF(Table5[[#This Row],[hum]]&gt;=0.3,"High Humid"))</f>
        <v>High Humid</v>
      </c>
      <c r="P123">
        <v>0.1343</v>
      </c>
      <c r="Q123">
        <v>1</v>
      </c>
      <c r="R123">
        <v>46</v>
      </c>
      <c r="S123">
        <v>47</v>
      </c>
    </row>
    <row r="124" spans="1:19" x14ac:dyDescent="0.25">
      <c r="A124">
        <v>944</v>
      </c>
      <c r="B124" s="1">
        <v>40585</v>
      </c>
      <c r="C124">
        <v>1</v>
      </c>
      <c r="D124">
        <v>0</v>
      </c>
      <c r="E124">
        <v>2</v>
      </c>
      <c r="F124">
        <v>22</v>
      </c>
      <c r="G124" t="b">
        <v>0</v>
      </c>
      <c r="H124">
        <v>5</v>
      </c>
      <c r="I124" t="str">
        <f>CHOOSE(H124+1,"Monday","Tuesday","Wednesday","Thursday","Friday","Saturday","Sunday")</f>
        <v>Saturday</v>
      </c>
      <c r="J124">
        <v>1</v>
      </c>
      <c r="K124">
        <v>0.2</v>
      </c>
      <c r="L124" t="str">
        <f>IF(Table5[[#This Row],[temp]]&lt;24,"Cold","Hot")</f>
        <v>Cold</v>
      </c>
      <c r="M124">
        <v>0.2273</v>
      </c>
      <c r="N124">
        <v>0.64</v>
      </c>
      <c r="O124" t="str">
        <f>IF(Table5[[#This Row],[hum]]&lt;0.3,"Humid",IF(Table5[[#This Row],[hum]]&gt;=0.3,"High Humid"))</f>
        <v>High Humid</v>
      </c>
      <c r="P124">
        <v>8.9599999999999999E-2</v>
      </c>
      <c r="Q124">
        <v>2</v>
      </c>
      <c r="R124">
        <v>41</v>
      </c>
      <c r="S124">
        <v>43</v>
      </c>
    </row>
    <row r="125" spans="1:19" x14ac:dyDescent="0.25">
      <c r="A125">
        <v>945</v>
      </c>
      <c r="B125" s="1">
        <v>40585</v>
      </c>
      <c r="C125">
        <v>1</v>
      </c>
      <c r="D125">
        <v>0</v>
      </c>
      <c r="E125">
        <v>2</v>
      </c>
      <c r="F125">
        <v>23</v>
      </c>
      <c r="G125" t="b">
        <v>0</v>
      </c>
      <c r="H125">
        <v>5</v>
      </c>
      <c r="I125" t="str">
        <f>CHOOSE(H125+1,"Monday","Tuesday","Wednesday","Thursday","Friday","Saturday","Sunday")</f>
        <v>Saturday</v>
      </c>
      <c r="J125">
        <v>1</v>
      </c>
      <c r="K125">
        <v>0.18</v>
      </c>
      <c r="L125" t="str">
        <f>IF(Table5[[#This Row],[temp]]&lt;24,"Cold","Hot")</f>
        <v>Cold</v>
      </c>
      <c r="M125">
        <v>0.2424</v>
      </c>
      <c r="N125">
        <v>0.69</v>
      </c>
      <c r="O125" t="str">
        <f>IF(Table5[[#This Row],[hum]]&lt;0.3,"Humid",IF(Table5[[#This Row],[hum]]&gt;=0.3,"High Humid"))</f>
        <v>High Humid</v>
      </c>
      <c r="P125">
        <v>0</v>
      </c>
      <c r="Q125">
        <v>5</v>
      </c>
      <c r="R125">
        <v>48</v>
      </c>
      <c r="S125">
        <v>53</v>
      </c>
    </row>
    <row r="126" spans="1:19" x14ac:dyDescent="0.25">
      <c r="A126">
        <v>736</v>
      </c>
      <c r="B126" s="1">
        <v>40577</v>
      </c>
      <c r="C126">
        <v>1</v>
      </c>
      <c r="D126">
        <v>0</v>
      </c>
      <c r="E126">
        <v>2</v>
      </c>
      <c r="F126">
        <v>0</v>
      </c>
      <c r="G126" t="b">
        <v>0</v>
      </c>
      <c r="H126">
        <v>4</v>
      </c>
      <c r="I126" t="str">
        <f>CHOOSE(H126+1,"Monday","Tuesday","Wednesday","Thursday","Friday","Saturday","Sunday")</f>
        <v>Friday</v>
      </c>
      <c r="J126">
        <v>1</v>
      </c>
      <c r="K126">
        <v>0.2</v>
      </c>
      <c r="L126" t="str">
        <f>IF(Table5[[#This Row],[temp]]&lt;24,"Cold","Hot")</f>
        <v>Cold</v>
      </c>
      <c r="M126">
        <v>0.16669999999999999</v>
      </c>
      <c r="N126">
        <v>0.4</v>
      </c>
      <c r="O126" t="str">
        <f>IF(Table5[[#This Row],[hum]]&lt;0.3,"Humid",IF(Table5[[#This Row],[hum]]&gt;=0.3,"High Humid"))</f>
        <v>High Humid</v>
      </c>
      <c r="P126">
        <v>0.44779999999999998</v>
      </c>
      <c r="Q126">
        <v>1</v>
      </c>
      <c r="R126">
        <v>11</v>
      </c>
      <c r="S126">
        <v>12</v>
      </c>
    </row>
    <row r="127" spans="1:19" x14ac:dyDescent="0.25">
      <c r="A127">
        <v>737</v>
      </c>
      <c r="B127" s="1">
        <v>40577</v>
      </c>
      <c r="C127">
        <v>1</v>
      </c>
      <c r="D127">
        <v>0</v>
      </c>
      <c r="E127">
        <v>2</v>
      </c>
      <c r="F127">
        <v>1</v>
      </c>
      <c r="G127" t="b">
        <v>0</v>
      </c>
      <c r="H127">
        <v>4</v>
      </c>
      <c r="I127" t="str">
        <f>CHOOSE(H127+1,"Monday","Tuesday","Wednesday","Thursday","Friday","Saturday","Sunday")</f>
        <v>Friday</v>
      </c>
      <c r="J127">
        <v>1</v>
      </c>
      <c r="K127">
        <v>0.2</v>
      </c>
      <c r="L127" t="str">
        <f>IF(Table5[[#This Row],[temp]]&lt;24,"Cold","Hot")</f>
        <v>Cold</v>
      </c>
      <c r="M127">
        <v>0.1515</v>
      </c>
      <c r="N127">
        <v>0.44</v>
      </c>
      <c r="O127" t="str">
        <f>IF(Table5[[#This Row],[hum]]&lt;0.3,"Humid",IF(Table5[[#This Row],[hum]]&gt;=0.3,"High Humid"))</f>
        <v>High Humid</v>
      </c>
      <c r="P127">
        <v>0.52239999999999998</v>
      </c>
      <c r="Q127">
        <v>0</v>
      </c>
      <c r="R127">
        <v>5</v>
      </c>
      <c r="S127">
        <v>5</v>
      </c>
    </row>
    <row r="128" spans="1:19" x14ac:dyDescent="0.25">
      <c r="A128">
        <v>738</v>
      </c>
      <c r="B128" s="1">
        <v>40577</v>
      </c>
      <c r="C128">
        <v>1</v>
      </c>
      <c r="D128">
        <v>0</v>
      </c>
      <c r="E128">
        <v>2</v>
      </c>
      <c r="F128">
        <v>2</v>
      </c>
      <c r="G128" t="b">
        <v>0</v>
      </c>
      <c r="H128">
        <v>4</v>
      </c>
      <c r="I128" t="str">
        <f>CHOOSE(H128+1,"Monday","Tuesday","Wednesday","Thursday","Friday","Saturday","Sunday")</f>
        <v>Friday</v>
      </c>
      <c r="J128">
        <v>1</v>
      </c>
      <c r="K128">
        <v>0.18</v>
      </c>
      <c r="L128" t="str">
        <f>IF(Table5[[#This Row],[temp]]&lt;24,"Cold","Hot")</f>
        <v>Cold</v>
      </c>
      <c r="M128">
        <v>0.16669999999999999</v>
      </c>
      <c r="N128">
        <v>0.43</v>
      </c>
      <c r="O128" t="str">
        <f>IF(Table5[[#This Row],[hum]]&lt;0.3,"Humid",IF(Table5[[#This Row],[hum]]&gt;=0.3,"High Humid"))</f>
        <v>High Humid</v>
      </c>
      <c r="P128">
        <v>0.25369999999999998</v>
      </c>
      <c r="Q128">
        <v>0</v>
      </c>
      <c r="R128">
        <v>2</v>
      </c>
      <c r="S128">
        <v>2</v>
      </c>
    </row>
    <row r="129" spans="1:19" x14ac:dyDescent="0.25">
      <c r="A129">
        <v>739</v>
      </c>
      <c r="B129" s="1">
        <v>40577</v>
      </c>
      <c r="C129">
        <v>1</v>
      </c>
      <c r="D129">
        <v>0</v>
      </c>
      <c r="E129">
        <v>2</v>
      </c>
      <c r="F129">
        <v>3</v>
      </c>
      <c r="G129" t="b">
        <v>0</v>
      </c>
      <c r="H129">
        <v>4</v>
      </c>
      <c r="I129" t="str">
        <f>CHOOSE(H129+1,"Monday","Tuesday","Wednesday","Thursday","Friday","Saturday","Sunday")</f>
        <v>Friday</v>
      </c>
      <c r="J129">
        <v>1</v>
      </c>
      <c r="K129">
        <v>0.18</v>
      </c>
      <c r="L129" t="str">
        <f>IF(Table5[[#This Row],[temp]]&lt;24,"Cold","Hot")</f>
        <v>Cold</v>
      </c>
      <c r="M129">
        <v>0.16669999999999999</v>
      </c>
      <c r="N129">
        <v>0.43</v>
      </c>
      <c r="O129" t="str">
        <f>IF(Table5[[#This Row],[hum]]&lt;0.3,"Humid",IF(Table5[[#This Row],[hum]]&gt;=0.3,"High Humid"))</f>
        <v>High Humid</v>
      </c>
      <c r="P129">
        <v>0.25369999999999998</v>
      </c>
      <c r="Q129">
        <v>0</v>
      </c>
      <c r="R129">
        <v>1</v>
      </c>
      <c r="S129">
        <v>1</v>
      </c>
    </row>
    <row r="130" spans="1:19" x14ac:dyDescent="0.25">
      <c r="A130">
        <v>740</v>
      </c>
      <c r="B130" s="1">
        <v>40577</v>
      </c>
      <c r="C130">
        <v>1</v>
      </c>
      <c r="D130">
        <v>0</v>
      </c>
      <c r="E130">
        <v>2</v>
      </c>
      <c r="F130">
        <v>5</v>
      </c>
      <c r="G130" t="b">
        <v>0</v>
      </c>
      <c r="H130">
        <v>4</v>
      </c>
      <c r="I130" t="str">
        <f>CHOOSE(H130+1,"Monday","Tuesday","Wednesday","Thursday","Friday","Saturday","Sunday")</f>
        <v>Friday</v>
      </c>
      <c r="J130">
        <v>1</v>
      </c>
      <c r="K130">
        <v>0.16</v>
      </c>
      <c r="L130" t="str">
        <f>IF(Table5[[#This Row],[temp]]&lt;24,"Cold","Hot")</f>
        <v>Cold</v>
      </c>
      <c r="M130">
        <v>0.13639999999999999</v>
      </c>
      <c r="N130">
        <v>0.5</v>
      </c>
      <c r="O130" t="str">
        <f>IF(Table5[[#This Row],[hum]]&lt;0.3,"Humid",IF(Table5[[#This Row],[hum]]&gt;=0.3,"High Humid"))</f>
        <v>High Humid</v>
      </c>
      <c r="P130">
        <v>0.29849999999999999</v>
      </c>
      <c r="Q130">
        <v>0</v>
      </c>
      <c r="R130">
        <v>2</v>
      </c>
      <c r="S130">
        <v>2</v>
      </c>
    </row>
    <row r="131" spans="1:19" x14ac:dyDescent="0.25">
      <c r="A131">
        <v>741</v>
      </c>
      <c r="B131" s="1">
        <v>40577</v>
      </c>
      <c r="C131">
        <v>1</v>
      </c>
      <c r="D131">
        <v>0</v>
      </c>
      <c r="E131">
        <v>2</v>
      </c>
      <c r="F131">
        <v>6</v>
      </c>
      <c r="G131" t="b">
        <v>0</v>
      </c>
      <c r="H131">
        <v>4</v>
      </c>
      <c r="I131" t="str">
        <f>CHOOSE(H131+1,"Monday","Tuesday","Wednesday","Thursday","Friday","Saturday","Sunday")</f>
        <v>Friday</v>
      </c>
      <c r="J131">
        <v>1</v>
      </c>
      <c r="K131">
        <v>0.16</v>
      </c>
      <c r="L131" t="str">
        <f>IF(Table5[[#This Row],[temp]]&lt;24,"Cold","Hot")</f>
        <v>Cold</v>
      </c>
      <c r="M131">
        <v>0.13639999999999999</v>
      </c>
      <c r="N131">
        <v>0.43</v>
      </c>
      <c r="O131" t="str">
        <f>IF(Table5[[#This Row],[hum]]&lt;0.3,"Humid",IF(Table5[[#This Row],[hum]]&gt;=0.3,"High Humid"))</f>
        <v>High Humid</v>
      </c>
      <c r="P131">
        <v>0.35820000000000002</v>
      </c>
      <c r="Q131">
        <v>0</v>
      </c>
      <c r="R131">
        <v>39</v>
      </c>
      <c r="S131">
        <v>39</v>
      </c>
    </row>
    <row r="132" spans="1:19" x14ac:dyDescent="0.25">
      <c r="A132">
        <v>742</v>
      </c>
      <c r="B132" s="1">
        <v>40577</v>
      </c>
      <c r="C132">
        <v>1</v>
      </c>
      <c r="D132">
        <v>0</v>
      </c>
      <c r="E132">
        <v>2</v>
      </c>
      <c r="F132">
        <v>7</v>
      </c>
      <c r="G132" t="b">
        <v>0</v>
      </c>
      <c r="H132">
        <v>4</v>
      </c>
      <c r="I132" t="str">
        <f>CHOOSE(H132+1,"Monday","Tuesday","Wednesday","Thursday","Friday","Saturday","Sunday")</f>
        <v>Friday</v>
      </c>
      <c r="J132">
        <v>1</v>
      </c>
      <c r="K132">
        <v>0.14000000000000001</v>
      </c>
      <c r="L132" t="str">
        <f>IF(Table5[[#This Row],[temp]]&lt;24,"Cold","Hot")</f>
        <v>Cold</v>
      </c>
      <c r="M132">
        <v>0.1212</v>
      </c>
      <c r="N132">
        <v>0.5</v>
      </c>
      <c r="O132" t="str">
        <f>IF(Table5[[#This Row],[hum]]&lt;0.3,"Humid",IF(Table5[[#This Row],[hum]]&gt;=0.3,"High Humid"))</f>
        <v>High Humid</v>
      </c>
      <c r="P132">
        <v>0.32840000000000003</v>
      </c>
      <c r="Q132">
        <v>1</v>
      </c>
      <c r="R132">
        <v>86</v>
      </c>
      <c r="S132">
        <v>87</v>
      </c>
    </row>
    <row r="133" spans="1:19" x14ac:dyDescent="0.25">
      <c r="A133">
        <v>743</v>
      </c>
      <c r="B133" s="1">
        <v>40577</v>
      </c>
      <c r="C133">
        <v>1</v>
      </c>
      <c r="D133">
        <v>0</v>
      </c>
      <c r="E133">
        <v>2</v>
      </c>
      <c r="F133">
        <v>8</v>
      </c>
      <c r="G133" t="b">
        <v>0</v>
      </c>
      <c r="H133">
        <v>4</v>
      </c>
      <c r="I133" t="str">
        <f>CHOOSE(H133+1,"Monday","Tuesday","Wednesday","Thursday","Friday","Saturday","Sunday")</f>
        <v>Friday</v>
      </c>
      <c r="J133">
        <v>1</v>
      </c>
      <c r="K133">
        <v>0.14000000000000001</v>
      </c>
      <c r="L133" t="str">
        <f>IF(Table5[[#This Row],[temp]]&lt;24,"Cold","Hot")</f>
        <v>Cold</v>
      </c>
      <c r="M133">
        <v>0.1212</v>
      </c>
      <c r="N133">
        <v>0.5</v>
      </c>
      <c r="O133" t="str">
        <f>IF(Table5[[#This Row],[hum]]&lt;0.3,"Humid",IF(Table5[[#This Row],[hum]]&gt;=0.3,"High Humid"))</f>
        <v>High Humid</v>
      </c>
      <c r="P133">
        <v>0.35820000000000002</v>
      </c>
      <c r="Q133">
        <v>4</v>
      </c>
      <c r="R133">
        <v>184</v>
      </c>
      <c r="S133">
        <v>188</v>
      </c>
    </row>
    <row r="134" spans="1:19" x14ac:dyDescent="0.25">
      <c r="A134">
        <v>744</v>
      </c>
      <c r="B134" s="1">
        <v>40577</v>
      </c>
      <c r="C134">
        <v>1</v>
      </c>
      <c r="D134">
        <v>0</v>
      </c>
      <c r="E134">
        <v>2</v>
      </c>
      <c r="F134">
        <v>9</v>
      </c>
      <c r="G134" t="b">
        <v>0</v>
      </c>
      <c r="H134">
        <v>4</v>
      </c>
      <c r="I134" t="str">
        <f>CHOOSE(H134+1,"Monday","Tuesday","Wednesday","Thursday","Friday","Saturday","Sunday")</f>
        <v>Friday</v>
      </c>
      <c r="J134">
        <v>1</v>
      </c>
      <c r="K134">
        <v>0.16</v>
      </c>
      <c r="L134" t="str">
        <f>IF(Table5[[#This Row],[temp]]&lt;24,"Cold","Hot")</f>
        <v>Cold</v>
      </c>
      <c r="M134">
        <v>0.13639999999999999</v>
      </c>
      <c r="N134">
        <v>0.47</v>
      </c>
      <c r="O134" t="str">
        <f>IF(Table5[[#This Row],[hum]]&lt;0.3,"Humid",IF(Table5[[#This Row],[hum]]&gt;=0.3,"High Humid"))</f>
        <v>High Humid</v>
      </c>
      <c r="P134">
        <v>0.29849999999999999</v>
      </c>
      <c r="Q134">
        <v>6</v>
      </c>
      <c r="R134">
        <v>127</v>
      </c>
      <c r="S134">
        <v>133</v>
      </c>
    </row>
    <row r="135" spans="1:19" x14ac:dyDescent="0.25">
      <c r="A135">
        <v>745</v>
      </c>
      <c r="B135" s="1">
        <v>40577</v>
      </c>
      <c r="C135">
        <v>1</v>
      </c>
      <c r="D135">
        <v>0</v>
      </c>
      <c r="E135">
        <v>2</v>
      </c>
      <c r="F135">
        <v>10</v>
      </c>
      <c r="G135" t="b">
        <v>0</v>
      </c>
      <c r="H135">
        <v>4</v>
      </c>
      <c r="I135" t="str">
        <f>CHOOSE(H135+1,"Monday","Tuesday","Wednesday","Thursday","Friday","Saturday","Sunday")</f>
        <v>Friday</v>
      </c>
      <c r="J135">
        <v>1</v>
      </c>
      <c r="K135">
        <v>0.18</v>
      </c>
      <c r="L135" t="str">
        <f>IF(Table5[[#This Row],[temp]]&lt;24,"Cold","Hot")</f>
        <v>Cold</v>
      </c>
      <c r="M135">
        <v>0.1515</v>
      </c>
      <c r="N135">
        <v>0.43</v>
      </c>
      <c r="O135" t="str">
        <f>IF(Table5[[#This Row],[hum]]&lt;0.3,"Humid",IF(Table5[[#This Row],[hum]]&gt;=0.3,"High Humid"))</f>
        <v>High Humid</v>
      </c>
      <c r="P135">
        <v>0.32840000000000003</v>
      </c>
      <c r="Q135">
        <v>2</v>
      </c>
      <c r="R135">
        <v>50</v>
      </c>
      <c r="S135">
        <v>52</v>
      </c>
    </row>
    <row r="136" spans="1:19" x14ac:dyDescent="0.25">
      <c r="A136">
        <v>746</v>
      </c>
      <c r="B136" s="1">
        <v>40577</v>
      </c>
      <c r="C136">
        <v>1</v>
      </c>
      <c r="D136">
        <v>0</v>
      </c>
      <c r="E136">
        <v>2</v>
      </c>
      <c r="F136">
        <v>11</v>
      </c>
      <c r="G136" t="b">
        <v>0</v>
      </c>
      <c r="H136">
        <v>4</v>
      </c>
      <c r="I136" t="str">
        <f>CHOOSE(H136+1,"Monday","Tuesday","Wednesday","Thursday","Friday","Saturday","Sunday")</f>
        <v>Friday</v>
      </c>
      <c r="J136">
        <v>1</v>
      </c>
      <c r="K136">
        <v>0.18</v>
      </c>
      <c r="L136" t="str">
        <f>IF(Table5[[#This Row],[temp]]&lt;24,"Cold","Hot")</f>
        <v>Cold</v>
      </c>
      <c r="M136">
        <v>0.13639999999999999</v>
      </c>
      <c r="N136">
        <v>0.43</v>
      </c>
      <c r="O136" t="str">
        <f>IF(Table5[[#This Row],[hum]]&lt;0.3,"Humid",IF(Table5[[#This Row],[hum]]&gt;=0.3,"High Humid"))</f>
        <v>High Humid</v>
      </c>
      <c r="P136">
        <v>0.44779999999999998</v>
      </c>
      <c r="Q136">
        <v>9</v>
      </c>
      <c r="R136">
        <v>55</v>
      </c>
      <c r="S136">
        <v>64</v>
      </c>
    </row>
    <row r="137" spans="1:19" x14ac:dyDescent="0.25">
      <c r="A137">
        <v>747</v>
      </c>
      <c r="B137" s="1">
        <v>40577</v>
      </c>
      <c r="C137">
        <v>1</v>
      </c>
      <c r="D137">
        <v>0</v>
      </c>
      <c r="E137">
        <v>2</v>
      </c>
      <c r="F137">
        <v>12</v>
      </c>
      <c r="G137" t="b">
        <v>0</v>
      </c>
      <c r="H137">
        <v>4</v>
      </c>
      <c r="I137" t="str">
        <f>CHOOSE(H137+1,"Monday","Tuesday","Wednesday","Thursday","Friday","Saturday","Sunday")</f>
        <v>Friday</v>
      </c>
      <c r="J137">
        <v>1</v>
      </c>
      <c r="K137">
        <v>0.2</v>
      </c>
      <c r="L137" t="str">
        <f>IF(Table5[[#This Row],[temp]]&lt;24,"Cold","Hot")</f>
        <v>Cold</v>
      </c>
      <c r="M137">
        <v>0.18179999999999999</v>
      </c>
      <c r="N137">
        <v>0.4</v>
      </c>
      <c r="O137" t="str">
        <f>IF(Table5[[#This Row],[hum]]&lt;0.3,"Humid",IF(Table5[[#This Row],[hum]]&gt;=0.3,"High Humid"))</f>
        <v>High Humid</v>
      </c>
      <c r="P137">
        <v>0.35820000000000002</v>
      </c>
      <c r="Q137">
        <v>2</v>
      </c>
      <c r="R137">
        <v>67</v>
      </c>
      <c r="S137">
        <v>69</v>
      </c>
    </row>
    <row r="138" spans="1:19" x14ac:dyDescent="0.25">
      <c r="A138">
        <v>748</v>
      </c>
      <c r="B138" s="1">
        <v>40577</v>
      </c>
      <c r="C138">
        <v>1</v>
      </c>
      <c r="D138">
        <v>0</v>
      </c>
      <c r="E138">
        <v>2</v>
      </c>
      <c r="F138">
        <v>13</v>
      </c>
      <c r="G138" t="b">
        <v>0</v>
      </c>
      <c r="H138">
        <v>4</v>
      </c>
      <c r="I138" t="str">
        <f>CHOOSE(H138+1,"Monday","Tuesday","Wednesday","Thursday","Friday","Saturday","Sunday")</f>
        <v>Friday</v>
      </c>
      <c r="J138">
        <v>1</v>
      </c>
      <c r="K138">
        <v>0.2</v>
      </c>
      <c r="L138" t="str">
        <f>IF(Table5[[#This Row],[temp]]&lt;24,"Cold","Hot")</f>
        <v>Cold</v>
      </c>
      <c r="M138">
        <v>0.16669999999999999</v>
      </c>
      <c r="N138">
        <v>0.4</v>
      </c>
      <c r="O138" t="str">
        <f>IF(Table5[[#This Row],[hum]]&lt;0.3,"Humid",IF(Table5[[#This Row],[hum]]&gt;=0.3,"High Humid"))</f>
        <v>High Humid</v>
      </c>
      <c r="P138">
        <v>0.41789999999999999</v>
      </c>
      <c r="Q138">
        <v>4</v>
      </c>
      <c r="R138">
        <v>47</v>
      </c>
      <c r="S138">
        <v>51</v>
      </c>
    </row>
    <row r="139" spans="1:19" x14ac:dyDescent="0.25">
      <c r="A139">
        <v>749</v>
      </c>
      <c r="B139" s="1">
        <v>40577</v>
      </c>
      <c r="C139">
        <v>1</v>
      </c>
      <c r="D139">
        <v>0</v>
      </c>
      <c r="E139">
        <v>2</v>
      </c>
      <c r="F139">
        <v>14</v>
      </c>
      <c r="G139" t="b">
        <v>0</v>
      </c>
      <c r="H139">
        <v>4</v>
      </c>
      <c r="I139" t="str">
        <f>CHOOSE(H139+1,"Monday","Tuesday","Wednesday","Thursday","Friday","Saturday","Sunday")</f>
        <v>Friday</v>
      </c>
      <c r="J139">
        <v>1</v>
      </c>
      <c r="K139">
        <v>0.22</v>
      </c>
      <c r="L139" t="str">
        <f>IF(Table5[[#This Row],[temp]]&lt;24,"Cold","Hot")</f>
        <v>Cold</v>
      </c>
      <c r="M139">
        <v>0.19700000000000001</v>
      </c>
      <c r="N139">
        <v>0.37</v>
      </c>
      <c r="O139" t="str">
        <f>IF(Table5[[#This Row],[hum]]&lt;0.3,"Humid",IF(Table5[[#This Row],[hum]]&gt;=0.3,"High Humid"))</f>
        <v>High Humid</v>
      </c>
      <c r="P139">
        <v>0.3881</v>
      </c>
      <c r="Q139">
        <v>4</v>
      </c>
      <c r="R139">
        <v>43</v>
      </c>
      <c r="S139">
        <v>47</v>
      </c>
    </row>
    <row r="140" spans="1:19" x14ac:dyDescent="0.25">
      <c r="A140">
        <v>750</v>
      </c>
      <c r="B140" s="1">
        <v>40577</v>
      </c>
      <c r="C140">
        <v>1</v>
      </c>
      <c r="D140">
        <v>0</v>
      </c>
      <c r="E140">
        <v>2</v>
      </c>
      <c r="F140">
        <v>15</v>
      </c>
      <c r="G140" t="b">
        <v>0</v>
      </c>
      <c r="H140">
        <v>4</v>
      </c>
      <c r="I140" t="str">
        <f>CHOOSE(H140+1,"Monday","Tuesday","Wednesday","Thursday","Friday","Saturday","Sunday")</f>
        <v>Friday</v>
      </c>
      <c r="J140">
        <v>1</v>
      </c>
      <c r="K140">
        <v>0.22</v>
      </c>
      <c r="L140" t="str">
        <f>IF(Table5[[#This Row],[temp]]&lt;24,"Cold","Hot")</f>
        <v>Cold</v>
      </c>
      <c r="M140">
        <v>0.19700000000000001</v>
      </c>
      <c r="N140">
        <v>0.37</v>
      </c>
      <c r="O140" t="str">
        <f>IF(Table5[[#This Row],[hum]]&lt;0.3,"Humid",IF(Table5[[#This Row],[hum]]&gt;=0.3,"High Humid"))</f>
        <v>High Humid</v>
      </c>
      <c r="P140">
        <v>0.32840000000000003</v>
      </c>
      <c r="Q140">
        <v>4</v>
      </c>
      <c r="R140">
        <v>56</v>
      </c>
      <c r="S140">
        <v>60</v>
      </c>
    </row>
    <row r="141" spans="1:19" x14ac:dyDescent="0.25">
      <c r="A141">
        <v>751</v>
      </c>
      <c r="B141" s="1">
        <v>40577</v>
      </c>
      <c r="C141">
        <v>1</v>
      </c>
      <c r="D141">
        <v>0</v>
      </c>
      <c r="E141">
        <v>2</v>
      </c>
      <c r="F141">
        <v>16</v>
      </c>
      <c r="G141" t="b">
        <v>0</v>
      </c>
      <c r="H141">
        <v>4</v>
      </c>
      <c r="I141" t="str">
        <f>CHOOSE(H141+1,"Monday","Tuesday","Wednesday","Thursday","Friday","Saturday","Sunday")</f>
        <v>Friday</v>
      </c>
      <c r="J141">
        <v>1</v>
      </c>
      <c r="K141">
        <v>0.22</v>
      </c>
      <c r="L141" t="str">
        <f>IF(Table5[[#This Row],[temp]]&lt;24,"Cold","Hot")</f>
        <v>Cold</v>
      </c>
      <c r="M141">
        <v>0.21210000000000001</v>
      </c>
      <c r="N141">
        <v>0.37</v>
      </c>
      <c r="O141" t="str">
        <f>IF(Table5[[#This Row],[hum]]&lt;0.3,"Humid",IF(Table5[[#This Row],[hum]]&gt;=0.3,"High Humid"))</f>
        <v>High Humid</v>
      </c>
      <c r="P141">
        <v>0.25369999999999998</v>
      </c>
      <c r="Q141">
        <v>5</v>
      </c>
      <c r="R141">
        <v>73</v>
      </c>
      <c r="S141">
        <v>78</v>
      </c>
    </row>
    <row r="142" spans="1:19" x14ac:dyDescent="0.25">
      <c r="A142">
        <v>752</v>
      </c>
      <c r="B142" s="1">
        <v>40577</v>
      </c>
      <c r="C142">
        <v>1</v>
      </c>
      <c r="D142">
        <v>0</v>
      </c>
      <c r="E142">
        <v>2</v>
      </c>
      <c r="F142">
        <v>17</v>
      </c>
      <c r="G142" t="b">
        <v>0</v>
      </c>
      <c r="H142">
        <v>4</v>
      </c>
      <c r="I142" t="str">
        <f>CHOOSE(H142+1,"Monday","Tuesday","Wednesday","Thursday","Friday","Saturday","Sunday")</f>
        <v>Friday</v>
      </c>
      <c r="J142">
        <v>1</v>
      </c>
      <c r="K142">
        <v>0.2</v>
      </c>
      <c r="L142" t="str">
        <f>IF(Table5[[#This Row],[temp]]&lt;24,"Cold","Hot")</f>
        <v>Cold</v>
      </c>
      <c r="M142">
        <v>0.19700000000000001</v>
      </c>
      <c r="N142">
        <v>0.4</v>
      </c>
      <c r="O142" t="str">
        <f>IF(Table5[[#This Row],[hum]]&lt;0.3,"Humid",IF(Table5[[#This Row],[hum]]&gt;=0.3,"High Humid"))</f>
        <v>High Humid</v>
      </c>
      <c r="P142">
        <v>0.19400000000000001</v>
      </c>
      <c r="Q142">
        <v>5</v>
      </c>
      <c r="R142">
        <v>170</v>
      </c>
      <c r="S142">
        <v>175</v>
      </c>
    </row>
    <row r="143" spans="1:19" x14ac:dyDescent="0.25">
      <c r="A143">
        <v>753</v>
      </c>
      <c r="B143" s="1">
        <v>40577</v>
      </c>
      <c r="C143">
        <v>1</v>
      </c>
      <c r="D143">
        <v>0</v>
      </c>
      <c r="E143">
        <v>2</v>
      </c>
      <c r="F143">
        <v>18</v>
      </c>
      <c r="G143" t="b">
        <v>0</v>
      </c>
      <c r="H143">
        <v>4</v>
      </c>
      <c r="I143" t="str">
        <f>CHOOSE(H143+1,"Monday","Tuesday","Wednesday","Thursday","Friday","Saturday","Sunday")</f>
        <v>Friday</v>
      </c>
      <c r="J143">
        <v>1</v>
      </c>
      <c r="K143">
        <v>0.2</v>
      </c>
      <c r="L143" t="str">
        <f>IF(Table5[[#This Row],[temp]]&lt;24,"Cold","Hot")</f>
        <v>Cold</v>
      </c>
      <c r="M143">
        <v>0.21210000000000001</v>
      </c>
      <c r="N143">
        <v>0.4</v>
      </c>
      <c r="O143" t="str">
        <f>IF(Table5[[#This Row],[hum]]&lt;0.3,"Humid",IF(Table5[[#This Row],[hum]]&gt;=0.3,"High Humid"))</f>
        <v>High Humid</v>
      </c>
      <c r="P143">
        <v>0.16420000000000001</v>
      </c>
      <c r="Q143">
        <v>2</v>
      </c>
      <c r="R143">
        <v>145</v>
      </c>
      <c r="S143">
        <v>147</v>
      </c>
    </row>
    <row r="144" spans="1:19" x14ac:dyDescent="0.25">
      <c r="A144">
        <v>754</v>
      </c>
      <c r="B144" s="1">
        <v>40577</v>
      </c>
      <c r="C144">
        <v>1</v>
      </c>
      <c r="D144">
        <v>0</v>
      </c>
      <c r="E144">
        <v>2</v>
      </c>
      <c r="F144">
        <v>19</v>
      </c>
      <c r="G144" t="b">
        <v>0</v>
      </c>
      <c r="H144">
        <v>4</v>
      </c>
      <c r="I144" t="str">
        <f>CHOOSE(H144+1,"Monday","Tuesday","Wednesday","Thursday","Friday","Saturday","Sunday")</f>
        <v>Friday</v>
      </c>
      <c r="J144">
        <v>1</v>
      </c>
      <c r="K144">
        <v>0.2</v>
      </c>
      <c r="L144" t="str">
        <f>IF(Table5[[#This Row],[temp]]&lt;24,"Cold","Hot")</f>
        <v>Cold</v>
      </c>
      <c r="M144">
        <v>0.2576</v>
      </c>
      <c r="N144">
        <v>0.4</v>
      </c>
      <c r="O144" t="str">
        <f>IF(Table5[[#This Row],[hum]]&lt;0.3,"Humid",IF(Table5[[#This Row],[hum]]&gt;=0.3,"High Humid"))</f>
        <v>High Humid</v>
      </c>
      <c r="P144">
        <v>0</v>
      </c>
      <c r="Q144">
        <v>4</v>
      </c>
      <c r="R144">
        <v>92</v>
      </c>
      <c r="S144">
        <v>96</v>
      </c>
    </row>
    <row r="145" spans="1:19" x14ac:dyDescent="0.25">
      <c r="A145">
        <v>755</v>
      </c>
      <c r="B145" s="1">
        <v>40577</v>
      </c>
      <c r="C145">
        <v>1</v>
      </c>
      <c r="D145">
        <v>0</v>
      </c>
      <c r="E145">
        <v>2</v>
      </c>
      <c r="F145">
        <v>20</v>
      </c>
      <c r="G145" t="b">
        <v>0</v>
      </c>
      <c r="H145">
        <v>4</v>
      </c>
      <c r="I145" t="str">
        <f>CHOOSE(H145+1,"Monday","Tuesday","Wednesday","Thursday","Friday","Saturday","Sunday")</f>
        <v>Friday</v>
      </c>
      <c r="J145">
        <v>1</v>
      </c>
      <c r="K145">
        <v>0.2</v>
      </c>
      <c r="L145" t="str">
        <f>IF(Table5[[#This Row],[temp]]&lt;24,"Cold","Hot")</f>
        <v>Cold</v>
      </c>
      <c r="M145">
        <v>0.2273</v>
      </c>
      <c r="N145">
        <v>0.47</v>
      </c>
      <c r="O145" t="str">
        <f>IF(Table5[[#This Row],[hum]]&lt;0.3,"Humid",IF(Table5[[#This Row],[hum]]&gt;=0.3,"High Humid"))</f>
        <v>High Humid</v>
      </c>
      <c r="P145">
        <v>8.9599999999999999E-2</v>
      </c>
      <c r="Q145">
        <v>1</v>
      </c>
      <c r="R145">
        <v>108</v>
      </c>
      <c r="S145">
        <v>109</v>
      </c>
    </row>
    <row r="146" spans="1:19" x14ac:dyDescent="0.25">
      <c r="A146">
        <v>756</v>
      </c>
      <c r="B146" s="1">
        <v>40577</v>
      </c>
      <c r="C146">
        <v>1</v>
      </c>
      <c r="D146">
        <v>0</v>
      </c>
      <c r="E146">
        <v>2</v>
      </c>
      <c r="F146">
        <v>21</v>
      </c>
      <c r="G146" t="b">
        <v>0</v>
      </c>
      <c r="H146">
        <v>4</v>
      </c>
      <c r="I146" t="str">
        <f>CHOOSE(H146+1,"Monday","Tuesday","Wednesday","Thursday","Friday","Saturday","Sunday")</f>
        <v>Friday</v>
      </c>
      <c r="J146">
        <v>1</v>
      </c>
      <c r="K146">
        <v>0.18</v>
      </c>
      <c r="L146" t="str">
        <f>IF(Table5[[#This Row],[temp]]&lt;24,"Cold","Hot")</f>
        <v>Cold</v>
      </c>
      <c r="M146">
        <v>0.21210000000000001</v>
      </c>
      <c r="N146">
        <v>0.55000000000000004</v>
      </c>
      <c r="O146" t="str">
        <f>IF(Table5[[#This Row],[hum]]&lt;0.3,"Humid",IF(Table5[[#This Row],[hum]]&gt;=0.3,"High Humid"))</f>
        <v>High Humid</v>
      </c>
      <c r="P146">
        <v>0.1045</v>
      </c>
      <c r="Q146">
        <v>1</v>
      </c>
      <c r="R146">
        <v>53</v>
      </c>
      <c r="S146">
        <v>54</v>
      </c>
    </row>
    <row r="147" spans="1:19" x14ac:dyDescent="0.25">
      <c r="A147">
        <v>757</v>
      </c>
      <c r="B147" s="1">
        <v>40577</v>
      </c>
      <c r="C147">
        <v>1</v>
      </c>
      <c r="D147">
        <v>0</v>
      </c>
      <c r="E147">
        <v>2</v>
      </c>
      <c r="F147">
        <v>22</v>
      </c>
      <c r="G147" t="b">
        <v>0</v>
      </c>
      <c r="H147">
        <v>4</v>
      </c>
      <c r="I147" t="str">
        <f>CHOOSE(H147+1,"Monday","Tuesday","Wednesday","Thursday","Friday","Saturday","Sunday")</f>
        <v>Friday</v>
      </c>
      <c r="J147">
        <v>1</v>
      </c>
      <c r="K147">
        <v>0.18</v>
      </c>
      <c r="L147" t="str">
        <f>IF(Table5[[#This Row],[temp]]&lt;24,"Cold","Hot")</f>
        <v>Cold</v>
      </c>
      <c r="M147">
        <v>0.21210000000000001</v>
      </c>
      <c r="N147">
        <v>0.51</v>
      </c>
      <c r="O147" t="str">
        <f>IF(Table5[[#This Row],[hum]]&lt;0.3,"Humid",IF(Table5[[#This Row],[hum]]&gt;=0.3,"High Humid"))</f>
        <v>High Humid</v>
      </c>
      <c r="P147">
        <v>8.9599999999999999E-2</v>
      </c>
      <c r="Q147">
        <v>2</v>
      </c>
      <c r="R147">
        <v>39</v>
      </c>
      <c r="S147">
        <v>41</v>
      </c>
    </row>
    <row r="148" spans="1:19" x14ac:dyDescent="0.25">
      <c r="A148">
        <v>758</v>
      </c>
      <c r="B148" s="1">
        <v>40577</v>
      </c>
      <c r="C148">
        <v>1</v>
      </c>
      <c r="D148">
        <v>0</v>
      </c>
      <c r="E148">
        <v>2</v>
      </c>
      <c r="F148">
        <v>23</v>
      </c>
      <c r="G148" t="b">
        <v>0</v>
      </c>
      <c r="H148">
        <v>4</v>
      </c>
      <c r="I148" t="str">
        <f>CHOOSE(H148+1,"Monday","Tuesday","Wednesday","Thursday","Friday","Saturday","Sunday")</f>
        <v>Friday</v>
      </c>
      <c r="J148">
        <v>1</v>
      </c>
      <c r="K148">
        <v>0.2</v>
      </c>
      <c r="L148" t="str">
        <f>IF(Table5[[#This Row],[temp]]&lt;24,"Cold","Hot")</f>
        <v>Cold</v>
      </c>
      <c r="M148">
        <v>0.2273</v>
      </c>
      <c r="N148">
        <v>0.47</v>
      </c>
      <c r="O148" t="str">
        <f>IF(Table5[[#This Row],[hum]]&lt;0.3,"Humid",IF(Table5[[#This Row],[hum]]&gt;=0.3,"High Humid"))</f>
        <v>High Humid</v>
      </c>
      <c r="P148">
        <v>0.1045</v>
      </c>
      <c r="Q148">
        <v>4</v>
      </c>
      <c r="R148">
        <v>34</v>
      </c>
      <c r="S148">
        <v>38</v>
      </c>
    </row>
    <row r="149" spans="1:19" x14ac:dyDescent="0.25">
      <c r="A149">
        <v>901</v>
      </c>
      <c r="B149" s="1">
        <v>40584</v>
      </c>
      <c r="C149">
        <v>1</v>
      </c>
      <c r="D149">
        <v>0</v>
      </c>
      <c r="E149">
        <v>2</v>
      </c>
      <c r="F149">
        <v>0</v>
      </c>
      <c r="G149" t="b">
        <v>0</v>
      </c>
      <c r="H149">
        <v>4</v>
      </c>
      <c r="I149" t="str">
        <f>CHOOSE(H149+1,"Monday","Tuesday","Wednesday","Thursday","Friday","Saturday","Sunday")</f>
        <v>Friday</v>
      </c>
      <c r="J149">
        <v>3</v>
      </c>
      <c r="K149">
        <v>0.14000000000000001</v>
      </c>
      <c r="L149" t="str">
        <f>IF(Table5[[#This Row],[temp]]&lt;24,"Cold","Hot")</f>
        <v>Cold</v>
      </c>
      <c r="M149">
        <v>0.13639999999999999</v>
      </c>
      <c r="N149">
        <v>0.86</v>
      </c>
      <c r="O149" t="str">
        <f>IF(Table5[[#This Row],[hum]]&lt;0.3,"Humid",IF(Table5[[#This Row],[hum]]&gt;=0.3,"High Humid"))</f>
        <v>High Humid</v>
      </c>
      <c r="P149">
        <v>0.19400000000000001</v>
      </c>
      <c r="Q149">
        <v>0</v>
      </c>
      <c r="R149">
        <v>16</v>
      </c>
      <c r="S149">
        <v>16</v>
      </c>
    </row>
    <row r="150" spans="1:19" x14ac:dyDescent="0.25">
      <c r="A150">
        <v>902</v>
      </c>
      <c r="B150" s="1">
        <v>40584</v>
      </c>
      <c r="C150">
        <v>1</v>
      </c>
      <c r="D150">
        <v>0</v>
      </c>
      <c r="E150">
        <v>2</v>
      </c>
      <c r="F150">
        <v>1</v>
      </c>
      <c r="G150" t="b">
        <v>0</v>
      </c>
      <c r="H150">
        <v>4</v>
      </c>
      <c r="I150" t="str">
        <f>CHOOSE(H150+1,"Monday","Tuesday","Wednesday","Thursday","Friday","Saturday","Sunday")</f>
        <v>Friday</v>
      </c>
      <c r="J150">
        <v>3</v>
      </c>
      <c r="K150">
        <v>0.14000000000000001</v>
      </c>
      <c r="L150" t="str">
        <f>IF(Table5[[#This Row],[temp]]&lt;24,"Cold","Hot")</f>
        <v>Cold</v>
      </c>
      <c r="M150">
        <v>0.1515</v>
      </c>
      <c r="N150">
        <v>0.8</v>
      </c>
      <c r="O150" t="str">
        <f>IF(Table5[[#This Row],[hum]]&lt;0.3,"Humid",IF(Table5[[#This Row],[hum]]&gt;=0.3,"High Humid"))</f>
        <v>High Humid</v>
      </c>
      <c r="P150">
        <v>0.1343</v>
      </c>
      <c r="Q150">
        <v>0</v>
      </c>
      <c r="R150">
        <v>7</v>
      </c>
      <c r="S150">
        <v>7</v>
      </c>
    </row>
    <row r="151" spans="1:19" x14ac:dyDescent="0.25">
      <c r="A151">
        <v>903</v>
      </c>
      <c r="B151" s="1">
        <v>40584</v>
      </c>
      <c r="C151">
        <v>1</v>
      </c>
      <c r="D151">
        <v>0</v>
      </c>
      <c r="E151">
        <v>2</v>
      </c>
      <c r="F151">
        <v>2</v>
      </c>
      <c r="G151" t="b">
        <v>0</v>
      </c>
      <c r="H151">
        <v>4</v>
      </c>
      <c r="I151" t="str">
        <f>CHOOSE(H151+1,"Monday","Tuesday","Wednesday","Thursday","Friday","Saturday","Sunday")</f>
        <v>Friday</v>
      </c>
      <c r="J151">
        <v>3</v>
      </c>
      <c r="K151">
        <v>0.14000000000000001</v>
      </c>
      <c r="L151" t="str">
        <f>IF(Table5[[#This Row],[temp]]&lt;24,"Cold","Hot")</f>
        <v>Cold</v>
      </c>
      <c r="M151">
        <v>0.1515</v>
      </c>
      <c r="N151">
        <v>0.8</v>
      </c>
      <c r="O151" t="str">
        <f>IF(Table5[[#This Row],[hum]]&lt;0.3,"Humid",IF(Table5[[#This Row],[hum]]&gt;=0.3,"High Humid"))</f>
        <v>High Humid</v>
      </c>
      <c r="P151">
        <v>0.1343</v>
      </c>
      <c r="Q151">
        <v>0</v>
      </c>
      <c r="R151">
        <v>3</v>
      </c>
      <c r="S151">
        <v>3</v>
      </c>
    </row>
    <row r="152" spans="1:19" x14ac:dyDescent="0.25">
      <c r="A152">
        <v>904</v>
      </c>
      <c r="B152" s="1">
        <v>40584</v>
      </c>
      <c r="C152">
        <v>1</v>
      </c>
      <c r="D152">
        <v>0</v>
      </c>
      <c r="E152">
        <v>2</v>
      </c>
      <c r="F152">
        <v>4</v>
      </c>
      <c r="G152" t="b">
        <v>0</v>
      </c>
      <c r="H152">
        <v>4</v>
      </c>
      <c r="I152" t="str">
        <f>CHOOSE(H152+1,"Monday","Tuesday","Wednesday","Thursday","Friday","Saturday","Sunday")</f>
        <v>Friday</v>
      </c>
      <c r="J152">
        <v>2</v>
      </c>
      <c r="K152">
        <v>0.14000000000000001</v>
      </c>
      <c r="L152" t="str">
        <f>IF(Table5[[#This Row],[temp]]&lt;24,"Cold","Hot")</f>
        <v>Cold</v>
      </c>
      <c r="M152">
        <v>0.13639999999999999</v>
      </c>
      <c r="N152">
        <v>0.59</v>
      </c>
      <c r="O152" t="str">
        <f>IF(Table5[[#This Row],[hum]]&lt;0.3,"Humid",IF(Table5[[#This Row],[hum]]&gt;=0.3,"High Humid"))</f>
        <v>High Humid</v>
      </c>
      <c r="P152">
        <v>0.22389999999999999</v>
      </c>
      <c r="Q152">
        <v>0</v>
      </c>
      <c r="R152">
        <v>1</v>
      </c>
      <c r="S152">
        <v>1</v>
      </c>
    </row>
    <row r="153" spans="1:19" x14ac:dyDescent="0.25">
      <c r="A153">
        <v>905</v>
      </c>
      <c r="B153" s="1">
        <v>40584</v>
      </c>
      <c r="C153">
        <v>1</v>
      </c>
      <c r="D153">
        <v>0</v>
      </c>
      <c r="E153">
        <v>2</v>
      </c>
      <c r="F153">
        <v>5</v>
      </c>
      <c r="G153" t="b">
        <v>0</v>
      </c>
      <c r="H153">
        <v>4</v>
      </c>
      <c r="I153" t="str">
        <f>CHOOSE(H153+1,"Monday","Tuesday","Wednesday","Thursday","Friday","Saturday","Sunday")</f>
        <v>Friday</v>
      </c>
      <c r="J153">
        <v>2</v>
      </c>
      <c r="K153">
        <v>0.12</v>
      </c>
      <c r="L153" t="str">
        <f>IF(Table5[[#This Row],[temp]]&lt;24,"Cold","Hot")</f>
        <v>Cold</v>
      </c>
      <c r="M153">
        <v>0.1212</v>
      </c>
      <c r="N153">
        <v>0.5</v>
      </c>
      <c r="O153" t="str">
        <f>IF(Table5[[#This Row],[hum]]&lt;0.3,"Humid",IF(Table5[[#This Row],[hum]]&gt;=0.3,"High Humid"))</f>
        <v>High Humid</v>
      </c>
      <c r="P153">
        <v>0.22389999999999999</v>
      </c>
      <c r="Q153">
        <v>0</v>
      </c>
      <c r="R153">
        <v>6</v>
      </c>
      <c r="S153">
        <v>6</v>
      </c>
    </row>
    <row r="154" spans="1:19" x14ac:dyDescent="0.25">
      <c r="A154">
        <v>906</v>
      </c>
      <c r="B154" s="1">
        <v>40584</v>
      </c>
      <c r="C154">
        <v>1</v>
      </c>
      <c r="D154">
        <v>0</v>
      </c>
      <c r="E154">
        <v>2</v>
      </c>
      <c r="F154">
        <v>6</v>
      </c>
      <c r="G154" t="b">
        <v>0</v>
      </c>
      <c r="H154">
        <v>4</v>
      </c>
      <c r="I154" t="str">
        <f>CHOOSE(H154+1,"Monday","Tuesday","Wednesday","Thursday","Friday","Saturday","Sunday")</f>
        <v>Friday</v>
      </c>
      <c r="J154">
        <v>2</v>
      </c>
      <c r="K154">
        <v>0.12</v>
      </c>
      <c r="L154" t="str">
        <f>IF(Table5[[#This Row],[temp]]&lt;24,"Cold","Hot")</f>
        <v>Cold</v>
      </c>
      <c r="M154">
        <v>0.1212</v>
      </c>
      <c r="N154">
        <v>0.54</v>
      </c>
      <c r="O154" t="str">
        <f>IF(Table5[[#This Row],[hum]]&lt;0.3,"Humid",IF(Table5[[#This Row],[hum]]&gt;=0.3,"High Humid"))</f>
        <v>High Humid</v>
      </c>
      <c r="P154">
        <v>0.28360000000000002</v>
      </c>
      <c r="Q154">
        <v>0</v>
      </c>
      <c r="R154">
        <v>26</v>
      </c>
      <c r="S154">
        <v>26</v>
      </c>
    </row>
    <row r="155" spans="1:19" x14ac:dyDescent="0.25">
      <c r="A155">
        <v>907</v>
      </c>
      <c r="B155" s="1">
        <v>40584</v>
      </c>
      <c r="C155">
        <v>1</v>
      </c>
      <c r="D155">
        <v>0</v>
      </c>
      <c r="E155">
        <v>2</v>
      </c>
      <c r="F155">
        <v>7</v>
      </c>
      <c r="G155" t="b">
        <v>0</v>
      </c>
      <c r="H155">
        <v>4</v>
      </c>
      <c r="I155" t="str">
        <f>CHOOSE(H155+1,"Monday","Tuesday","Wednesday","Thursday","Friday","Saturday","Sunday")</f>
        <v>Friday</v>
      </c>
      <c r="J155">
        <v>1</v>
      </c>
      <c r="K155">
        <v>0.1</v>
      </c>
      <c r="L155" t="str">
        <f>IF(Table5[[#This Row],[temp]]&lt;24,"Cold","Hot")</f>
        <v>Cold</v>
      </c>
      <c r="M155">
        <v>7.5800000000000006E-2</v>
      </c>
      <c r="N155">
        <v>0.5</v>
      </c>
      <c r="O155" t="str">
        <f>IF(Table5[[#This Row],[hum]]&lt;0.3,"Humid",IF(Table5[[#This Row],[hum]]&gt;=0.3,"High Humid"))</f>
        <v>High Humid</v>
      </c>
      <c r="P155">
        <v>0.41789999999999999</v>
      </c>
      <c r="Q155">
        <v>0</v>
      </c>
      <c r="R155">
        <v>99</v>
      </c>
      <c r="S155">
        <v>99</v>
      </c>
    </row>
    <row r="156" spans="1:19" x14ac:dyDescent="0.25">
      <c r="A156">
        <v>908</v>
      </c>
      <c r="B156" s="1">
        <v>40584</v>
      </c>
      <c r="C156">
        <v>1</v>
      </c>
      <c r="D156">
        <v>0</v>
      </c>
      <c r="E156">
        <v>2</v>
      </c>
      <c r="F156">
        <v>8</v>
      </c>
      <c r="G156" t="b">
        <v>0</v>
      </c>
      <c r="H156">
        <v>4</v>
      </c>
      <c r="I156" t="str">
        <f>CHOOSE(H156+1,"Monday","Tuesday","Wednesday","Thursday","Friday","Saturday","Sunday")</f>
        <v>Friday</v>
      </c>
      <c r="J156">
        <v>1</v>
      </c>
      <c r="K156">
        <v>0.1</v>
      </c>
      <c r="L156" t="str">
        <f>IF(Table5[[#This Row],[temp]]&lt;24,"Cold","Hot")</f>
        <v>Cold</v>
      </c>
      <c r="M156">
        <v>7.5800000000000006E-2</v>
      </c>
      <c r="N156">
        <v>0.49</v>
      </c>
      <c r="O156" t="str">
        <f>IF(Table5[[#This Row],[hum]]&lt;0.3,"Humid",IF(Table5[[#This Row],[hum]]&gt;=0.3,"High Humid"))</f>
        <v>High Humid</v>
      </c>
      <c r="P156">
        <v>0.32840000000000003</v>
      </c>
      <c r="Q156">
        <v>5</v>
      </c>
      <c r="R156">
        <v>173</v>
      </c>
      <c r="S156">
        <v>178</v>
      </c>
    </row>
    <row r="157" spans="1:19" x14ac:dyDescent="0.25">
      <c r="A157">
        <v>909</v>
      </c>
      <c r="B157" s="1">
        <v>40584</v>
      </c>
      <c r="C157">
        <v>1</v>
      </c>
      <c r="D157">
        <v>0</v>
      </c>
      <c r="E157">
        <v>2</v>
      </c>
      <c r="F157">
        <v>9</v>
      </c>
      <c r="G157" t="b">
        <v>0</v>
      </c>
      <c r="H157">
        <v>4</v>
      </c>
      <c r="I157" t="str">
        <f>CHOOSE(H157+1,"Monday","Tuesday","Wednesday","Thursday","Friday","Saturday","Sunday")</f>
        <v>Friday</v>
      </c>
      <c r="J157">
        <v>1</v>
      </c>
      <c r="K157">
        <v>0.12</v>
      </c>
      <c r="L157" t="str">
        <f>IF(Table5[[#This Row],[temp]]&lt;24,"Cold","Hot")</f>
        <v>Cold</v>
      </c>
      <c r="M157">
        <v>0.1061</v>
      </c>
      <c r="N157">
        <v>0.42</v>
      </c>
      <c r="O157" t="str">
        <f>IF(Table5[[#This Row],[hum]]&lt;0.3,"Humid",IF(Table5[[#This Row],[hum]]&gt;=0.3,"High Humid"))</f>
        <v>High Humid</v>
      </c>
      <c r="P157">
        <v>0.35820000000000002</v>
      </c>
      <c r="Q157">
        <v>1</v>
      </c>
      <c r="R157">
        <v>121</v>
      </c>
      <c r="S157">
        <v>122</v>
      </c>
    </row>
    <row r="158" spans="1:19" x14ac:dyDescent="0.25">
      <c r="A158">
        <v>910</v>
      </c>
      <c r="B158" s="1">
        <v>40584</v>
      </c>
      <c r="C158">
        <v>1</v>
      </c>
      <c r="D158">
        <v>0</v>
      </c>
      <c r="E158">
        <v>2</v>
      </c>
      <c r="F158">
        <v>10</v>
      </c>
      <c r="G158" t="b">
        <v>0</v>
      </c>
      <c r="H158">
        <v>4</v>
      </c>
      <c r="I158" t="str">
        <f>CHOOSE(H158+1,"Monday","Tuesday","Wednesday","Thursday","Friday","Saturday","Sunday")</f>
        <v>Friday</v>
      </c>
      <c r="J158">
        <v>1</v>
      </c>
      <c r="K158">
        <v>0.12</v>
      </c>
      <c r="L158" t="str">
        <f>IF(Table5[[#This Row],[temp]]&lt;24,"Cold","Hot")</f>
        <v>Cold</v>
      </c>
      <c r="M158">
        <v>0.1061</v>
      </c>
      <c r="N158">
        <v>0.42</v>
      </c>
      <c r="O158" t="str">
        <f>IF(Table5[[#This Row],[hum]]&lt;0.3,"Humid",IF(Table5[[#This Row],[hum]]&gt;=0.3,"High Humid"))</f>
        <v>High Humid</v>
      </c>
      <c r="P158">
        <v>0.29849999999999999</v>
      </c>
      <c r="Q158">
        <v>1</v>
      </c>
      <c r="R158">
        <v>34</v>
      </c>
      <c r="S158">
        <v>35</v>
      </c>
    </row>
    <row r="159" spans="1:19" x14ac:dyDescent="0.25">
      <c r="A159">
        <v>911</v>
      </c>
      <c r="B159" s="1">
        <v>40584</v>
      </c>
      <c r="C159">
        <v>1</v>
      </c>
      <c r="D159">
        <v>0</v>
      </c>
      <c r="E159">
        <v>2</v>
      </c>
      <c r="F159">
        <v>11</v>
      </c>
      <c r="G159" t="b">
        <v>0</v>
      </c>
      <c r="H159">
        <v>4</v>
      </c>
      <c r="I159" t="str">
        <f>CHOOSE(H159+1,"Monday","Tuesday","Wednesday","Thursday","Friday","Saturday","Sunday")</f>
        <v>Friday</v>
      </c>
      <c r="J159">
        <v>1</v>
      </c>
      <c r="K159">
        <v>0.14000000000000001</v>
      </c>
      <c r="L159" t="str">
        <f>IF(Table5[[#This Row],[temp]]&lt;24,"Cold","Hot")</f>
        <v>Cold</v>
      </c>
      <c r="M159">
        <v>0.1212</v>
      </c>
      <c r="N159">
        <v>0.39</v>
      </c>
      <c r="O159" t="str">
        <f>IF(Table5[[#This Row],[hum]]&lt;0.3,"Humid",IF(Table5[[#This Row],[hum]]&gt;=0.3,"High Humid"))</f>
        <v>High Humid</v>
      </c>
      <c r="P159">
        <v>0.35820000000000002</v>
      </c>
      <c r="Q159">
        <v>1</v>
      </c>
      <c r="R159">
        <v>44</v>
      </c>
      <c r="S159">
        <v>45</v>
      </c>
    </row>
    <row r="160" spans="1:19" x14ac:dyDescent="0.25">
      <c r="A160">
        <v>912</v>
      </c>
      <c r="B160" s="1">
        <v>40584</v>
      </c>
      <c r="C160">
        <v>1</v>
      </c>
      <c r="D160">
        <v>0</v>
      </c>
      <c r="E160">
        <v>2</v>
      </c>
      <c r="F160">
        <v>12</v>
      </c>
      <c r="G160" t="b">
        <v>0</v>
      </c>
      <c r="H160">
        <v>4</v>
      </c>
      <c r="I160" t="str">
        <f>CHOOSE(H160+1,"Monday","Tuesday","Wednesday","Thursday","Friday","Saturday","Sunday")</f>
        <v>Friday</v>
      </c>
      <c r="J160">
        <v>1</v>
      </c>
      <c r="K160">
        <v>0.16</v>
      </c>
      <c r="L160" t="str">
        <f>IF(Table5[[#This Row],[temp]]&lt;24,"Cold","Hot")</f>
        <v>Cold</v>
      </c>
      <c r="M160">
        <v>0.13639999999999999</v>
      </c>
      <c r="N160">
        <v>0.34</v>
      </c>
      <c r="O160" t="str">
        <f>IF(Table5[[#This Row],[hum]]&lt;0.3,"Humid",IF(Table5[[#This Row],[hum]]&gt;=0.3,"High Humid"))</f>
        <v>High Humid</v>
      </c>
      <c r="P160">
        <v>0.3881</v>
      </c>
      <c r="Q160">
        <v>4</v>
      </c>
      <c r="R160">
        <v>65</v>
      </c>
      <c r="S160">
        <v>69</v>
      </c>
    </row>
    <row r="161" spans="1:19" x14ac:dyDescent="0.25">
      <c r="A161">
        <v>913</v>
      </c>
      <c r="B161" s="1">
        <v>40584</v>
      </c>
      <c r="C161">
        <v>1</v>
      </c>
      <c r="D161">
        <v>0</v>
      </c>
      <c r="E161">
        <v>2</v>
      </c>
      <c r="F161">
        <v>13</v>
      </c>
      <c r="G161" t="b">
        <v>0</v>
      </c>
      <c r="H161">
        <v>4</v>
      </c>
      <c r="I161" t="str">
        <f>CHOOSE(H161+1,"Monday","Tuesday","Wednesday","Thursday","Friday","Saturday","Sunday")</f>
        <v>Friday</v>
      </c>
      <c r="J161">
        <v>1</v>
      </c>
      <c r="K161">
        <v>0.18</v>
      </c>
      <c r="L161" t="str">
        <f>IF(Table5[[#This Row],[temp]]&lt;24,"Cold","Hot")</f>
        <v>Cold</v>
      </c>
      <c r="M161">
        <v>0.16669999999999999</v>
      </c>
      <c r="N161">
        <v>0.28999999999999998</v>
      </c>
      <c r="O161" t="str">
        <f>IF(Table5[[#This Row],[hum]]&lt;0.3,"Humid",IF(Table5[[#This Row],[hum]]&gt;=0.3,"High Humid"))</f>
        <v>Humid</v>
      </c>
      <c r="P161">
        <v>0.29849999999999999</v>
      </c>
      <c r="Q161">
        <v>3</v>
      </c>
      <c r="R161">
        <v>59</v>
      </c>
      <c r="S161">
        <v>62</v>
      </c>
    </row>
    <row r="162" spans="1:19" x14ac:dyDescent="0.25">
      <c r="A162">
        <v>914</v>
      </c>
      <c r="B162" s="1">
        <v>40584</v>
      </c>
      <c r="C162">
        <v>1</v>
      </c>
      <c r="D162">
        <v>0</v>
      </c>
      <c r="E162">
        <v>2</v>
      </c>
      <c r="F162">
        <v>14</v>
      </c>
      <c r="G162" t="b">
        <v>0</v>
      </c>
      <c r="H162">
        <v>4</v>
      </c>
      <c r="I162" t="str">
        <f>CHOOSE(H162+1,"Monday","Tuesday","Wednesday","Thursday","Friday","Saturday","Sunday")</f>
        <v>Friday</v>
      </c>
      <c r="J162">
        <v>1</v>
      </c>
      <c r="K162">
        <v>0.2</v>
      </c>
      <c r="L162" t="str">
        <f>IF(Table5[[#This Row],[temp]]&lt;24,"Cold","Hot")</f>
        <v>Cold</v>
      </c>
      <c r="M162">
        <v>0.18179999999999999</v>
      </c>
      <c r="N162">
        <v>0.27</v>
      </c>
      <c r="O162" t="str">
        <f>IF(Table5[[#This Row],[hum]]&lt;0.3,"Humid",IF(Table5[[#This Row],[hum]]&gt;=0.3,"High Humid"))</f>
        <v>Humid</v>
      </c>
      <c r="P162">
        <v>0.28360000000000002</v>
      </c>
      <c r="Q162">
        <v>6</v>
      </c>
      <c r="R162">
        <v>42</v>
      </c>
      <c r="S162">
        <v>48</v>
      </c>
    </row>
    <row r="163" spans="1:19" x14ac:dyDescent="0.25">
      <c r="A163">
        <v>915</v>
      </c>
      <c r="B163" s="1">
        <v>40584</v>
      </c>
      <c r="C163">
        <v>1</v>
      </c>
      <c r="D163">
        <v>0</v>
      </c>
      <c r="E163">
        <v>2</v>
      </c>
      <c r="F163">
        <v>15</v>
      </c>
      <c r="G163" t="b">
        <v>0</v>
      </c>
      <c r="H163">
        <v>4</v>
      </c>
      <c r="I163" t="str">
        <f>CHOOSE(H163+1,"Monday","Tuesday","Wednesday","Thursday","Friday","Saturday","Sunday")</f>
        <v>Friday</v>
      </c>
      <c r="J163">
        <v>1</v>
      </c>
      <c r="K163">
        <v>0.2</v>
      </c>
      <c r="L163" t="str">
        <f>IF(Table5[[#This Row],[temp]]&lt;24,"Cold","Hot")</f>
        <v>Cold</v>
      </c>
      <c r="M163">
        <v>0.19700000000000001</v>
      </c>
      <c r="N163">
        <v>0.25</v>
      </c>
      <c r="O163" t="str">
        <f>IF(Table5[[#This Row],[hum]]&lt;0.3,"Humid",IF(Table5[[#This Row],[hum]]&gt;=0.3,"High Humid"))</f>
        <v>Humid</v>
      </c>
      <c r="P163">
        <v>0.25369999999999998</v>
      </c>
      <c r="Q163">
        <v>0</v>
      </c>
      <c r="R163">
        <v>50</v>
      </c>
      <c r="S163">
        <v>50</v>
      </c>
    </row>
    <row r="164" spans="1:19" x14ac:dyDescent="0.25">
      <c r="A164">
        <v>916</v>
      </c>
      <c r="B164" s="1">
        <v>40584</v>
      </c>
      <c r="C164">
        <v>1</v>
      </c>
      <c r="D164">
        <v>0</v>
      </c>
      <c r="E164">
        <v>2</v>
      </c>
      <c r="F164">
        <v>16</v>
      </c>
      <c r="G164" t="b">
        <v>0</v>
      </c>
      <c r="H164">
        <v>4</v>
      </c>
      <c r="I164" t="str">
        <f>CHOOSE(H164+1,"Monday","Tuesday","Wednesday","Thursday","Friday","Saturday","Sunday")</f>
        <v>Friday</v>
      </c>
      <c r="J164">
        <v>1</v>
      </c>
      <c r="K164">
        <v>0.2</v>
      </c>
      <c r="L164" t="str">
        <f>IF(Table5[[#This Row],[temp]]&lt;24,"Cold","Hot")</f>
        <v>Cold</v>
      </c>
      <c r="M164">
        <v>0.18179999999999999</v>
      </c>
      <c r="N164">
        <v>0.27</v>
      </c>
      <c r="O164" t="str">
        <f>IF(Table5[[#This Row],[hum]]&lt;0.3,"Humid",IF(Table5[[#This Row],[hum]]&gt;=0.3,"High Humid"))</f>
        <v>Humid</v>
      </c>
      <c r="P164">
        <v>0.29849999999999999</v>
      </c>
      <c r="Q164">
        <v>4</v>
      </c>
      <c r="R164">
        <v>76</v>
      </c>
      <c r="S164">
        <v>80</v>
      </c>
    </row>
    <row r="165" spans="1:19" x14ac:dyDescent="0.25">
      <c r="A165">
        <v>917</v>
      </c>
      <c r="B165" s="1">
        <v>40584</v>
      </c>
      <c r="C165">
        <v>1</v>
      </c>
      <c r="D165">
        <v>0</v>
      </c>
      <c r="E165">
        <v>2</v>
      </c>
      <c r="F165">
        <v>17</v>
      </c>
      <c r="G165" t="b">
        <v>0</v>
      </c>
      <c r="H165">
        <v>4</v>
      </c>
      <c r="I165" t="str">
        <f>CHOOSE(H165+1,"Monday","Tuesday","Wednesday","Thursday","Friday","Saturday","Sunday")</f>
        <v>Friday</v>
      </c>
      <c r="J165">
        <v>1</v>
      </c>
      <c r="K165">
        <v>0.18</v>
      </c>
      <c r="L165" t="str">
        <f>IF(Table5[[#This Row],[temp]]&lt;24,"Cold","Hot")</f>
        <v>Cold</v>
      </c>
      <c r="M165">
        <v>0.18179999999999999</v>
      </c>
      <c r="N165">
        <v>0.26</v>
      </c>
      <c r="O165" t="str">
        <f>IF(Table5[[#This Row],[hum]]&lt;0.3,"Humid",IF(Table5[[#This Row],[hum]]&gt;=0.3,"High Humid"))</f>
        <v>Humid</v>
      </c>
      <c r="P165">
        <v>0.19400000000000001</v>
      </c>
      <c r="Q165">
        <v>6</v>
      </c>
      <c r="R165">
        <v>159</v>
      </c>
      <c r="S165">
        <v>165</v>
      </c>
    </row>
    <row r="166" spans="1:19" x14ac:dyDescent="0.25">
      <c r="A166">
        <v>918</v>
      </c>
      <c r="B166" s="1">
        <v>40584</v>
      </c>
      <c r="C166">
        <v>1</v>
      </c>
      <c r="D166">
        <v>0</v>
      </c>
      <c r="E166">
        <v>2</v>
      </c>
      <c r="F166">
        <v>18</v>
      </c>
      <c r="G166" t="b">
        <v>0</v>
      </c>
      <c r="H166">
        <v>4</v>
      </c>
      <c r="I166" t="str">
        <f>CHOOSE(H166+1,"Monday","Tuesday","Wednesday","Thursday","Friday","Saturday","Sunday")</f>
        <v>Friday</v>
      </c>
      <c r="J166">
        <v>1</v>
      </c>
      <c r="K166">
        <v>0.16</v>
      </c>
      <c r="L166" t="str">
        <f>IF(Table5[[#This Row],[temp]]&lt;24,"Cold","Hot")</f>
        <v>Cold</v>
      </c>
      <c r="M166">
        <v>0.18179999999999999</v>
      </c>
      <c r="N166">
        <v>0.28000000000000003</v>
      </c>
      <c r="O166" t="str">
        <f>IF(Table5[[#This Row],[hum]]&lt;0.3,"Humid",IF(Table5[[#This Row],[hum]]&gt;=0.3,"High Humid"))</f>
        <v>Humid</v>
      </c>
      <c r="P166">
        <v>0.1343</v>
      </c>
      <c r="Q166">
        <v>3</v>
      </c>
      <c r="R166">
        <v>157</v>
      </c>
      <c r="S166">
        <v>160</v>
      </c>
    </row>
    <row r="167" spans="1:19" x14ac:dyDescent="0.25">
      <c r="A167">
        <v>919</v>
      </c>
      <c r="B167" s="1">
        <v>40584</v>
      </c>
      <c r="C167">
        <v>1</v>
      </c>
      <c r="D167">
        <v>0</v>
      </c>
      <c r="E167">
        <v>2</v>
      </c>
      <c r="F167">
        <v>19</v>
      </c>
      <c r="G167" t="b">
        <v>0</v>
      </c>
      <c r="H167">
        <v>4</v>
      </c>
      <c r="I167" t="str">
        <f>CHOOSE(H167+1,"Monday","Tuesday","Wednesday","Thursday","Friday","Saturday","Sunday")</f>
        <v>Friday</v>
      </c>
      <c r="J167">
        <v>1</v>
      </c>
      <c r="K167">
        <v>0.14000000000000001</v>
      </c>
      <c r="L167" t="str">
        <f>IF(Table5[[#This Row],[temp]]&lt;24,"Cold","Hot")</f>
        <v>Cold</v>
      </c>
      <c r="M167">
        <v>0.16669999999999999</v>
      </c>
      <c r="N167">
        <v>0.28000000000000003</v>
      </c>
      <c r="O167" t="str">
        <f>IF(Table5[[#This Row],[hum]]&lt;0.3,"Humid",IF(Table5[[#This Row],[hum]]&gt;=0.3,"High Humid"))</f>
        <v>Humid</v>
      </c>
      <c r="P167">
        <v>0.1045</v>
      </c>
      <c r="Q167">
        <v>2</v>
      </c>
      <c r="R167">
        <v>110</v>
      </c>
      <c r="S167">
        <v>112</v>
      </c>
    </row>
    <row r="168" spans="1:19" x14ac:dyDescent="0.25">
      <c r="A168">
        <v>920</v>
      </c>
      <c r="B168" s="1">
        <v>40584</v>
      </c>
      <c r="C168">
        <v>1</v>
      </c>
      <c r="D168">
        <v>0</v>
      </c>
      <c r="E168">
        <v>2</v>
      </c>
      <c r="F168">
        <v>20</v>
      </c>
      <c r="G168" t="b">
        <v>0</v>
      </c>
      <c r="H168">
        <v>4</v>
      </c>
      <c r="I168" t="str">
        <f>CHOOSE(H168+1,"Monday","Tuesday","Wednesday","Thursday","Friday","Saturday","Sunday")</f>
        <v>Friday</v>
      </c>
      <c r="J168">
        <v>1</v>
      </c>
      <c r="K168">
        <v>0.14000000000000001</v>
      </c>
      <c r="L168" t="str">
        <f>IF(Table5[[#This Row],[temp]]&lt;24,"Cold","Hot")</f>
        <v>Cold</v>
      </c>
      <c r="M168">
        <v>0.18179999999999999</v>
      </c>
      <c r="N168">
        <v>0.31</v>
      </c>
      <c r="O168" t="str">
        <f>IF(Table5[[#This Row],[hum]]&lt;0.3,"Humid",IF(Table5[[#This Row],[hum]]&gt;=0.3,"High Humid"))</f>
        <v>High Humid</v>
      </c>
      <c r="P168">
        <v>8.9599999999999999E-2</v>
      </c>
      <c r="Q168">
        <v>4</v>
      </c>
      <c r="R168">
        <v>93</v>
      </c>
      <c r="S168">
        <v>97</v>
      </c>
    </row>
    <row r="169" spans="1:19" x14ac:dyDescent="0.25">
      <c r="A169">
        <v>921</v>
      </c>
      <c r="B169" s="1">
        <v>40584</v>
      </c>
      <c r="C169">
        <v>1</v>
      </c>
      <c r="D169">
        <v>0</v>
      </c>
      <c r="E169">
        <v>2</v>
      </c>
      <c r="F169">
        <v>21</v>
      </c>
      <c r="G169" t="b">
        <v>0</v>
      </c>
      <c r="H169">
        <v>4</v>
      </c>
      <c r="I169" t="str">
        <f>CHOOSE(H169+1,"Monday","Tuesday","Wednesday","Thursday","Friday","Saturday","Sunday")</f>
        <v>Friday</v>
      </c>
      <c r="J169">
        <v>1</v>
      </c>
      <c r="K169">
        <v>0.14000000000000001</v>
      </c>
      <c r="L169" t="str">
        <f>IF(Table5[[#This Row],[temp]]&lt;24,"Cold","Hot")</f>
        <v>Cold</v>
      </c>
      <c r="M169">
        <v>0.21210000000000001</v>
      </c>
      <c r="N169">
        <v>0.39</v>
      </c>
      <c r="O169" t="str">
        <f>IF(Table5[[#This Row],[hum]]&lt;0.3,"Humid",IF(Table5[[#This Row],[hum]]&gt;=0.3,"High Humid"))</f>
        <v>High Humid</v>
      </c>
      <c r="P169">
        <v>0</v>
      </c>
      <c r="Q169">
        <v>2</v>
      </c>
      <c r="R169">
        <v>70</v>
      </c>
      <c r="S169">
        <v>72</v>
      </c>
    </row>
    <row r="170" spans="1:19" x14ac:dyDescent="0.25">
      <c r="A170">
        <v>922</v>
      </c>
      <c r="B170" s="1">
        <v>40584</v>
      </c>
      <c r="C170">
        <v>1</v>
      </c>
      <c r="D170">
        <v>0</v>
      </c>
      <c r="E170">
        <v>2</v>
      </c>
      <c r="F170">
        <v>22</v>
      </c>
      <c r="G170" t="b">
        <v>0</v>
      </c>
      <c r="H170">
        <v>4</v>
      </c>
      <c r="I170" t="str">
        <f>CHOOSE(H170+1,"Monday","Tuesday","Wednesday","Thursday","Friday","Saturday","Sunday")</f>
        <v>Friday</v>
      </c>
      <c r="J170">
        <v>1</v>
      </c>
      <c r="K170">
        <v>0.12</v>
      </c>
      <c r="L170" t="str">
        <f>IF(Table5[[#This Row],[temp]]&lt;24,"Cold","Hot")</f>
        <v>Cold</v>
      </c>
      <c r="M170">
        <v>0.19700000000000001</v>
      </c>
      <c r="N170">
        <v>0.39</v>
      </c>
      <c r="O170" t="str">
        <f>IF(Table5[[#This Row],[hum]]&lt;0.3,"Humid",IF(Table5[[#This Row],[hum]]&gt;=0.3,"High Humid"))</f>
        <v>High Humid</v>
      </c>
      <c r="P170">
        <v>0</v>
      </c>
      <c r="Q170">
        <v>4</v>
      </c>
      <c r="R170">
        <v>47</v>
      </c>
      <c r="S170">
        <v>51</v>
      </c>
    </row>
    <row r="171" spans="1:19" x14ac:dyDescent="0.25">
      <c r="A171">
        <v>923</v>
      </c>
      <c r="B171" s="1">
        <v>40584</v>
      </c>
      <c r="C171">
        <v>1</v>
      </c>
      <c r="D171">
        <v>0</v>
      </c>
      <c r="E171">
        <v>2</v>
      </c>
      <c r="F171">
        <v>23</v>
      </c>
      <c r="G171" t="b">
        <v>0</v>
      </c>
      <c r="H171">
        <v>4</v>
      </c>
      <c r="I171" t="str">
        <f>CHOOSE(H171+1,"Monday","Tuesday","Wednesday","Thursday","Friday","Saturday","Sunday")</f>
        <v>Friday</v>
      </c>
      <c r="J171">
        <v>1</v>
      </c>
      <c r="K171">
        <v>0.12</v>
      </c>
      <c r="L171" t="str">
        <f>IF(Table5[[#This Row],[temp]]&lt;24,"Cold","Hot")</f>
        <v>Cold</v>
      </c>
      <c r="M171">
        <v>0.1515</v>
      </c>
      <c r="N171">
        <v>0.42</v>
      </c>
      <c r="O171" t="str">
        <f>IF(Table5[[#This Row],[hum]]&lt;0.3,"Humid",IF(Table5[[#This Row],[hum]]&gt;=0.3,"High Humid"))</f>
        <v>High Humid</v>
      </c>
      <c r="P171">
        <v>0.1045</v>
      </c>
      <c r="Q171">
        <v>1</v>
      </c>
      <c r="R171">
        <v>33</v>
      </c>
      <c r="S171">
        <v>34</v>
      </c>
    </row>
    <row r="172" spans="1:19" x14ac:dyDescent="0.25">
      <c r="A172">
        <v>712</v>
      </c>
      <c r="B172" s="1">
        <v>40576</v>
      </c>
      <c r="C172">
        <v>1</v>
      </c>
      <c r="D172">
        <v>0</v>
      </c>
      <c r="E172">
        <v>2</v>
      </c>
      <c r="F172">
        <v>0</v>
      </c>
      <c r="G172" t="b">
        <v>0</v>
      </c>
      <c r="H172">
        <v>3</v>
      </c>
      <c r="I172" t="str">
        <f>CHOOSE(H172+1,"Monday","Tuesday","Wednesday","Thursday","Friday","Saturday","Sunday")</f>
        <v>Thursday</v>
      </c>
      <c r="J172">
        <v>3</v>
      </c>
      <c r="K172">
        <v>0.22</v>
      </c>
      <c r="L172" t="str">
        <f>IF(Table5[[#This Row],[temp]]&lt;24,"Cold","Hot")</f>
        <v>Cold</v>
      </c>
      <c r="M172">
        <v>0.2424</v>
      </c>
      <c r="N172">
        <v>0.93</v>
      </c>
      <c r="O172" t="str">
        <f>IF(Table5[[#This Row],[hum]]&lt;0.3,"Humid",IF(Table5[[#This Row],[hum]]&gt;=0.3,"High Humid"))</f>
        <v>High Humid</v>
      </c>
      <c r="P172">
        <v>0.1045</v>
      </c>
      <c r="Q172">
        <v>0</v>
      </c>
      <c r="R172">
        <v>2</v>
      </c>
      <c r="S172">
        <v>2</v>
      </c>
    </row>
    <row r="173" spans="1:19" x14ac:dyDescent="0.25">
      <c r="A173">
        <v>713</v>
      </c>
      <c r="B173" s="1">
        <v>40576</v>
      </c>
      <c r="C173">
        <v>1</v>
      </c>
      <c r="D173">
        <v>0</v>
      </c>
      <c r="E173">
        <v>2</v>
      </c>
      <c r="F173">
        <v>1</v>
      </c>
      <c r="G173" t="b">
        <v>0</v>
      </c>
      <c r="H173">
        <v>3</v>
      </c>
      <c r="I173" t="str">
        <f>CHOOSE(H173+1,"Monday","Tuesday","Wednesday","Thursday","Friday","Saturday","Sunday")</f>
        <v>Thursday</v>
      </c>
      <c r="J173">
        <v>3</v>
      </c>
      <c r="K173">
        <v>0.22</v>
      </c>
      <c r="L173" t="str">
        <f>IF(Table5[[#This Row],[temp]]&lt;24,"Cold","Hot")</f>
        <v>Cold</v>
      </c>
      <c r="M173">
        <v>0.2273</v>
      </c>
      <c r="N173">
        <v>0.93</v>
      </c>
      <c r="O173" t="str">
        <f>IF(Table5[[#This Row],[hum]]&lt;0.3,"Humid",IF(Table5[[#This Row],[hum]]&gt;=0.3,"High Humid"))</f>
        <v>High Humid</v>
      </c>
      <c r="P173">
        <v>0.19400000000000001</v>
      </c>
      <c r="Q173">
        <v>0</v>
      </c>
      <c r="R173">
        <v>3</v>
      </c>
      <c r="S173">
        <v>3</v>
      </c>
    </row>
    <row r="174" spans="1:19" x14ac:dyDescent="0.25">
      <c r="A174">
        <v>714</v>
      </c>
      <c r="B174" s="1">
        <v>40576</v>
      </c>
      <c r="C174">
        <v>1</v>
      </c>
      <c r="D174">
        <v>0</v>
      </c>
      <c r="E174">
        <v>2</v>
      </c>
      <c r="F174">
        <v>2</v>
      </c>
      <c r="G174" t="b">
        <v>0</v>
      </c>
      <c r="H174">
        <v>3</v>
      </c>
      <c r="I174" t="str">
        <f>CHOOSE(H174+1,"Monday","Tuesday","Wednesday","Thursday","Friday","Saturday","Sunday")</f>
        <v>Thursday</v>
      </c>
      <c r="J174">
        <v>3</v>
      </c>
      <c r="K174">
        <v>0.22</v>
      </c>
      <c r="L174" t="str">
        <f>IF(Table5[[#This Row],[temp]]&lt;24,"Cold","Hot")</f>
        <v>Cold</v>
      </c>
      <c r="M174">
        <v>0.2273</v>
      </c>
      <c r="N174">
        <v>0.93</v>
      </c>
      <c r="O174" t="str">
        <f>IF(Table5[[#This Row],[hum]]&lt;0.3,"Humid",IF(Table5[[#This Row],[hum]]&gt;=0.3,"High Humid"))</f>
        <v>High Humid</v>
      </c>
      <c r="P174">
        <v>0.1343</v>
      </c>
      <c r="Q174">
        <v>4</v>
      </c>
      <c r="R174">
        <v>0</v>
      </c>
      <c r="S174">
        <v>4</v>
      </c>
    </row>
    <row r="175" spans="1:19" x14ac:dyDescent="0.25">
      <c r="A175">
        <v>715</v>
      </c>
      <c r="B175" s="1">
        <v>40576</v>
      </c>
      <c r="C175">
        <v>1</v>
      </c>
      <c r="D175">
        <v>0</v>
      </c>
      <c r="E175">
        <v>2</v>
      </c>
      <c r="F175">
        <v>3</v>
      </c>
      <c r="G175" t="b">
        <v>0</v>
      </c>
      <c r="H175">
        <v>3</v>
      </c>
      <c r="I175" t="str">
        <f>CHOOSE(H175+1,"Monday","Tuesday","Wednesday","Thursday","Friday","Saturday","Sunday")</f>
        <v>Thursday</v>
      </c>
      <c r="J175">
        <v>3</v>
      </c>
      <c r="K175">
        <v>0.22</v>
      </c>
      <c r="L175" t="str">
        <f>IF(Table5[[#This Row],[temp]]&lt;24,"Cold","Hot")</f>
        <v>Cold</v>
      </c>
      <c r="M175">
        <v>0.2273</v>
      </c>
      <c r="N175">
        <v>0.93</v>
      </c>
      <c r="O175" t="str">
        <f>IF(Table5[[#This Row],[hum]]&lt;0.3,"Humid",IF(Table5[[#This Row],[hum]]&gt;=0.3,"High Humid"))</f>
        <v>High Humid</v>
      </c>
      <c r="P175">
        <v>0.1343</v>
      </c>
      <c r="Q175">
        <v>0</v>
      </c>
      <c r="R175">
        <v>1</v>
      </c>
      <c r="S175">
        <v>1</v>
      </c>
    </row>
    <row r="176" spans="1:19" x14ac:dyDescent="0.25">
      <c r="A176">
        <v>716</v>
      </c>
      <c r="B176" s="1">
        <v>40576</v>
      </c>
      <c r="C176">
        <v>1</v>
      </c>
      <c r="D176">
        <v>0</v>
      </c>
      <c r="E176">
        <v>2</v>
      </c>
      <c r="F176">
        <v>4</v>
      </c>
      <c r="G176" t="b">
        <v>0</v>
      </c>
      <c r="H176">
        <v>3</v>
      </c>
      <c r="I176" t="str">
        <f>CHOOSE(H176+1,"Monday","Tuesday","Wednesday","Thursday","Friday","Saturday","Sunday")</f>
        <v>Thursday</v>
      </c>
      <c r="J176">
        <v>3</v>
      </c>
      <c r="K176">
        <v>0.22</v>
      </c>
      <c r="L176" t="str">
        <f>IF(Table5[[#This Row],[temp]]&lt;24,"Cold","Hot")</f>
        <v>Cold</v>
      </c>
      <c r="M176">
        <v>0.21210000000000001</v>
      </c>
      <c r="N176">
        <v>0.93</v>
      </c>
      <c r="O176" t="str">
        <f>IF(Table5[[#This Row],[hum]]&lt;0.3,"Humid",IF(Table5[[#This Row],[hum]]&gt;=0.3,"High Humid"))</f>
        <v>High Humid</v>
      </c>
      <c r="P176">
        <v>0.28360000000000002</v>
      </c>
      <c r="Q176">
        <v>0</v>
      </c>
      <c r="R176">
        <v>1</v>
      </c>
      <c r="S176">
        <v>1</v>
      </c>
    </row>
    <row r="177" spans="1:19" x14ac:dyDescent="0.25">
      <c r="A177">
        <v>717</v>
      </c>
      <c r="B177" s="1">
        <v>40576</v>
      </c>
      <c r="C177">
        <v>1</v>
      </c>
      <c r="D177">
        <v>0</v>
      </c>
      <c r="E177">
        <v>2</v>
      </c>
      <c r="F177">
        <v>5</v>
      </c>
      <c r="G177" t="b">
        <v>0</v>
      </c>
      <c r="H177">
        <v>3</v>
      </c>
      <c r="I177" t="str">
        <f>CHOOSE(H177+1,"Monday","Tuesday","Wednesday","Thursday","Friday","Saturday","Sunday")</f>
        <v>Thursday</v>
      </c>
      <c r="J177">
        <v>3</v>
      </c>
      <c r="K177">
        <v>0.22</v>
      </c>
      <c r="L177" t="str">
        <f>IF(Table5[[#This Row],[temp]]&lt;24,"Cold","Hot")</f>
        <v>Cold</v>
      </c>
      <c r="M177">
        <v>0.2424</v>
      </c>
      <c r="N177">
        <v>0.93</v>
      </c>
      <c r="O177" t="str">
        <f>IF(Table5[[#This Row],[hum]]&lt;0.3,"Humid",IF(Table5[[#This Row],[hum]]&gt;=0.3,"High Humid"))</f>
        <v>High Humid</v>
      </c>
      <c r="P177">
        <v>0.1045</v>
      </c>
      <c r="Q177">
        <v>0</v>
      </c>
      <c r="R177">
        <v>3</v>
      </c>
      <c r="S177">
        <v>3</v>
      </c>
    </row>
    <row r="178" spans="1:19" x14ac:dyDescent="0.25">
      <c r="A178">
        <v>718</v>
      </c>
      <c r="B178" s="1">
        <v>40576</v>
      </c>
      <c r="C178">
        <v>1</v>
      </c>
      <c r="D178">
        <v>0</v>
      </c>
      <c r="E178">
        <v>2</v>
      </c>
      <c r="F178">
        <v>6</v>
      </c>
      <c r="G178" t="b">
        <v>0</v>
      </c>
      <c r="H178">
        <v>3</v>
      </c>
      <c r="I178" t="str">
        <f>CHOOSE(H178+1,"Monday","Tuesday","Wednesday","Thursday","Friday","Saturday","Sunday")</f>
        <v>Thursday</v>
      </c>
      <c r="J178">
        <v>3</v>
      </c>
      <c r="K178">
        <v>0.22</v>
      </c>
      <c r="L178" t="str">
        <f>IF(Table5[[#This Row],[temp]]&lt;24,"Cold","Hot")</f>
        <v>Cold</v>
      </c>
      <c r="M178">
        <v>0.2424</v>
      </c>
      <c r="N178">
        <v>0.93</v>
      </c>
      <c r="O178" t="str">
        <f>IF(Table5[[#This Row],[hum]]&lt;0.3,"Humid",IF(Table5[[#This Row],[hum]]&gt;=0.3,"High Humid"))</f>
        <v>High Humid</v>
      </c>
      <c r="P178">
        <v>0.1045</v>
      </c>
      <c r="Q178">
        <v>1</v>
      </c>
      <c r="R178">
        <v>17</v>
      </c>
      <c r="S178">
        <v>18</v>
      </c>
    </row>
    <row r="179" spans="1:19" x14ac:dyDescent="0.25">
      <c r="A179">
        <v>719</v>
      </c>
      <c r="B179" s="1">
        <v>40576</v>
      </c>
      <c r="C179">
        <v>1</v>
      </c>
      <c r="D179">
        <v>0</v>
      </c>
      <c r="E179">
        <v>2</v>
      </c>
      <c r="F179">
        <v>7</v>
      </c>
      <c r="G179" t="b">
        <v>0</v>
      </c>
      <c r="H179">
        <v>3</v>
      </c>
      <c r="I179" t="str">
        <f>CHOOSE(H179+1,"Monday","Tuesday","Wednesday","Thursday","Friday","Saturday","Sunday")</f>
        <v>Thursday</v>
      </c>
      <c r="J179">
        <v>3</v>
      </c>
      <c r="K179">
        <v>0.22</v>
      </c>
      <c r="L179" t="str">
        <f>IF(Table5[[#This Row],[temp]]&lt;24,"Cold","Hot")</f>
        <v>Cold</v>
      </c>
      <c r="M179">
        <v>0.21210000000000001</v>
      </c>
      <c r="N179">
        <v>0.93</v>
      </c>
      <c r="O179" t="str">
        <f>IF(Table5[[#This Row],[hum]]&lt;0.3,"Humid",IF(Table5[[#This Row],[hum]]&gt;=0.3,"High Humid"))</f>
        <v>High Humid</v>
      </c>
      <c r="P179">
        <v>0.22389999999999999</v>
      </c>
      <c r="Q179">
        <v>1</v>
      </c>
      <c r="R179">
        <v>48</v>
      </c>
      <c r="S179">
        <v>49</v>
      </c>
    </row>
    <row r="180" spans="1:19" x14ac:dyDescent="0.25">
      <c r="A180">
        <v>720</v>
      </c>
      <c r="B180" s="1">
        <v>40576</v>
      </c>
      <c r="C180">
        <v>1</v>
      </c>
      <c r="D180">
        <v>0</v>
      </c>
      <c r="E180">
        <v>2</v>
      </c>
      <c r="F180">
        <v>8</v>
      </c>
      <c r="G180" t="b">
        <v>0</v>
      </c>
      <c r="H180">
        <v>3</v>
      </c>
      <c r="I180" t="str">
        <f>CHOOSE(H180+1,"Monday","Tuesday","Wednesday","Thursday","Friday","Saturday","Sunday")</f>
        <v>Thursday</v>
      </c>
      <c r="J180">
        <v>3</v>
      </c>
      <c r="K180">
        <v>0.22</v>
      </c>
      <c r="L180" t="str">
        <f>IF(Table5[[#This Row],[temp]]&lt;24,"Cold","Hot")</f>
        <v>Cold</v>
      </c>
      <c r="M180">
        <v>0.21210000000000001</v>
      </c>
      <c r="N180">
        <v>0.93</v>
      </c>
      <c r="O180" t="str">
        <f>IF(Table5[[#This Row],[hum]]&lt;0.3,"Humid",IF(Table5[[#This Row],[hum]]&gt;=0.3,"High Humid"))</f>
        <v>High Humid</v>
      </c>
      <c r="P180">
        <v>0.22389999999999999</v>
      </c>
      <c r="Q180">
        <v>1</v>
      </c>
      <c r="R180">
        <v>154</v>
      </c>
      <c r="S180">
        <v>155</v>
      </c>
    </row>
    <row r="181" spans="1:19" x14ac:dyDescent="0.25">
      <c r="A181">
        <v>721</v>
      </c>
      <c r="B181" s="1">
        <v>40576</v>
      </c>
      <c r="C181">
        <v>1</v>
      </c>
      <c r="D181">
        <v>0</v>
      </c>
      <c r="E181">
        <v>2</v>
      </c>
      <c r="F181">
        <v>9</v>
      </c>
      <c r="G181" t="b">
        <v>0</v>
      </c>
      <c r="H181">
        <v>3</v>
      </c>
      <c r="I181" t="str">
        <f>CHOOSE(H181+1,"Monday","Tuesday","Wednesday","Thursday","Friday","Saturday","Sunday")</f>
        <v>Thursday</v>
      </c>
      <c r="J181">
        <v>2</v>
      </c>
      <c r="K181">
        <v>0.24</v>
      </c>
      <c r="L181" t="str">
        <f>IF(Table5[[#This Row],[temp]]&lt;24,"Cold","Hot")</f>
        <v>Cold</v>
      </c>
      <c r="M181">
        <v>0.2576</v>
      </c>
      <c r="N181">
        <v>0.93</v>
      </c>
      <c r="O181" t="str">
        <f>IF(Table5[[#This Row],[hum]]&lt;0.3,"Humid",IF(Table5[[#This Row],[hum]]&gt;=0.3,"High Humid"))</f>
        <v>High Humid</v>
      </c>
      <c r="P181">
        <v>8.9599999999999999E-2</v>
      </c>
      <c r="Q181">
        <v>4</v>
      </c>
      <c r="R181">
        <v>119</v>
      </c>
      <c r="S181">
        <v>123</v>
      </c>
    </row>
    <row r="182" spans="1:19" x14ac:dyDescent="0.25">
      <c r="A182">
        <v>722</v>
      </c>
      <c r="B182" s="1">
        <v>40576</v>
      </c>
      <c r="C182">
        <v>1</v>
      </c>
      <c r="D182">
        <v>0</v>
      </c>
      <c r="E182">
        <v>2</v>
      </c>
      <c r="F182">
        <v>10</v>
      </c>
      <c r="G182" t="b">
        <v>0</v>
      </c>
      <c r="H182">
        <v>3</v>
      </c>
      <c r="I182" t="str">
        <f>CHOOSE(H182+1,"Monday","Tuesday","Wednesday","Thursday","Friday","Saturday","Sunday")</f>
        <v>Thursday</v>
      </c>
      <c r="J182">
        <v>2</v>
      </c>
      <c r="K182">
        <v>0.22</v>
      </c>
      <c r="L182" t="str">
        <f>IF(Table5[[#This Row],[temp]]&lt;24,"Cold","Hot")</f>
        <v>Cold</v>
      </c>
      <c r="M182">
        <v>0.2727</v>
      </c>
      <c r="N182">
        <v>1</v>
      </c>
      <c r="O182" t="str">
        <f>IF(Table5[[#This Row],[hum]]&lt;0.3,"Humid",IF(Table5[[#This Row],[hum]]&gt;=0.3,"High Humid"))</f>
        <v>High Humid</v>
      </c>
      <c r="P182">
        <v>0</v>
      </c>
      <c r="Q182">
        <v>2</v>
      </c>
      <c r="R182">
        <v>59</v>
      </c>
      <c r="S182">
        <v>61</v>
      </c>
    </row>
    <row r="183" spans="1:19" x14ac:dyDescent="0.25">
      <c r="A183">
        <v>723</v>
      </c>
      <c r="B183" s="1">
        <v>40576</v>
      </c>
      <c r="C183">
        <v>1</v>
      </c>
      <c r="D183">
        <v>0</v>
      </c>
      <c r="E183">
        <v>2</v>
      </c>
      <c r="F183">
        <v>11</v>
      </c>
      <c r="G183" t="b">
        <v>0</v>
      </c>
      <c r="H183">
        <v>3</v>
      </c>
      <c r="I183" t="str">
        <f>CHOOSE(H183+1,"Monday","Tuesday","Wednesday","Thursday","Friday","Saturday","Sunday")</f>
        <v>Thursday</v>
      </c>
      <c r="J183">
        <v>2</v>
      </c>
      <c r="K183">
        <v>0.24</v>
      </c>
      <c r="L183" t="str">
        <f>IF(Table5[[#This Row],[temp]]&lt;24,"Cold","Hot")</f>
        <v>Cold</v>
      </c>
      <c r="M183">
        <v>0.2273</v>
      </c>
      <c r="N183">
        <v>0.93</v>
      </c>
      <c r="O183" t="str">
        <f>IF(Table5[[#This Row],[hum]]&lt;0.3,"Humid",IF(Table5[[#This Row],[hum]]&gt;=0.3,"High Humid"))</f>
        <v>High Humid</v>
      </c>
      <c r="P183">
        <v>0.19400000000000001</v>
      </c>
      <c r="Q183">
        <v>5</v>
      </c>
      <c r="R183">
        <v>47</v>
      </c>
      <c r="S183">
        <v>52</v>
      </c>
    </row>
    <row r="184" spans="1:19" x14ac:dyDescent="0.25">
      <c r="A184">
        <v>724</v>
      </c>
      <c r="B184" s="1">
        <v>40576</v>
      </c>
      <c r="C184">
        <v>1</v>
      </c>
      <c r="D184">
        <v>0</v>
      </c>
      <c r="E184">
        <v>2</v>
      </c>
      <c r="F184">
        <v>12</v>
      </c>
      <c r="G184" t="b">
        <v>0</v>
      </c>
      <c r="H184">
        <v>3</v>
      </c>
      <c r="I184" t="str">
        <f>CHOOSE(H184+1,"Monday","Tuesday","Wednesday","Thursday","Friday","Saturday","Sunday")</f>
        <v>Thursday</v>
      </c>
      <c r="J184">
        <v>2</v>
      </c>
      <c r="K184">
        <v>0.24</v>
      </c>
      <c r="L184" t="str">
        <f>IF(Table5[[#This Row],[temp]]&lt;24,"Cold","Hot")</f>
        <v>Cold</v>
      </c>
      <c r="M184">
        <v>0.2273</v>
      </c>
      <c r="N184">
        <v>0.93</v>
      </c>
      <c r="O184" t="str">
        <f>IF(Table5[[#This Row],[hum]]&lt;0.3,"Humid",IF(Table5[[#This Row],[hum]]&gt;=0.3,"High Humid"))</f>
        <v>High Humid</v>
      </c>
      <c r="P184">
        <v>0.22389999999999999</v>
      </c>
      <c r="Q184">
        <v>3</v>
      </c>
      <c r="R184">
        <v>61</v>
      </c>
      <c r="S184">
        <v>64</v>
      </c>
    </row>
    <row r="185" spans="1:19" x14ac:dyDescent="0.25">
      <c r="A185">
        <v>725</v>
      </c>
      <c r="B185" s="1">
        <v>40576</v>
      </c>
      <c r="C185">
        <v>1</v>
      </c>
      <c r="D185">
        <v>0</v>
      </c>
      <c r="E185">
        <v>2</v>
      </c>
      <c r="F185">
        <v>13</v>
      </c>
      <c r="G185" t="b">
        <v>0</v>
      </c>
      <c r="H185">
        <v>3</v>
      </c>
      <c r="I185" t="str">
        <f>CHOOSE(H185+1,"Monday","Tuesday","Wednesday","Thursday","Friday","Saturday","Sunday")</f>
        <v>Thursday</v>
      </c>
      <c r="J185">
        <v>1</v>
      </c>
      <c r="K185">
        <v>0.34</v>
      </c>
      <c r="L185" t="str">
        <f>IF(Table5[[#This Row],[temp]]&lt;24,"Cold","Hot")</f>
        <v>Cold</v>
      </c>
      <c r="M185">
        <v>0.33329999999999999</v>
      </c>
      <c r="N185">
        <v>0.93</v>
      </c>
      <c r="O185" t="str">
        <f>IF(Table5[[#This Row],[hum]]&lt;0.3,"Humid",IF(Table5[[#This Row],[hum]]&gt;=0.3,"High Humid"))</f>
        <v>High Humid</v>
      </c>
      <c r="P185">
        <v>0.16420000000000001</v>
      </c>
      <c r="Q185">
        <v>1</v>
      </c>
      <c r="R185">
        <v>74</v>
      </c>
      <c r="S185">
        <v>75</v>
      </c>
    </row>
    <row r="186" spans="1:19" x14ac:dyDescent="0.25">
      <c r="A186">
        <v>726</v>
      </c>
      <c r="B186" s="1">
        <v>40576</v>
      </c>
      <c r="C186">
        <v>1</v>
      </c>
      <c r="D186">
        <v>0</v>
      </c>
      <c r="E186">
        <v>2</v>
      </c>
      <c r="F186">
        <v>14</v>
      </c>
      <c r="G186" t="b">
        <v>0</v>
      </c>
      <c r="H186">
        <v>3</v>
      </c>
      <c r="I186" t="str">
        <f>CHOOSE(H186+1,"Monday","Tuesday","Wednesday","Thursday","Friday","Saturday","Sunday")</f>
        <v>Thursday</v>
      </c>
      <c r="J186">
        <v>1</v>
      </c>
      <c r="K186">
        <v>0.38</v>
      </c>
      <c r="L186" t="str">
        <f>IF(Table5[[#This Row],[temp]]&lt;24,"Cold","Hot")</f>
        <v>Cold</v>
      </c>
      <c r="M186">
        <v>0.39389999999999997</v>
      </c>
      <c r="N186">
        <v>0.82</v>
      </c>
      <c r="O186" t="str">
        <f>IF(Table5[[#This Row],[hum]]&lt;0.3,"Humid",IF(Table5[[#This Row],[hum]]&gt;=0.3,"High Humid"))</f>
        <v>High Humid</v>
      </c>
      <c r="P186">
        <v>0.3881</v>
      </c>
      <c r="Q186">
        <v>2</v>
      </c>
      <c r="R186">
        <v>61</v>
      </c>
      <c r="S186">
        <v>63</v>
      </c>
    </row>
    <row r="187" spans="1:19" x14ac:dyDescent="0.25">
      <c r="A187">
        <v>727</v>
      </c>
      <c r="B187" s="1">
        <v>40576</v>
      </c>
      <c r="C187">
        <v>1</v>
      </c>
      <c r="D187">
        <v>0</v>
      </c>
      <c r="E187">
        <v>2</v>
      </c>
      <c r="F187">
        <v>15</v>
      </c>
      <c r="G187" t="b">
        <v>0</v>
      </c>
      <c r="H187">
        <v>3</v>
      </c>
      <c r="I187" t="str">
        <f>CHOOSE(H187+1,"Monday","Tuesday","Wednesday","Thursday","Friday","Saturday","Sunday")</f>
        <v>Thursday</v>
      </c>
      <c r="J187">
        <v>1</v>
      </c>
      <c r="K187">
        <v>0.38</v>
      </c>
      <c r="L187" t="str">
        <f>IF(Table5[[#This Row],[temp]]&lt;24,"Cold","Hot")</f>
        <v>Cold</v>
      </c>
      <c r="M187">
        <v>0.39389999999999997</v>
      </c>
      <c r="N187">
        <v>0.76</v>
      </c>
      <c r="O187" t="str">
        <f>IF(Table5[[#This Row],[hum]]&lt;0.3,"Humid",IF(Table5[[#This Row],[hum]]&gt;=0.3,"High Humid"))</f>
        <v>High Humid</v>
      </c>
      <c r="P187">
        <v>0.32840000000000003</v>
      </c>
      <c r="Q187">
        <v>10</v>
      </c>
      <c r="R187">
        <v>66</v>
      </c>
      <c r="S187">
        <v>76</v>
      </c>
    </row>
    <row r="188" spans="1:19" x14ac:dyDescent="0.25">
      <c r="A188">
        <v>728</v>
      </c>
      <c r="B188" s="1">
        <v>40576</v>
      </c>
      <c r="C188">
        <v>1</v>
      </c>
      <c r="D188">
        <v>0</v>
      </c>
      <c r="E188">
        <v>2</v>
      </c>
      <c r="F188">
        <v>16</v>
      </c>
      <c r="G188" t="b">
        <v>0</v>
      </c>
      <c r="H188">
        <v>3</v>
      </c>
      <c r="I188" t="str">
        <f>CHOOSE(H188+1,"Monday","Tuesday","Wednesday","Thursday","Friday","Saturday","Sunday")</f>
        <v>Thursday</v>
      </c>
      <c r="J188">
        <v>1</v>
      </c>
      <c r="K188">
        <v>0.36</v>
      </c>
      <c r="L188" t="str">
        <f>IF(Table5[[#This Row],[temp]]&lt;24,"Cold","Hot")</f>
        <v>Cold</v>
      </c>
      <c r="M188">
        <v>0.33329999999999999</v>
      </c>
      <c r="N188">
        <v>0.71</v>
      </c>
      <c r="O188" t="str">
        <f>IF(Table5[[#This Row],[hum]]&lt;0.3,"Humid",IF(Table5[[#This Row],[hum]]&gt;=0.3,"High Humid"))</f>
        <v>High Humid</v>
      </c>
      <c r="P188">
        <v>0.29849999999999999</v>
      </c>
      <c r="Q188">
        <v>8</v>
      </c>
      <c r="R188">
        <v>95</v>
      </c>
      <c r="S188">
        <v>103</v>
      </c>
    </row>
    <row r="189" spans="1:19" x14ac:dyDescent="0.25">
      <c r="A189">
        <v>729</v>
      </c>
      <c r="B189" s="1">
        <v>40576</v>
      </c>
      <c r="C189">
        <v>1</v>
      </c>
      <c r="D189">
        <v>0</v>
      </c>
      <c r="E189">
        <v>2</v>
      </c>
      <c r="F189">
        <v>17</v>
      </c>
      <c r="G189" t="b">
        <v>0</v>
      </c>
      <c r="H189">
        <v>3</v>
      </c>
      <c r="I189" t="str">
        <f>CHOOSE(H189+1,"Monday","Tuesday","Wednesday","Thursday","Friday","Saturday","Sunday")</f>
        <v>Thursday</v>
      </c>
      <c r="J189">
        <v>1</v>
      </c>
      <c r="K189">
        <v>0.36</v>
      </c>
      <c r="L189" t="str">
        <f>IF(Table5[[#This Row],[temp]]&lt;24,"Cold","Hot")</f>
        <v>Cold</v>
      </c>
      <c r="M189">
        <v>0.31819999999999998</v>
      </c>
      <c r="N189">
        <v>0.53</v>
      </c>
      <c r="O189" t="str">
        <f>IF(Table5[[#This Row],[hum]]&lt;0.3,"Humid",IF(Table5[[#This Row],[hum]]&gt;=0.3,"High Humid"))</f>
        <v>High Humid</v>
      </c>
      <c r="P189">
        <v>0.52239999999999998</v>
      </c>
      <c r="Q189">
        <v>7</v>
      </c>
      <c r="R189">
        <v>183</v>
      </c>
      <c r="S189">
        <v>190</v>
      </c>
    </row>
    <row r="190" spans="1:19" x14ac:dyDescent="0.25">
      <c r="A190">
        <v>730</v>
      </c>
      <c r="B190" s="1">
        <v>40576</v>
      </c>
      <c r="C190">
        <v>1</v>
      </c>
      <c r="D190">
        <v>0</v>
      </c>
      <c r="E190">
        <v>2</v>
      </c>
      <c r="F190">
        <v>18</v>
      </c>
      <c r="G190" t="b">
        <v>0</v>
      </c>
      <c r="H190">
        <v>3</v>
      </c>
      <c r="I190" t="str">
        <f>CHOOSE(H190+1,"Monday","Tuesday","Wednesday","Thursday","Friday","Saturday","Sunday")</f>
        <v>Thursday</v>
      </c>
      <c r="J190">
        <v>1</v>
      </c>
      <c r="K190">
        <v>0.34</v>
      </c>
      <c r="L190" t="str">
        <f>IF(Table5[[#This Row],[temp]]&lt;24,"Cold","Hot")</f>
        <v>Cold</v>
      </c>
      <c r="M190">
        <v>0.28789999999999999</v>
      </c>
      <c r="N190">
        <v>0.42</v>
      </c>
      <c r="O190" t="str">
        <f>IF(Table5[[#This Row],[hum]]&lt;0.3,"Humid",IF(Table5[[#This Row],[hum]]&gt;=0.3,"High Humid"))</f>
        <v>High Humid</v>
      </c>
      <c r="P190">
        <v>0.55220000000000002</v>
      </c>
      <c r="Q190">
        <v>7</v>
      </c>
      <c r="R190">
        <v>175</v>
      </c>
      <c r="S190">
        <v>182</v>
      </c>
    </row>
    <row r="191" spans="1:19" x14ac:dyDescent="0.25">
      <c r="A191">
        <v>731</v>
      </c>
      <c r="B191" s="1">
        <v>40576</v>
      </c>
      <c r="C191">
        <v>1</v>
      </c>
      <c r="D191">
        <v>0</v>
      </c>
      <c r="E191">
        <v>2</v>
      </c>
      <c r="F191">
        <v>19</v>
      </c>
      <c r="G191" t="b">
        <v>0</v>
      </c>
      <c r="H191">
        <v>3</v>
      </c>
      <c r="I191" t="str">
        <f>CHOOSE(H191+1,"Monday","Tuesday","Wednesday","Thursday","Friday","Saturday","Sunday")</f>
        <v>Thursday</v>
      </c>
      <c r="J191">
        <v>1</v>
      </c>
      <c r="K191">
        <v>0.28000000000000003</v>
      </c>
      <c r="L191" t="str">
        <f>IF(Table5[[#This Row],[temp]]&lt;24,"Cold","Hot")</f>
        <v>Cold</v>
      </c>
      <c r="M191">
        <v>0.2424</v>
      </c>
      <c r="N191">
        <v>0.45</v>
      </c>
      <c r="O191" t="str">
        <f>IF(Table5[[#This Row],[hum]]&lt;0.3,"Humid",IF(Table5[[#This Row],[hum]]&gt;=0.3,"High Humid"))</f>
        <v>High Humid</v>
      </c>
      <c r="P191">
        <v>0.49249999999999999</v>
      </c>
      <c r="Q191">
        <v>3</v>
      </c>
      <c r="R191">
        <v>88</v>
      </c>
      <c r="S191">
        <v>91</v>
      </c>
    </row>
    <row r="192" spans="1:19" x14ac:dyDescent="0.25">
      <c r="A192">
        <v>732</v>
      </c>
      <c r="B192" s="1">
        <v>40576</v>
      </c>
      <c r="C192">
        <v>1</v>
      </c>
      <c r="D192">
        <v>0</v>
      </c>
      <c r="E192">
        <v>2</v>
      </c>
      <c r="F192">
        <v>20</v>
      </c>
      <c r="G192" t="b">
        <v>0</v>
      </c>
      <c r="H192">
        <v>3</v>
      </c>
      <c r="I192" t="str">
        <f>CHOOSE(H192+1,"Monday","Tuesday","Wednesday","Thursday","Friday","Saturday","Sunday")</f>
        <v>Thursday</v>
      </c>
      <c r="J192">
        <v>1</v>
      </c>
      <c r="K192">
        <v>0.24</v>
      </c>
      <c r="L192" t="str">
        <f>IF(Table5[[#This Row],[temp]]&lt;24,"Cold","Hot")</f>
        <v>Cold</v>
      </c>
      <c r="M192">
        <v>0.19700000000000001</v>
      </c>
      <c r="N192">
        <v>0.48</v>
      </c>
      <c r="O192" t="str">
        <f>IF(Table5[[#This Row],[hum]]&lt;0.3,"Humid",IF(Table5[[#This Row],[hum]]&gt;=0.3,"High Humid"))</f>
        <v>High Humid</v>
      </c>
      <c r="P192">
        <v>0.55220000000000002</v>
      </c>
      <c r="Q192">
        <v>4</v>
      </c>
      <c r="R192">
        <v>71</v>
      </c>
      <c r="S192">
        <v>75</v>
      </c>
    </row>
    <row r="193" spans="1:19" x14ac:dyDescent="0.25">
      <c r="A193">
        <v>733</v>
      </c>
      <c r="B193" s="1">
        <v>40576</v>
      </c>
      <c r="C193">
        <v>1</v>
      </c>
      <c r="D193">
        <v>0</v>
      </c>
      <c r="E193">
        <v>2</v>
      </c>
      <c r="F193">
        <v>21</v>
      </c>
      <c r="G193" t="b">
        <v>0</v>
      </c>
      <c r="H193">
        <v>3</v>
      </c>
      <c r="I193" t="str">
        <f>CHOOSE(H193+1,"Monday","Tuesday","Wednesday","Thursday","Friday","Saturday","Sunday")</f>
        <v>Thursday</v>
      </c>
      <c r="J193">
        <v>1</v>
      </c>
      <c r="K193">
        <v>0.22</v>
      </c>
      <c r="L193" t="str">
        <f>IF(Table5[[#This Row],[temp]]&lt;24,"Cold","Hot")</f>
        <v>Cold</v>
      </c>
      <c r="M193">
        <v>0.19700000000000001</v>
      </c>
      <c r="N193">
        <v>0.47</v>
      </c>
      <c r="O193" t="str">
        <f>IF(Table5[[#This Row],[hum]]&lt;0.3,"Humid",IF(Table5[[#This Row],[hum]]&gt;=0.3,"High Humid"))</f>
        <v>High Humid</v>
      </c>
      <c r="P193">
        <v>0.32840000000000003</v>
      </c>
      <c r="Q193">
        <v>1</v>
      </c>
      <c r="R193">
        <v>62</v>
      </c>
      <c r="S193">
        <v>63</v>
      </c>
    </row>
    <row r="194" spans="1:19" x14ac:dyDescent="0.25">
      <c r="A194">
        <v>734</v>
      </c>
      <c r="B194" s="1">
        <v>40576</v>
      </c>
      <c r="C194">
        <v>1</v>
      </c>
      <c r="D194">
        <v>0</v>
      </c>
      <c r="E194">
        <v>2</v>
      </c>
      <c r="F194">
        <v>22</v>
      </c>
      <c r="G194" t="b">
        <v>0</v>
      </c>
      <c r="H194">
        <v>3</v>
      </c>
      <c r="I194" t="str">
        <f>CHOOSE(H194+1,"Monday","Tuesday","Wednesday","Thursday","Friday","Saturday","Sunday")</f>
        <v>Thursday</v>
      </c>
      <c r="J194">
        <v>1</v>
      </c>
      <c r="K194">
        <v>0.22</v>
      </c>
      <c r="L194" t="str">
        <f>IF(Table5[[#This Row],[temp]]&lt;24,"Cold","Hot")</f>
        <v>Cold</v>
      </c>
      <c r="M194">
        <v>0.21210000000000001</v>
      </c>
      <c r="N194">
        <v>0.44</v>
      </c>
      <c r="O194" t="str">
        <f>IF(Table5[[#This Row],[hum]]&lt;0.3,"Humid",IF(Table5[[#This Row],[hum]]&gt;=0.3,"High Humid"))</f>
        <v>High Humid</v>
      </c>
      <c r="P194">
        <v>0.25369999999999998</v>
      </c>
      <c r="Q194">
        <v>5</v>
      </c>
      <c r="R194">
        <v>35</v>
      </c>
      <c r="S194">
        <v>40</v>
      </c>
    </row>
    <row r="195" spans="1:19" x14ac:dyDescent="0.25">
      <c r="A195">
        <v>735</v>
      </c>
      <c r="B195" s="1">
        <v>40576</v>
      </c>
      <c r="C195">
        <v>1</v>
      </c>
      <c r="D195">
        <v>0</v>
      </c>
      <c r="E195">
        <v>2</v>
      </c>
      <c r="F195">
        <v>23</v>
      </c>
      <c r="G195" t="b">
        <v>0</v>
      </c>
      <c r="H195">
        <v>3</v>
      </c>
      <c r="I195" t="str">
        <f>CHOOSE(H195+1,"Monday","Tuesday","Wednesday","Thursday","Friday","Saturday","Sunday")</f>
        <v>Thursday</v>
      </c>
      <c r="J195">
        <v>1</v>
      </c>
      <c r="K195">
        <v>0.2</v>
      </c>
      <c r="L195" t="str">
        <f>IF(Table5[[#This Row],[temp]]&lt;24,"Cold","Hot")</f>
        <v>Cold</v>
      </c>
      <c r="M195">
        <v>0.16669999999999999</v>
      </c>
      <c r="N195">
        <v>0.44</v>
      </c>
      <c r="O195" t="str">
        <f>IF(Table5[[#This Row],[hum]]&lt;0.3,"Humid",IF(Table5[[#This Row],[hum]]&gt;=0.3,"High Humid"))</f>
        <v>High Humid</v>
      </c>
      <c r="P195">
        <v>0.44779999999999998</v>
      </c>
      <c r="Q195">
        <v>3</v>
      </c>
      <c r="R195">
        <v>29</v>
      </c>
      <c r="S195">
        <v>32</v>
      </c>
    </row>
    <row r="196" spans="1:19" x14ac:dyDescent="0.25">
      <c r="A196">
        <v>878</v>
      </c>
      <c r="B196" s="1">
        <v>40583</v>
      </c>
      <c r="C196">
        <v>1</v>
      </c>
      <c r="D196">
        <v>0</v>
      </c>
      <c r="E196">
        <v>2</v>
      </c>
      <c r="F196">
        <v>0</v>
      </c>
      <c r="G196" t="b">
        <v>0</v>
      </c>
      <c r="H196">
        <v>3</v>
      </c>
      <c r="I196" t="str">
        <f>CHOOSE(H196+1,"Monday","Tuesday","Wednesday","Thursday","Friday","Saturday","Sunday")</f>
        <v>Thursday</v>
      </c>
      <c r="J196">
        <v>1</v>
      </c>
      <c r="K196">
        <v>0.1</v>
      </c>
      <c r="L196" t="str">
        <f>IF(Table5[[#This Row],[temp]]&lt;24,"Cold","Hot")</f>
        <v>Cold</v>
      </c>
      <c r="M196">
        <v>7.5800000000000006E-2</v>
      </c>
      <c r="N196">
        <v>0.36</v>
      </c>
      <c r="O196" t="str">
        <f>IF(Table5[[#This Row],[hum]]&lt;0.3,"Humid",IF(Table5[[#This Row],[hum]]&gt;=0.3,"High Humid"))</f>
        <v>High Humid</v>
      </c>
      <c r="P196">
        <v>0.35820000000000002</v>
      </c>
      <c r="Q196">
        <v>0</v>
      </c>
      <c r="R196">
        <v>17</v>
      </c>
      <c r="S196">
        <v>17</v>
      </c>
    </row>
    <row r="197" spans="1:19" x14ac:dyDescent="0.25">
      <c r="A197">
        <v>879</v>
      </c>
      <c r="B197" s="1">
        <v>40583</v>
      </c>
      <c r="C197">
        <v>1</v>
      </c>
      <c r="D197">
        <v>0</v>
      </c>
      <c r="E197">
        <v>2</v>
      </c>
      <c r="F197">
        <v>1</v>
      </c>
      <c r="G197" t="b">
        <v>0</v>
      </c>
      <c r="H197">
        <v>3</v>
      </c>
      <c r="I197" t="str">
        <f>CHOOSE(H197+1,"Monday","Tuesday","Wednesday","Thursday","Friday","Saturday","Sunday")</f>
        <v>Thursday</v>
      </c>
      <c r="J197">
        <v>1</v>
      </c>
      <c r="K197">
        <v>0.1</v>
      </c>
      <c r="L197" t="str">
        <f>IF(Table5[[#This Row],[temp]]&lt;24,"Cold","Hot")</f>
        <v>Cold</v>
      </c>
      <c r="M197">
        <v>0.1061</v>
      </c>
      <c r="N197">
        <v>0.36</v>
      </c>
      <c r="O197" t="str">
        <f>IF(Table5[[#This Row],[hum]]&lt;0.3,"Humid",IF(Table5[[#This Row],[hum]]&gt;=0.3,"High Humid"))</f>
        <v>High Humid</v>
      </c>
      <c r="P197">
        <v>0.22389999999999999</v>
      </c>
      <c r="Q197">
        <v>0</v>
      </c>
      <c r="R197">
        <v>7</v>
      </c>
      <c r="S197">
        <v>7</v>
      </c>
    </row>
    <row r="198" spans="1:19" x14ac:dyDescent="0.25">
      <c r="A198">
        <v>880</v>
      </c>
      <c r="B198" s="1">
        <v>40583</v>
      </c>
      <c r="C198">
        <v>1</v>
      </c>
      <c r="D198">
        <v>0</v>
      </c>
      <c r="E198">
        <v>2</v>
      </c>
      <c r="F198">
        <v>2</v>
      </c>
      <c r="G198" t="b">
        <v>0</v>
      </c>
      <c r="H198">
        <v>3</v>
      </c>
      <c r="I198" t="str">
        <f>CHOOSE(H198+1,"Monday","Tuesday","Wednesday","Thursday","Friday","Saturday","Sunday")</f>
        <v>Thursday</v>
      </c>
      <c r="J198">
        <v>1</v>
      </c>
      <c r="K198">
        <v>0.08</v>
      </c>
      <c r="L198" t="str">
        <f>IF(Table5[[#This Row],[temp]]&lt;24,"Cold","Hot")</f>
        <v>Cold</v>
      </c>
      <c r="M198">
        <v>7.5800000000000006E-2</v>
      </c>
      <c r="N198">
        <v>0.38</v>
      </c>
      <c r="O198" t="str">
        <f>IF(Table5[[#This Row],[hum]]&lt;0.3,"Humid",IF(Table5[[#This Row],[hum]]&gt;=0.3,"High Humid"))</f>
        <v>High Humid</v>
      </c>
      <c r="P198">
        <v>0.28360000000000002</v>
      </c>
      <c r="Q198">
        <v>1</v>
      </c>
      <c r="R198">
        <v>2</v>
      </c>
      <c r="S198">
        <v>3</v>
      </c>
    </row>
    <row r="199" spans="1:19" x14ac:dyDescent="0.25">
      <c r="A199">
        <v>881</v>
      </c>
      <c r="B199" s="1">
        <v>40583</v>
      </c>
      <c r="C199">
        <v>1</v>
      </c>
      <c r="D199">
        <v>0</v>
      </c>
      <c r="E199">
        <v>2</v>
      </c>
      <c r="F199">
        <v>3</v>
      </c>
      <c r="G199" t="b">
        <v>0</v>
      </c>
      <c r="H199">
        <v>3</v>
      </c>
      <c r="I199" t="str">
        <f>CHOOSE(H199+1,"Monday","Tuesday","Wednesday","Thursday","Friday","Saturday","Sunday")</f>
        <v>Thursday</v>
      </c>
      <c r="J199">
        <v>1</v>
      </c>
      <c r="K199">
        <v>0.06</v>
      </c>
      <c r="L199" t="str">
        <f>IF(Table5[[#This Row],[temp]]&lt;24,"Cold","Hot")</f>
        <v>Cold</v>
      </c>
      <c r="M199">
        <v>7.5800000000000006E-2</v>
      </c>
      <c r="N199">
        <v>0.45</v>
      </c>
      <c r="O199" t="str">
        <f>IF(Table5[[#This Row],[hum]]&lt;0.3,"Humid",IF(Table5[[#This Row],[hum]]&gt;=0.3,"High Humid"))</f>
        <v>High Humid</v>
      </c>
      <c r="P199">
        <v>0.1343</v>
      </c>
      <c r="Q199">
        <v>0</v>
      </c>
      <c r="R199">
        <v>2</v>
      </c>
      <c r="S199">
        <v>2</v>
      </c>
    </row>
    <row r="200" spans="1:19" x14ac:dyDescent="0.25">
      <c r="A200">
        <v>882</v>
      </c>
      <c r="B200" s="1">
        <v>40583</v>
      </c>
      <c r="C200">
        <v>1</v>
      </c>
      <c r="D200">
        <v>0</v>
      </c>
      <c r="E200">
        <v>2</v>
      </c>
      <c r="F200">
        <v>5</v>
      </c>
      <c r="G200" t="b">
        <v>0</v>
      </c>
      <c r="H200">
        <v>3</v>
      </c>
      <c r="I200" t="str">
        <f>CHOOSE(H200+1,"Monday","Tuesday","Wednesday","Thursday","Friday","Saturday","Sunday")</f>
        <v>Thursday</v>
      </c>
      <c r="J200">
        <v>1</v>
      </c>
      <c r="K200">
        <v>0.06</v>
      </c>
      <c r="L200" t="str">
        <f>IF(Table5[[#This Row],[temp]]&lt;24,"Cold","Hot")</f>
        <v>Cold</v>
      </c>
      <c r="M200">
        <v>0.1061</v>
      </c>
      <c r="N200">
        <v>0.45</v>
      </c>
      <c r="O200" t="str">
        <f>IF(Table5[[#This Row],[hum]]&lt;0.3,"Humid",IF(Table5[[#This Row],[hum]]&gt;=0.3,"High Humid"))</f>
        <v>High Humid</v>
      </c>
      <c r="P200">
        <v>0.1045</v>
      </c>
      <c r="Q200">
        <v>0</v>
      </c>
      <c r="R200">
        <v>7</v>
      </c>
      <c r="S200">
        <v>7</v>
      </c>
    </row>
    <row r="201" spans="1:19" x14ac:dyDescent="0.25">
      <c r="A201">
        <v>883</v>
      </c>
      <c r="B201" s="1">
        <v>40583</v>
      </c>
      <c r="C201">
        <v>1</v>
      </c>
      <c r="D201">
        <v>0</v>
      </c>
      <c r="E201">
        <v>2</v>
      </c>
      <c r="F201">
        <v>6</v>
      </c>
      <c r="G201" t="b">
        <v>0</v>
      </c>
      <c r="H201">
        <v>3</v>
      </c>
      <c r="I201" t="str">
        <f>CHOOSE(H201+1,"Monday","Tuesday","Wednesday","Thursday","Friday","Saturday","Sunday")</f>
        <v>Thursday</v>
      </c>
      <c r="J201">
        <v>1</v>
      </c>
      <c r="K201">
        <v>0.06</v>
      </c>
      <c r="L201" t="str">
        <f>IF(Table5[[#This Row],[temp]]&lt;24,"Cold","Hot")</f>
        <v>Cold</v>
      </c>
      <c r="M201">
        <v>0.1515</v>
      </c>
      <c r="N201">
        <v>0.45</v>
      </c>
      <c r="O201" t="str">
        <f>IF(Table5[[#This Row],[hum]]&lt;0.3,"Humid",IF(Table5[[#This Row],[hum]]&gt;=0.3,"High Humid"))</f>
        <v>High Humid</v>
      </c>
      <c r="P201">
        <v>0</v>
      </c>
      <c r="Q201">
        <v>0</v>
      </c>
      <c r="R201">
        <v>43</v>
      </c>
      <c r="S201">
        <v>43</v>
      </c>
    </row>
    <row r="202" spans="1:19" x14ac:dyDescent="0.25">
      <c r="A202">
        <v>884</v>
      </c>
      <c r="B202" s="1">
        <v>40583</v>
      </c>
      <c r="C202">
        <v>1</v>
      </c>
      <c r="D202">
        <v>0</v>
      </c>
      <c r="E202">
        <v>2</v>
      </c>
      <c r="F202">
        <v>7</v>
      </c>
      <c r="G202" t="b">
        <v>0</v>
      </c>
      <c r="H202">
        <v>3</v>
      </c>
      <c r="I202" t="str">
        <f>CHOOSE(H202+1,"Monday","Tuesday","Wednesday","Thursday","Friday","Saturday","Sunday")</f>
        <v>Thursday</v>
      </c>
      <c r="J202">
        <v>1</v>
      </c>
      <c r="K202">
        <v>0.06</v>
      </c>
      <c r="L202" t="str">
        <f>IF(Table5[[#This Row],[temp]]&lt;24,"Cold","Hot")</f>
        <v>Cold</v>
      </c>
      <c r="M202">
        <v>0.1061</v>
      </c>
      <c r="N202">
        <v>0.49</v>
      </c>
      <c r="O202" t="str">
        <f>IF(Table5[[#This Row],[hum]]&lt;0.3,"Humid",IF(Table5[[#This Row],[hum]]&gt;=0.3,"High Humid"))</f>
        <v>High Humid</v>
      </c>
      <c r="P202">
        <v>0.1045</v>
      </c>
      <c r="Q202">
        <v>4</v>
      </c>
      <c r="R202">
        <v>95</v>
      </c>
      <c r="S202">
        <v>99</v>
      </c>
    </row>
    <row r="203" spans="1:19" x14ac:dyDescent="0.25">
      <c r="A203">
        <v>885</v>
      </c>
      <c r="B203" s="1">
        <v>40583</v>
      </c>
      <c r="C203">
        <v>1</v>
      </c>
      <c r="D203">
        <v>0</v>
      </c>
      <c r="E203">
        <v>2</v>
      </c>
      <c r="F203">
        <v>8</v>
      </c>
      <c r="G203" t="b">
        <v>0</v>
      </c>
      <c r="H203">
        <v>3</v>
      </c>
      <c r="I203" t="str">
        <f>CHOOSE(H203+1,"Monday","Tuesday","Wednesday","Thursday","Friday","Saturday","Sunday")</f>
        <v>Thursday</v>
      </c>
      <c r="J203">
        <v>1</v>
      </c>
      <c r="K203">
        <v>0.1</v>
      </c>
      <c r="L203" t="str">
        <f>IF(Table5[[#This Row],[temp]]&lt;24,"Cold","Hot")</f>
        <v>Cold</v>
      </c>
      <c r="M203">
        <v>0.13639999999999999</v>
      </c>
      <c r="N203">
        <v>0.42</v>
      </c>
      <c r="O203" t="str">
        <f>IF(Table5[[#This Row],[hum]]&lt;0.3,"Humid",IF(Table5[[#This Row],[hum]]&gt;=0.3,"High Humid"))</f>
        <v>High Humid</v>
      </c>
      <c r="P203">
        <v>0</v>
      </c>
      <c r="Q203">
        <v>1</v>
      </c>
      <c r="R203">
        <v>198</v>
      </c>
      <c r="S203">
        <v>199</v>
      </c>
    </row>
    <row r="204" spans="1:19" x14ac:dyDescent="0.25">
      <c r="A204">
        <v>886</v>
      </c>
      <c r="B204" s="1">
        <v>40583</v>
      </c>
      <c r="C204">
        <v>1</v>
      </c>
      <c r="D204">
        <v>0</v>
      </c>
      <c r="E204">
        <v>2</v>
      </c>
      <c r="F204">
        <v>9</v>
      </c>
      <c r="G204" t="b">
        <v>0</v>
      </c>
      <c r="H204">
        <v>3</v>
      </c>
      <c r="I204" t="str">
        <f>CHOOSE(H204+1,"Monday","Tuesday","Wednesday","Thursday","Friday","Saturday","Sunday")</f>
        <v>Thursday</v>
      </c>
      <c r="J204">
        <v>1</v>
      </c>
      <c r="K204">
        <v>0.12</v>
      </c>
      <c r="L204" t="str">
        <f>IF(Table5[[#This Row],[temp]]&lt;24,"Cold","Hot")</f>
        <v>Cold</v>
      </c>
      <c r="M204">
        <v>0.13639999999999999</v>
      </c>
      <c r="N204">
        <v>0.39</v>
      </c>
      <c r="O204" t="str">
        <f>IF(Table5[[#This Row],[hum]]&lt;0.3,"Humid",IF(Table5[[#This Row],[hum]]&gt;=0.3,"High Humid"))</f>
        <v>High Humid</v>
      </c>
      <c r="P204">
        <v>0.16420000000000001</v>
      </c>
      <c r="Q204">
        <v>4</v>
      </c>
      <c r="R204">
        <v>119</v>
      </c>
      <c r="S204">
        <v>123</v>
      </c>
    </row>
    <row r="205" spans="1:19" x14ac:dyDescent="0.25">
      <c r="A205">
        <v>887</v>
      </c>
      <c r="B205" s="1">
        <v>40583</v>
      </c>
      <c r="C205">
        <v>1</v>
      </c>
      <c r="D205">
        <v>0</v>
      </c>
      <c r="E205">
        <v>2</v>
      </c>
      <c r="F205">
        <v>10</v>
      </c>
      <c r="G205" t="b">
        <v>0</v>
      </c>
      <c r="H205">
        <v>3</v>
      </c>
      <c r="I205" t="str">
        <f>CHOOSE(H205+1,"Monday","Tuesday","Wednesday","Thursday","Friday","Saturday","Sunday")</f>
        <v>Thursday</v>
      </c>
      <c r="J205">
        <v>1</v>
      </c>
      <c r="K205">
        <v>0.14000000000000001</v>
      </c>
      <c r="L205" t="str">
        <f>IF(Table5[[#This Row],[temp]]&lt;24,"Cold","Hot")</f>
        <v>Cold</v>
      </c>
      <c r="M205">
        <v>0.18179999999999999</v>
      </c>
      <c r="N205">
        <v>0.36</v>
      </c>
      <c r="O205" t="str">
        <f>IF(Table5[[#This Row],[hum]]&lt;0.3,"Humid",IF(Table5[[#This Row],[hum]]&gt;=0.3,"High Humid"))</f>
        <v>High Humid</v>
      </c>
      <c r="P205">
        <v>0</v>
      </c>
      <c r="Q205">
        <v>8</v>
      </c>
      <c r="R205">
        <v>51</v>
      </c>
      <c r="S205">
        <v>59</v>
      </c>
    </row>
    <row r="206" spans="1:19" x14ac:dyDescent="0.25">
      <c r="A206">
        <v>888</v>
      </c>
      <c r="B206" s="1">
        <v>40583</v>
      </c>
      <c r="C206">
        <v>1</v>
      </c>
      <c r="D206">
        <v>0</v>
      </c>
      <c r="E206">
        <v>2</v>
      </c>
      <c r="F206">
        <v>11</v>
      </c>
      <c r="G206" t="b">
        <v>0</v>
      </c>
      <c r="H206">
        <v>3</v>
      </c>
      <c r="I206" t="str">
        <f>CHOOSE(H206+1,"Monday","Tuesday","Wednesday","Thursday","Friday","Saturday","Sunday")</f>
        <v>Thursday</v>
      </c>
      <c r="J206">
        <v>2</v>
      </c>
      <c r="K206">
        <v>0.14000000000000001</v>
      </c>
      <c r="L206" t="str">
        <f>IF(Table5[[#This Row],[temp]]&lt;24,"Cold","Hot")</f>
        <v>Cold</v>
      </c>
      <c r="M206">
        <v>0.1515</v>
      </c>
      <c r="N206">
        <v>0.43</v>
      </c>
      <c r="O206" t="str">
        <f>IF(Table5[[#This Row],[hum]]&lt;0.3,"Humid",IF(Table5[[#This Row],[hum]]&gt;=0.3,"High Humid"))</f>
        <v>High Humid</v>
      </c>
      <c r="P206">
        <v>0.16420000000000001</v>
      </c>
      <c r="Q206">
        <v>1</v>
      </c>
      <c r="R206">
        <v>40</v>
      </c>
      <c r="S206">
        <v>41</v>
      </c>
    </row>
    <row r="207" spans="1:19" x14ac:dyDescent="0.25">
      <c r="A207">
        <v>889</v>
      </c>
      <c r="B207" s="1">
        <v>40583</v>
      </c>
      <c r="C207">
        <v>1</v>
      </c>
      <c r="D207">
        <v>0</v>
      </c>
      <c r="E207">
        <v>2</v>
      </c>
      <c r="F207">
        <v>12</v>
      </c>
      <c r="G207" t="b">
        <v>0</v>
      </c>
      <c r="H207">
        <v>3</v>
      </c>
      <c r="I207" t="str">
        <f>CHOOSE(H207+1,"Monday","Tuesday","Wednesday","Thursday","Friday","Saturday","Sunday")</f>
        <v>Thursday</v>
      </c>
      <c r="J207">
        <v>2</v>
      </c>
      <c r="K207">
        <v>0.18</v>
      </c>
      <c r="L207" t="str">
        <f>IF(Table5[[#This Row],[temp]]&lt;24,"Cold","Hot")</f>
        <v>Cold</v>
      </c>
      <c r="M207">
        <v>0.18179999999999999</v>
      </c>
      <c r="N207">
        <v>0.4</v>
      </c>
      <c r="O207" t="str">
        <f>IF(Table5[[#This Row],[hum]]&lt;0.3,"Humid",IF(Table5[[#This Row],[hum]]&gt;=0.3,"High Humid"))</f>
        <v>High Humid</v>
      </c>
      <c r="P207">
        <v>0.22389999999999999</v>
      </c>
      <c r="Q207">
        <v>4</v>
      </c>
      <c r="R207">
        <v>57</v>
      </c>
      <c r="S207">
        <v>61</v>
      </c>
    </row>
    <row r="208" spans="1:19" x14ac:dyDescent="0.25">
      <c r="A208">
        <v>890</v>
      </c>
      <c r="B208" s="1">
        <v>40583</v>
      </c>
      <c r="C208">
        <v>1</v>
      </c>
      <c r="D208">
        <v>0</v>
      </c>
      <c r="E208">
        <v>2</v>
      </c>
      <c r="F208">
        <v>13</v>
      </c>
      <c r="G208" t="b">
        <v>0</v>
      </c>
      <c r="H208">
        <v>3</v>
      </c>
      <c r="I208" t="str">
        <f>CHOOSE(H208+1,"Monday","Tuesday","Wednesday","Thursday","Friday","Saturday","Sunday")</f>
        <v>Thursday</v>
      </c>
      <c r="J208">
        <v>1</v>
      </c>
      <c r="K208">
        <v>0.18</v>
      </c>
      <c r="L208" t="str">
        <f>IF(Table5[[#This Row],[temp]]&lt;24,"Cold","Hot")</f>
        <v>Cold</v>
      </c>
      <c r="M208">
        <v>0.16669999999999999</v>
      </c>
      <c r="N208">
        <v>0.4</v>
      </c>
      <c r="O208" t="str">
        <f>IF(Table5[[#This Row],[hum]]&lt;0.3,"Humid",IF(Table5[[#This Row],[hum]]&gt;=0.3,"High Humid"))</f>
        <v>High Humid</v>
      </c>
      <c r="P208">
        <v>0.25369999999999998</v>
      </c>
      <c r="Q208">
        <v>2</v>
      </c>
      <c r="R208">
        <v>67</v>
      </c>
      <c r="S208">
        <v>69</v>
      </c>
    </row>
    <row r="209" spans="1:19" x14ac:dyDescent="0.25">
      <c r="A209">
        <v>891</v>
      </c>
      <c r="B209" s="1">
        <v>40583</v>
      </c>
      <c r="C209">
        <v>1</v>
      </c>
      <c r="D209">
        <v>0</v>
      </c>
      <c r="E209">
        <v>2</v>
      </c>
      <c r="F209">
        <v>14</v>
      </c>
      <c r="G209" t="b">
        <v>0</v>
      </c>
      <c r="H209">
        <v>3</v>
      </c>
      <c r="I209" t="str">
        <f>CHOOSE(H209+1,"Monday","Tuesday","Wednesday","Thursday","Friday","Saturday","Sunday")</f>
        <v>Thursday</v>
      </c>
      <c r="J209">
        <v>1</v>
      </c>
      <c r="K209">
        <v>0.2</v>
      </c>
      <c r="L209" t="str">
        <f>IF(Table5[[#This Row],[temp]]&lt;24,"Cold","Hot")</f>
        <v>Cold</v>
      </c>
      <c r="M209">
        <v>0.18179999999999999</v>
      </c>
      <c r="N209">
        <v>0.34</v>
      </c>
      <c r="O209" t="str">
        <f>IF(Table5[[#This Row],[hum]]&lt;0.3,"Humid",IF(Table5[[#This Row],[hum]]&gt;=0.3,"High Humid"))</f>
        <v>High Humid</v>
      </c>
      <c r="P209">
        <v>0.29849999999999999</v>
      </c>
      <c r="Q209">
        <v>2</v>
      </c>
      <c r="R209">
        <v>56</v>
      </c>
      <c r="S209">
        <v>58</v>
      </c>
    </row>
    <row r="210" spans="1:19" x14ac:dyDescent="0.25">
      <c r="A210">
        <v>892</v>
      </c>
      <c r="B210" s="1">
        <v>40583</v>
      </c>
      <c r="C210">
        <v>1</v>
      </c>
      <c r="D210">
        <v>0</v>
      </c>
      <c r="E210">
        <v>2</v>
      </c>
      <c r="F210">
        <v>15</v>
      </c>
      <c r="G210" t="b">
        <v>0</v>
      </c>
      <c r="H210">
        <v>3</v>
      </c>
      <c r="I210" t="str">
        <f>CHOOSE(H210+1,"Monday","Tuesday","Wednesday","Thursday","Friday","Saturday","Sunday")</f>
        <v>Thursday</v>
      </c>
      <c r="J210">
        <v>2</v>
      </c>
      <c r="K210">
        <v>0.2</v>
      </c>
      <c r="L210" t="str">
        <f>IF(Table5[[#This Row],[temp]]&lt;24,"Cold","Hot")</f>
        <v>Cold</v>
      </c>
      <c r="M210">
        <v>0.18179999999999999</v>
      </c>
      <c r="N210">
        <v>0.34</v>
      </c>
      <c r="O210" t="str">
        <f>IF(Table5[[#This Row],[hum]]&lt;0.3,"Humid",IF(Table5[[#This Row],[hum]]&gt;=0.3,"High Humid"))</f>
        <v>High Humid</v>
      </c>
      <c r="P210">
        <v>0.28360000000000002</v>
      </c>
      <c r="Q210">
        <v>3</v>
      </c>
      <c r="R210">
        <v>61</v>
      </c>
      <c r="S210">
        <v>64</v>
      </c>
    </row>
    <row r="211" spans="1:19" x14ac:dyDescent="0.25">
      <c r="A211">
        <v>893</v>
      </c>
      <c r="B211" s="1">
        <v>40583</v>
      </c>
      <c r="C211">
        <v>1</v>
      </c>
      <c r="D211">
        <v>0</v>
      </c>
      <c r="E211">
        <v>2</v>
      </c>
      <c r="F211">
        <v>16</v>
      </c>
      <c r="G211" t="b">
        <v>0</v>
      </c>
      <c r="H211">
        <v>3</v>
      </c>
      <c r="I211" t="str">
        <f>CHOOSE(H211+1,"Monday","Tuesday","Wednesday","Thursday","Friday","Saturday","Sunday")</f>
        <v>Thursday</v>
      </c>
      <c r="J211">
        <v>2</v>
      </c>
      <c r="K211">
        <v>0.2</v>
      </c>
      <c r="L211" t="str">
        <f>IF(Table5[[#This Row],[temp]]&lt;24,"Cold","Hot")</f>
        <v>Cold</v>
      </c>
      <c r="M211">
        <v>0.19700000000000001</v>
      </c>
      <c r="N211">
        <v>0.37</v>
      </c>
      <c r="O211" t="str">
        <f>IF(Table5[[#This Row],[hum]]&lt;0.3,"Humid",IF(Table5[[#This Row],[hum]]&gt;=0.3,"High Humid"))</f>
        <v>High Humid</v>
      </c>
      <c r="P211">
        <v>0.25369999999999998</v>
      </c>
      <c r="Q211">
        <v>7</v>
      </c>
      <c r="R211">
        <v>72</v>
      </c>
      <c r="S211">
        <v>79</v>
      </c>
    </row>
    <row r="212" spans="1:19" x14ac:dyDescent="0.25">
      <c r="A212">
        <v>894</v>
      </c>
      <c r="B212" s="1">
        <v>40583</v>
      </c>
      <c r="C212">
        <v>1</v>
      </c>
      <c r="D212">
        <v>0</v>
      </c>
      <c r="E212">
        <v>2</v>
      </c>
      <c r="F212">
        <v>17</v>
      </c>
      <c r="G212" t="b">
        <v>0</v>
      </c>
      <c r="H212">
        <v>3</v>
      </c>
      <c r="I212" t="str">
        <f>CHOOSE(H212+1,"Monday","Tuesday","Wednesday","Thursday","Friday","Saturday","Sunday")</f>
        <v>Thursday</v>
      </c>
      <c r="J212">
        <v>2</v>
      </c>
      <c r="K212">
        <v>0.2</v>
      </c>
      <c r="L212" t="str">
        <f>IF(Table5[[#This Row],[temp]]&lt;24,"Cold","Hot")</f>
        <v>Cold</v>
      </c>
      <c r="M212">
        <v>0.19700000000000001</v>
      </c>
      <c r="N212">
        <v>0.34</v>
      </c>
      <c r="O212" t="str">
        <f>IF(Table5[[#This Row],[hum]]&lt;0.3,"Humid",IF(Table5[[#This Row],[hum]]&gt;=0.3,"High Humid"))</f>
        <v>High Humid</v>
      </c>
      <c r="P212">
        <v>0.25369999999999998</v>
      </c>
      <c r="Q212">
        <v>9</v>
      </c>
      <c r="R212">
        <v>157</v>
      </c>
      <c r="S212">
        <v>166</v>
      </c>
    </row>
    <row r="213" spans="1:19" x14ac:dyDescent="0.25">
      <c r="A213">
        <v>895</v>
      </c>
      <c r="B213" s="1">
        <v>40583</v>
      </c>
      <c r="C213">
        <v>1</v>
      </c>
      <c r="D213">
        <v>0</v>
      </c>
      <c r="E213">
        <v>2</v>
      </c>
      <c r="F213">
        <v>18</v>
      </c>
      <c r="G213" t="b">
        <v>0</v>
      </c>
      <c r="H213">
        <v>3</v>
      </c>
      <c r="I213" t="str">
        <f>CHOOSE(H213+1,"Monday","Tuesday","Wednesday","Thursday","Friday","Saturday","Sunday")</f>
        <v>Thursday</v>
      </c>
      <c r="J213">
        <v>2</v>
      </c>
      <c r="K213">
        <v>0.18</v>
      </c>
      <c r="L213" t="str">
        <f>IF(Table5[[#This Row],[temp]]&lt;24,"Cold","Hot")</f>
        <v>Cold</v>
      </c>
      <c r="M213">
        <v>0.16669999999999999</v>
      </c>
      <c r="N213">
        <v>0.47</v>
      </c>
      <c r="O213" t="str">
        <f>IF(Table5[[#This Row],[hum]]&lt;0.3,"Humid",IF(Table5[[#This Row],[hum]]&gt;=0.3,"High Humid"))</f>
        <v>High Humid</v>
      </c>
      <c r="P213">
        <v>0.29849999999999999</v>
      </c>
      <c r="Q213">
        <v>2</v>
      </c>
      <c r="R213">
        <v>168</v>
      </c>
      <c r="S213">
        <v>170</v>
      </c>
    </row>
    <row r="214" spans="1:19" x14ac:dyDescent="0.25">
      <c r="A214">
        <v>896</v>
      </c>
      <c r="B214" s="1">
        <v>40583</v>
      </c>
      <c r="C214">
        <v>1</v>
      </c>
      <c r="D214">
        <v>0</v>
      </c>
      <c r="E214">
        <v>2</v>
      </c>
      <c r="F214">
        <v>19</v>
      </c>
      <c r="G214" t="b">
        <v>0</v>
      </c>
      <c r="H214">
        <v>3</v>
      </c>
      <c r="I214" t="str">
        <f>CHOOSE(H214+1,"Monday","Tuesday","Wednesday","Thursday","Friday","Saturday","Sunday")</f>
        <v>Thursday</v>
      </c>
      <c r="J214">
        <v>3</v>
      </c>
      <c r="K214">
        <v>0.14000000000000001</v>
      </c>
      <c r="L214" t="str">
        <f>IF(Table5[[#This Row],[temp]]&lt;24,"Cold","Hot")</f>
        <v>Cold</v>
      </c>
      <c r="M214">
        <v>0.1212</v>
      </c>
      <c r="N214">
        <v>0.86</v>
      </c>
      <c r="O214" t="str">
        <f>IF(Table5[[#This Row],[hum]]&lt;0.3,"Humid",IF(Table5[[#This Row],[hum]]&gt;=0.3,"High Humid"))</f>
        <v>High Humid</v>
      </c>
      <c r="P214">
        <v>0.25369999999999998</v>
      </c>
      <c r="Q214">
        <v>1</v>
      </c>
      <c r="R214">
        <v>87</v>
      </c>
      <c r="S214">
        <v>88</v>
      </c>
    </row>
    <row r="215" spans="1:19" x14ac:dyDescent="0.25">
      <c r="A215">
        <v>897</v>
      </c>
      <c r="B215" s="1">
        <v>40583</v>
      </c>
      <c r="C215">
        <v>1</v>
      </c>
      <c r="D215">
        <v>0</v>
      </c>
      <c r="E215">
        <v>2</v>
      </c>
      <c r="F215">
        <v>20</v>
      </c>
      <c r="G215" t="b">
        <v>0</v>
      </c>
      <c r="H215">
        <v>3</v>
      </c>
      <c r="I215" t="str">
        <f>CHOOSE(H215+1,"Monday","Tuesday","Wednesday","Thursday","Friday","Saturday","Sunday")</f>
        <v>Thursday</v>
      </c>
      <c r="J215">
        <v>3</v>
      </c>
      <c r="K215">
        <v>0.14000000000000001</v>
      </c>
      <c r="L215" t="str">
        <f>IF(Table5[[#This Row],[temp]]&lt;24,"Cold","Hot")</f>
        <v>Cold</v>
      </c>
      <c r="M215">
        <v>0.1515</v>
      </c>
      <c r="N215">
        <v>0.86</v>
      </c>
      <c r="O215" t="str">
        <f>IF(Table5[[#This Row],[hum]]&lt;0.3,"Humid",IF(Table5[[#This Row],[hum]]&gt;=0.3,"High Humid"))</f>
        <v>High Humid</v>
      </c>
      <c r="P215">
        <v>0.16420000000000001</v>
      </c>
      <c r="Q215">
        <v>0</v>
      </c>
      <c r="R215">
        <v>84</v>
      </c>
      <c r="S215">
        <v>84</v>
      </c>
    </row>
    <row r="216" spans="1:19" x14ac:dyDescent="0.25">
      <c r="A216">
        <v>898</v>
      </c>
      <c r="B216" s="1">
        <v>40583</v>
      </c>
      <c r="C216">
        <v>1</v>
      </c>
      <c r="D216">
        <v>0</v>
      </c>
      <c r="E216">
        <v>2</v>
      </c>
      <c r="F216">
        <v>21</v>
      </c>
      <c r="G216" t="b">
        <v>0</v>
      </c>
      <c r="H216">
        <v>3</v>
      </c>
      <c r="I216" t="str">
        <f>CHOOSE(H216+1,"Monday","Tuesday","Wednesday","Thursday","Friday","Saturday","Sunday")</f>
        <v>Thursday</v>
      </c>
      <c r="J216">
        <v>2</v>
      </c>
      <c r="K216">
        <v>0.14000000000000001</v>
      </c>
      <c r="L216" t="str">
        <f>IF(Table5[[#This Row],[temp]]&lt;24,"Cold","Hot")</f>
        <v>Cold</v>
      </c>
      <c r="M216">
        <v>0.1515</v>
      </c>
      <c r="N216">
        <v>0.86</v>
      </c>
      <c r="O216" t="str">
        <f>IF(Table5[[#This Row],[hum]]&lt;0.3,"Humid",IF(Table5[[#This Row],[hum]]&gt;=0.3,"High Humid"))</f>
        <v>High Humid</v>
      </c>
      <c r="P216">
        <v>0.16420000000000001</v>
      </c>
      <c r="Q216">
        <v>0</v>
      </c>
      <c r="R216">
        <v>83</v>
      </c>
      <c r="S216">
        <v>83</v>
      </c>
    </row>
    <row r="217" spans="1:19" x14ac:dyDescent="0.25">
      <c r="A217">
        <v>899</v>
      </c>
      <c r="B217" s="1">
        <v>40583</v>
      </c>
      <c r="C217">
        <v>1</v>
      </c>
      <c r="D217">
        <v>0</v>
      </c>
      <c r="E217">
        <v>2</v>
      </c>
      <c r="F217">
        <v>22</v>
      </c>
      <c r="G217" t="b">
        <v>0</v>
      </c>
      <c r="H217">
        <v>3</v>
      </c>
      <c r="I217" t="str">
        <f>CHOOSE(H217+1,"Monday","Tuesday","Wednesday","Thursday","Friday","Saturday","Sunday")</f>
        <v>Thursday</v>
      </c>
      <c r="J217">
        <v>3</v>
      </c>
      <c r="K217">
        <v>0.16</v>
      </c>
      <c r="L217" t="str">
        <f>IF(Table5[[#This Row],[temp]]&lt;24,"Cold","Hot")</f>
        <v>Cold</v>
      </c>
      <c r="M217">
        <v>0.16669999999999999</v>
      </c>
      <c r="N217">
        <v>0.8</v>
      </c>
      <c r="O217" t="str">
        <f>IF(Table5[[#This Row],[hum]]&lt;0.3,"Humid",IF(Table5[[#This Row],[hum]]&gt;=0.3,"High Humid"))</f>
        <v>High Humid</v>
      </c>
      <c r="P217">
        <v>0.16420000000000001</v>
      </c>
      <c r="Q217">
        <v>4</v>
      </c>
      <c r="R217">
        <v>42</v>
      </c>
      <c r="S217">
        <v>46</v>
      </c>
    </row>
    <row r="218" spans="1:19" x14ac:dyDescent="0.25">
      <c r="A218">
        <v>900</v>
      </c>
      <c r="B218" s="1">
        <v>40583</v>
      </c>
      <c r="C218">
        <v>1</v>
      </c>
      <c r="D218">
        <v>0</v>
      </c>
      <c r="E218">
        <v>2</v>
      </c>
      <c r="F218">
        <v>23</v>
      </c>
      <c r="G218" t="b">
        <v>0</v>
      </c>
      <c r="H218">
        <v>3</v>
      </c>
      <c r="I218" t="str">
        <f>CHOOSE(H218+1,"Monday","Tuesday","Wednesday","Thursday","Friday","Saturday","Sunday")</f>
        <v>Thursday</v>
      </c>
      <c r="J218">
        <v>3</v>
      </c>
      <c r="K218">
        <v>0.16</v>
      </c>
      <c r="L218" t="str">
        <f>IF(Table5[[#This Row],[temp]]&lt;24,"Cold","Hot")</f>
        <v>Cold</v>
      </c>
      <c r="M218">
        <v>0.1515</v>
      </c>
      <c r="N218">
        <v>0.8</v>
      </c>
      <c r="O218" t="str">
        <f>IF(Table5[[#This Row],[hum]]&lt;0.3,"Humid",IF(Table5[[#This Row],[hum]]&gt;=0.3,"High Humid"))</f>
        <v>High Humid</v>
      </c>
      <c r="P218">
        <v>0.19400000000000001</v>
      </c>
      <c r="Q218">
        <v>0</v>
      </c>
      <c r="R218">
        <v>37</v>
      </c>
      <c r="S218">
        <v>37</v>
      </c>
    </row>
    <row r="219" spans="1:19" x14ac:dyDescent="0.25">
      <c r="A219">
        <v>689</v>
      </c>
      <c r="B219" s="1">
        <v>40575</v>
      </c>
      <c r="C219">
        <v>1</v>
      </c>
      <c r="D219">
        <v>0</v>
      </c>
      <c r="E219">
        <v>2</v>
      </c>
      <c r="F219">
        <v>0</v>
      </c>
      <c r="G219" t="b">
        <v>0</v>
      </c>
      <c r="H219">
        <v>2</v>
      </c>
      <c r="I219" t="str">
        <f>CHOOSE(H219+1,"Monday","Tuesday","Wednesday","Thursday","Friday","Saturday","Sunday")</f>
        <v>Wednesday</v>
      </c>
      <c r="J219">
        <v>2</v>
      </c>
      <c r="K219">
        <v>0.16</v>
      </c>
      <c r="L219" t="str">
        <f>IF(Table5[[#This Row],[temp]]&lt;24,"Cold","Hot")</f>
        <v>Cold</v>
      </c>
      <c r="M219">
        <v>0.18179999999999999</v>
      </c>
      <c r="N219">
        <v>0.64</v>
      </c>
      <c r="O219" t="str">
        <f>IF(Table5[[#This Row],[hum]]&lt;0.3,"Humid",IF(Table5[[#This Row],[hum]]&gt;=0.3,"High Humid"))</f>
        <v>High Humid</v>
      </c>
      <c r="P219">
        <v>0.1045</v>
      </c>
      <c r="Q219">
        <v>2</v>
      </c>
      <c r="R219">
        <v>6</v>
      </c>
      <c r="S219">
        <v>8</v>
      </c>
    </row>
    <row r="220" spans="1:19" x14ac:dyDescent="0.25">
      <c r="A220">
        <v>690</v>
      </c>
      <c r="B220" s="1">
        <v>40575</v>
      </c>
      <c r="C220">
        <v>1</v>
      </c>
      <c r="D220">
        <v>0</v>
      </c>
      <c r="E220">
        <v>2</v>
      </c>
      <c r="F220">
        <v>1</v>
      </c>
      <c r="G220" t="b">
        <v>0</v>
      </c>
      <c r="H220">
        <v>2</v>
      </c>
      <c r="I220" t="str">
        <f>CHOOSE(H220+1,"Monday","Tuesday","Wednesday","Thursday","Friday","Saturday","Sunday")</f>
        <v>Wednesday</v>
      </c>
      <c r="J220">
        <v>2</v>
      </c>
      <c r="K220">
        <v>0.16</v>
      </c>
      <c r="L220" t="str">
        <f>IF(Table5[[#This Row],[temp]]&lt;24,"Cold","Hot")</f>
        <v>Cold</v>
      </c>
      <c r="M220">
        <v>0.18179999999999999</v>
      </c>
      <c r="N220">
        <v>0.69</v>
      </c>
      <c r="O220" t="str">
        <f>IF(Table5[[#This Row],[hum]]&lt;0.3,"Humid",IF(Table5[[#This Row],[hum]]&gt;=0.3,"High Humid"))</f>
        <v>High Humid</v>
      </c>
      <c r="P220">
        <v>0.1045</v>
      </c>
      <c r="Q220">
        <v>0</v>
      </c>
      <c r="R220">
        <v>3</v>
      </c>
      <c r="S220">
        <v>3</v>
      </c>
    </row>
    <row r="221" spans="1:19" x14ac:dyDescent="0.25">
      <c r="A221">
        <v>691</v>
      </c>
      <c r="B221" s="1">
        <v>40575</v>
      </c>
      <c r="C221">
        <v>1</v>
      </c>
      <c r="D221">
        <v>0</v>
      </c>
      <c r="E221">
        <v>2</v>
      </c>
      <c r="F221">
        <v>2</v>
      </c>
      <c r="G221" t="b">
        <v>0</v>
      </c>
      <c r="H221">
        <v>2</v>
      </c>
      <c r="I221" t="str">
        <f>CHOOSE(H221+1,"Monday","Tuesday","Wednesday","Thursday","Friday","Saturday","Sunday")</f>
        <v>Wednesday</v>
      </c>
      <c r="J221">
        <v>2</v>
      </c>
      <c r="K221">
        <v>0.16</v>
      </c>
      <c r="L221" t="str">
        <f>IF(Table5[[#This Row],[temp]]&lt;24,"Cold","Hot")</f>
        <v>Cold</v>
      </c>
      <c r="M221">
        <v>0.2273</v>
      </c>
      <c r="N221">
        <v>0.69</v>
      </c>
      <c r="O221" t="str">
        <f>IF(Table5[[#This Row],[hum]]&lt;0.3,"Humid",IF(Table5[[#This Row],[hum]]&gt;=0.3,"High Humid"))</f>
        <v>High Humid</v>
      </c>
      <c r="P221">
        <v>0</v>
      </c>
      <c r="Q221">
        <v>0</v>
      </c>
      <c r="R221">
        <v>2</v>
      </c>
      <c r="S221">
        <v>2</v>
      </c>
    </row>
    <row r="222" spans="1:19" x14ac:dyDescent="0.25">
      <c r="A222">
        <v>692</v>
      </c>
      <c r="B222" s="1">
        <v>40575</v>
      </c>
      <c r="C222">
        <v>1</v>
      </c>
      <c r="D222">
        <v>0</v>
      </c>
      <c r="E222">
        <v>2</v>
      </c>
      <c r="F222">
        <v>3</v>
      </c>
      <c r="G222" t="b">
        <v>0</v>
      </c>
      <c r="H222">
        <v>2</v>
      </c>
      <c r="I222" t="str">
        <f>CHOOSE(H222+1,"Monday","Tuesday","Wednesday","Thursday","Friday","Saturday","Sunday")</f>
        <v>Wednesday</v>
      </c>
      <c r="J222">
        <v>2</v>
      </c>
      <c r="K222">
        <v>0.16</v>
      </c>
      <c r="L222" t="str">
        <f>IF(Table5[[#This Row],[temp]]&lt;24,"Cold","Hot")</f>
        <v>Cold</v>
      </c>
      <c r="M222">
        <v>0.2273</v>
      </c>
      <c r="N222">
        <v>0.69</v>
      </c>
      <c r="O222" t="str">
        <f>IF(Table5[[#This Row],[hum]]&lt;0.3,"Humid",IF(Table5[[#This Row],[hum]]&gt;=0.3,"High Humid"))</f>
        <v>High Humid</v>
      </c>
      <c r="P222">
        <v>0</v>
      </c>
      <c r="Q222">
        <v>0</v>
      </c>
      <c r="R222">
        <v>2</v>
      </c>
      <c r="S222">
        <v>2</v>
      </c>
    </row>
    <row r="223" spans="1:19" x14ac:dyDescent="0.25">
      <c r="A223">
        <v>693</v>
      </c>
      <c r="B223" s="1">
        <v>40575</v>
      </c>
      <c r="C223">
        <v>1</v>
      </c>
      <c r="D223">
        <v>0</v>
      </c>
      <c r="E223">
        <v>2</v>
      </c>
      <c r="F223">
        <v>5</v>
      </c>
      <c r="G223" t="b">
        <v>0</v>
      </c>
      <c r="H223">
        <v>2</v>
      </c>
      <c r="I223" t="str">
        <f>CHOOSE(H223+1,"Monday","Tuesday","Wednesday","Thursday","Friday","Saturday","Sunday")</f>
        <v>Wednesday</v>
      </c>
      <c r="J223">
        <v>3</v>
      </c>
      <c r="K223">
        <v>0.14000000000000001</v>
      </c>
      <c r="L223" t="str">
        <f>IF(Table5[[#This Row],[temp]]&lt;24,"Cold","Hot")</f>
        <v>Cold</v>
      </c>
      <c r="M223">
        <v>0.21210000000000001</v>
      </c>
      <c r="N223">
        <v>0.93</v>
      </c>
      <c r="O223" t="str">
        <f>IF(Table5[[#This Row],[hum]]&lt;0.3,"Humid",IF(Table5[[#This Row],[hum]]&gt;=0.3,"High Humid"))</f>
        <v>High Humid</v>
      </c>
      <c r="P223">
        <v>0</v>
      </c>
      <c r="Q223">
        <v>0</v>
      </c>
      <c r="R223">
        <v>3</v>
      </c>
      <c r="S223">
        <v>3</v>
      </c>
    </row>
    <row r="224" spans="1:19" x14ac:dyDescent="0.25">
      <c r="A224">
        <v>694</v>
      </c>
      <c r="B224" s="1">
        <v>40575</v>
      </c>
      <c r="C224">
        <v>1</v>
      </c>
      <c r="D224">
        <v>0</v>
      </c>
      <c r="E224">
        <v>2</v>
      </c>
      <c r="F224">
        <v>6</v>
      </c>
      <c r="G224" t="b">
        <v>0</v>
      </c>
      <c r="H224">
        <v>2</v>
      </c>
      <c r="I224" t="str">
        <f>CHOOSE(H224+1,"Monday","Tuesday","Wednesday","Thursday","Friday","Saturday","Sunday")</f>
        <v>Wednesday</v>
      </c>
      <c r="J224">
        <v>3</v>
      </c>
      <c r="K224">
        <v>0.14000000000000001</v>
      </c>
      <c r="L224" t="str">
        <f>IF(Table5[[#This Row],[temp]]&lt;24,"Cold","Hot")</f>
        <v>Cold</v>
      </c>
      <c r="M224">
        <v>0.21210000000000001</v>
      </c>
      <c r="N224">
        <v>0.93</v>
      </c>
      <c r="O224" t="str">
        <f>IF(Table5[[#This Row],[hum]]&lt;0.3,"Humid",IF(Table5[[#This Row],[hum]]&gt;=0.3,"High Humid"))</f>
        <v>High Humid</v>
      </c>
      <c r="P224">
        <v>0</v>
      </c>
      <c r="Q224">
        <v>0</v>
      </c>
      <c r="R224">
        <v>22</v>
      </c>
      <c r="S224">
        <v>22</v>
      </c>
    </row>
    <row r="225" spans="1:19" x14ac:dyDescent="0.25">
      <c r="A225">
        <v>695</v>
      </c>
      <c r="B225" s="1">
        <v>40575</v>
      </c>
      <c r="C225">
        <v>1</v>
      </c>
      <c r="D225">
        <v>0</v>
      </c>
      <c r="E225">
        <v>2</v>
      </c>
      <c r="F225">
        <v>7</v>
      </c>
      <c r="G225" t="b">
        <v>0</v>
      </c>
      <c r="H225">
        <v>2</v>
      </c>
      <c r="I225" t="str">
        <f>CHOOSE(H225+1,"Monday","Tuesday","Wednesday","Thursday","Friday","Saturday","Sunday")</f>
        <v>Wednesday</v>
      </c>
      <c r="J225">
        <v>3</v>
      </c>
      <c r="K225">
        <v>0.16</v>
      </c>
      <c r="L225" t="str">
        <f>IF(Table5[[#This Row],[temp]]&lt;24,"Cold","Hot")</f>
        <v>Cold</v>
      </c>
      <c r="M225">
        <v>0.2273</v>
      </c>
      <c r="N225">
        <v>0.93</v>
      </c>
      <c r="O225" t="str">
        <f>IF(Table5[[#This Row],[hum]]&lt;0.3,"Humid",IF(Table5[[#This Row],[hum]]&gt;=0.3,"High Humid"))</f>
        <v>High Humid</v>
      </c>
      <c r="P225">
        <v>0</v>
      </c>
      <c r="Q225">
        <v>0</v>
      </c>
      <c r="R225">
        <v>52</v>
      </c>
      <c r="S225">
        <v>52</v>
      </c>
    </row>
    <row r="226" spans="1:19" x14ac:dyDescent="0.25">
      <c r="A226">
        <v>696</v>
      </c>
      <c r="B226" s="1">
        <v>40575</v>
      </c>
      <c r="C226">
        <v>1</v>
      </c>
      <c r="D226">
        <v>0</v>
      </c>
      <c r="E226">
        <v>2</v>
      </c>
      <c r="F226">
        <v>8</v>
      </c>
      <c r="G226" t="b">
        <v>0</v>
      </c>
      <c r="H226">
        <v>2</v>
      </c>
      <c r="I226" t="str">
        <f>CHOOSE(H226+1,"Monday","Tuesday","Wednesday","Thursday","Friday","Saturday","Sunday")</f>
        <v>Wednesday</v>
      </c>
      <c r="J226">
        <v>3</v>
      </c>
      <c r="K226">
        <v>0.16</v>
      </c>
      <c r="L226" t="str">
        <f>IF(Table5[[#This Row],[temp]]&lt;24,"Cold","Hot")</f>
        <v>Cold</v>
      </c>
      <c r="M226">
        <v>0.2273</v>
      </c>
      <c r="N226">
        <v>0.93</v>
      </c>
      <c r="O226" t="str">
        <f>IF(Table5[[#This Row],[hum]]&lt;0.3,"Humid",IF(Table5[[#This Row],[hum]]&gt;=0.3,"High Humid"))</f>
        <v>High Humid</v>
      </c>
      <c r="P226">
        <v>0</v>
      </c>
      <c r="Q226">
        <v>3</v>
      </c>
      <c r="R226">
        <v>132</v>
      </c>
      <c r="S226">
        <v>135</v>
      </c>
    </row>
    <row r="227" spans="1:19" x14ac:dyDescent="0.25">
      <c r="A227">
        <v>697</v>
      </c>
      <c r="B227" s="1">
        <v>40575</v>
      </c>
      <c r="C227">
        <v>1</v>
      </c>
      <c r="D227">
        <v>0</v>
      </c>
      <c r="E227">
        <v>2</v>
      </c>
      <c r="F227">
        <v>9</v>
      </c>
      <c r="G227" t="b">
        <v>0</v>
      </c>
      <c r="H227">
        <v>2</v>
      </c>
      <c r="I227" t="str">
        <f>CHOOSE(H227+1,"Monday","Tuesday","Wednesday","Thursday","Friday","Saturday","Sunday")</f>
        <v>Wednesday</v>
      </c>
      <c r="J227">
        <v>2</v>
      </c>
      <c r="K227">
        <v>0.16</v>
      </c>
      <c r="L227" t="str">
        <f>IF(Table5[[#This Row],[temp]]&lt;24,"Cold","Hot")</f>
        <v>Cold</v>
      </c>
      <c r="M227">
        <v>0.2273</v>
      </c>
      <c r="N227">
        <v>0.93</v>
      </c>
      <c r="O227" t="str">
        <f>IF(Table5[[#This Row],[hum]]&lt;0.3,"Humid",IF(Table5[[#This Row],[hum]]&gt;=0.3,"High Humid"))</f>
        <v>High Humid</v>
      </c>
      <c r="P227">
        <v>0</v>
      </c>
      <c r="Q227">
        <v>2</v>
      </c>
      <c r="R227">
        <v>114</v>
      </c>
      <c r="S227">
        <v>116</v>
      </c>
    </row>
    <row r="228" spans="1:19" x14ac:dyDescent="0.25">
      <c r="A228">
        <v>698</v>
      </c>
      <c r="B228" s="1">
        <v>40575</v>
      </c>
      <c r="C228">
        <v>1</v>
      </c>
      <c r="D228">
        <v>0</v>
      </c>
      <c r="E228">
        <v>2</v>
      </c>
      <c r="F228">
        <v>10</v>
      </c>
      <c r="G228" t="b">
        <v>0</v>
      </c>
      <c r="H228">
        <v>2</v>
      </c>
      <c r="I228" t="str">
        <f>CHOOSE(H228+1,"Monday","Tuesday","Wednesday","Thursday","Friday","Saturday","Sunday")</f>
        <v>Wednesday</v>
      </c>
      <c r="J228">
        <v>2</v>
      </c>
      <c r="K228">
        <v>0.16</v>
      </c>
      <c r="L228" t="str">
        <f>IF(Table5[[#This Row],[temp]]&lt;24,"Cold","Hot")</f>
        <v>Cold</v>
      </c>
      <c r="M228">
        <v>0.2273</v>
      </c>
      <c r="N228">
        <v>0.93</v>
      </c>
      <c r="O228" t="str">
        <f>IF(Table5[[#This Row],[hum]]&lt;0.3,"Humid",IF(Table5[[#This Row],[hum]]&gt;=0.3,"High Humid"))</f>
        <v>High Humid</v>
      </c>
      <c r="P228">
        <v>0</v>
      </c>
      <c r="Q228">
        <v>0</v>
      </c>
      <c r="R228">
        <v>47</v>
      </c>
      <c r="S228">
        <v>47</v>
      </c>
    </row>
    <row r="229" spans="1:19" x14ac:dyDescent="0.25">
      <c r="A229">
        <v>699</v>
      </c>
      <c r="B229" s="1">
        <v>40575</v>
      </c>
      <c r="C229">
        <v>1</v>
      </c>
      <c r="D229">
        <v>0</v>
      </c>
      <c r="E229">
        <v>2</v>
      </c>
      <c r="F229">
        <v>11</v>
      </c>
      <c r="G229" t="b">
        <v>0</v>
      </c>
      <c r="H229">
        <v>2</v>
      </c>
      <c r="I229" t="str">
        <f>CHOOSE(H229+1,"Monday","Tuesday","Wednesday","Thursday","Friday","Saturday","Sunday")</f>
        <v>Wednesday</v>
      </c>
      <c r="J229">
        <v>2</v>
      </c>
      <c r="K229">
        <v>0.18</v>
      </c>
      <c r="L229" t="str">
        <f>IF(Table5[[#This Row],[temp]]&lt;24,"Cold","Hot")</f>
        <v>Cold</v>
      </c>
      <c r="M229">
        <v>0.2424</v>
      </c>
      <c r="N229">
        <v>0.86</v>
      </c>
      <c r="O229" t="str">
        <f>IF(Table5[[#This Row],[hum]]&lt;0.3,"Humid",IF(Table5[[#This Row],[hum]]&gt;=0.3,"High Humid"))</f>
        <v>High Humid</v>
      </c>
      <c r="P229">
        <v>0</v>
      </c>
      <c r="Q229">
        <v>2</v>
      </c>
      <c r="R229">
        <v>49</v>
      </c>
      <c r="S229">
        <v>51</v>
      </c>
    </row>
    <row r="230" spans="1:19" x14ac:dyDescent="0.25">
      <c r="A230">
        <v>700</v>
      </c>
      <c r="B230" s="1">
        <v>40575</v>
      </c>
      <c r="C230">
        <v>1</v>
      </c>
      <c r="D230">
        <v>0</v>
      </c>
      <c r="E230">
        <v>2</v>
      </c>
      <c r="F230">
        <v>12</v>
      </c>
      <c r="G230" t="b">
        <v>0</v>
      </c>
      <c r="H230">
        <v>2</v>
      </c>
      <c r="I230" t="str">
        <f>CHOOSE(H230+1,"Monday","Tuesday","Wednesday","Thursday","Friday","Saturday","Sunday")</f>
        <v>Wednesday</v>
      </c>
      <c r="J230">
        <v>2</v>
      </c>
      <c r="K230">
        <v>0.2</v>
      </c>
      <c r="L230" t="str">
        <f>IF(Table5[[#This Row],[temp]]&lt;24,"Cold","Hot")</f>
        <v>Cold</v>
      </c>
      <c r="M230">
        <v>0.2576</v>
      </c>
      <c r="N230">
        <v>0.86</v>
      </c>
      <c r="O230" t="str">
        <f>IF(Table5[[#This Row],[hum]]&lt;0.3,"Humid",IF(Table5[[#This Row],[hum]]&gt;=0.3,"High Humid"))</f>
        <v>High Humid</v>
      </c>
      <c r="P230">
        <v>0</v>
      </c>
      <c r="Q230">
        <v>2</v>
      </c>
      <c r="R230">
        <v>53</v>
      </c>
      <c r="S230">
        <v>55</v>
      </c>
    </row>
    <row r="231" spans="1:19" x14ac:dyDescent="0.25">
      <c r="A231">
        <v>701</v>
      </c>
      <c r="B231" s="1">
        <v>40575</v>
      </c>
      <c r="C231">
        <v>1</v>
      </c>
      <c r="D231">
        <v>0</v>
      </c>
      <c r="E231">
        <v>2</v>
      </c>
      <c r="F231">
        <v>13</v>
      </c>
      <c r="G231" t="b">
        <v>0</v>
      </c>
      <c r="H231">
        <v>2</v>
      </c>
      <c r="I231" t="str">
        <f>CHOOSE(H231+1,"Monday","Tuesday","Wednesday","Thursday","Friday","Saturday","Sunday")</f>
        <v>Wednesday</v>
      </c>
      <c r="J231">
        <v>2</v>
      </c>
      <c r="K231">
        <v>0.2</v>
      </c>
      <c r="L231" t="str">
        <f>IF(Table5[[#This Row],[temp]]&lt;24,"Cold","Hot")</f>
        <v>Cold</v>
      </c>
      <c r="M231">
        <v>0.2576</v>
      </c>
      <c r="N231">
        <v>0.86</v>
      </c>
      <c r="O231" t="str">
        <f>IF(Table5[[#This Row],[hum]]&lt;0.3,"Humid",IF(Table5[[#This Row],[hum]]&gt;=0.3,"High Humid"))</f>
        <v>High Humid</v>
      </c>
      <c r="P231">
        <v>0</v>
      </c>
      <c r="Q231">
        <v>3</v>
      </c>
      <c r="R231">
        <v>49</v>
      </c>
      <c r="S231">
        <v>52</v>
      </c>
    </row>
    <row r="232" spans="1:19" x14ac:dyDescent="0.25">
      <c r="A232">
        <v>702</v>
      </c>
      <c r="B232" s="1">
        <v>40575</v>
      </c>
      <c r="C232">
        <v>1</v>
      </c>
      <c r="D232">
        <v>0</v>
      </c>
      <c r="E232">
        <v>2</v>
      </c>
      <c r="F232">
        <v>14</v>
      </c>
      <c r="G232" t="b">
        <v>0</v>
      </c>
      <c r="H232">
        <v>2</v>
      </c>
      <c r="I232" t="str">
        <f>CHOOSE(H232+1,"Monday","Tuesday","Wednesday","Thursday","Friday","Saturday","Sunday")</f>
        <v>Wednesday</v>
      </c>
      <c r="J232">
        <v>2</v>
      </c>
      <c r="K232">
        <v>0.22</v>
      </c>
      <c r="L232" t="str">
        <f>IF(Table5[[#This Row],[temp]]&lt;24,"Cold","Hot")</f>
        <v>Cold</v>
      </c>
      <c r="M232">
        <v>0.2576</v>
      </c>
      <c r="N232">
        <v>0.8</v>
      </c>
      <c r="O232" t="str">
        <f>IF(Table5[[#This Row],[hum]]&lt;0.3,"Humid",IF(Table5[[#This Row],[hum]]&gt;=0.3,"High Humid"))</f>
        <v>High Humid</v>
      </c>
      <c r="P232">
        <v>8.9599999999999999E-2</v>
      </c>
      <c r="Q232">
        <v>5</v>
      </c>
      <c r="R232">
        <v>49</v>
      </c>
      <c r="S232">
        <v>54</v>
      </c>
    </row>
    <row r="233" spans="1:19" x14ac:dyDescent="0.25">
      <c r="A233">
        <v>703</v>
      </c>
      <c r="B233" s="1">
        <v>40575</v>
      </c>
      <c r="C233">
        <v>1</v>
      </c>
      <c r="D233">
        <v>0</v>
      </c>
      <c r="E233">
        <v>2</v>
      </c>
      <c r="F233">
        <v>15</v>
      </c>
      <c r="G233" t="b">
        <v>0</v>
      </c>
      <c r="H233">
        <v>2</v>
      </c>
      <c r="I233" t="str">
        <f>CHOOSE(H233+1,"Monday","Tuesday","Wednesday","Thursday","Friday","Saturday","Sunday")</f>
        <v>Wednesday</v>
      </c>
      <c r="J233">
        <v>2</v>
      </c>
      <c r="K233">
        <v>0.24</v>
      </c>
      <c r="L233" t="str">
        <f>IF(Table5[[#This Row],[temp]]&lt;24,"Cold","Hot")</f>
        <v>Cold</v>
      </c>
      <c r="M233">
        <v>0.28789999999999999</v>
      </c>
      <c r="N233">
        <v>0.75</v>
      </c>
      <c r="O233" t="str">
        <f>IF(Table5[[#This Row],[hum]]&lt;0.3,"Humid",IF(Table5[[#This Row],[hum]]&gt;=0.3,"High Humid"))</f>
        <v>High Humid</v>
      </c>
      <c r="P233">
        <v>0</v>
      </c>
      <c r="Q233">
        <v>7</v>
      </c>
      <c r="R233">
        <v>45</v>
      </c>
      <c r="S233">
        <v>52</v>
      </c>
    </row>
    <row r="234" spans="1:19" x14ac:dyDescent="0.25">
      <c r="A234">
        <v>704</v>
      </c>
      <c r="B234" s="1">
        <v>40575</v>
      </c>
      <c r="C234">
        <v>1</v>
      </c>
      <c r="D234">
        <v>0</v>
      </c>
      <c r="E234">
        <v>2</v>
      </c>
      <c r="F234">
        <v>16</v>
      </c>
      <c r="G234" t="b">
        <v>0</v>
      </c>
      <c r="H234">
        <v>2</v>
      </c>
      <c r="I234" t="str">
        <f>CHOOSE(H234+1,"Monday","Tuesday","Wednesday","Thursday","Friday","Saturday","Sunday")</f>
        <v>Wednesday</v>
      </c>
      <c r="J234">
        <v>2</v>
      </c>
      <c r="K234">
        <v>0.24</v>
      </c>
      <c r="L234" t="str">
        <f>IF(Table5[[#This Row],[temp]]&lt;24,"Cold","Hot")</f>
        <v>Cold</v>
      </c>
      <c r="M234">
        <v>0.2424</v>
      </c>
      <c r="N234">
        <v>0.75</v>
      </c>
      <c r="O234" t="str">
        <f>IF(Table5[[#This Row],[hum]]&lt;0.3,"Humid",IF(Table5[[#This Row],[hum]]&gt;=0.3,"High Humid"))</f>
        <v>High Humid</v>
      </c>
      <c r="P234">
        <v>0.1343</v>
      </c>
      <c r="Q234">
        <v>3</v>
      </c>
      <c r="R234">
        <v>61</v>
      </c>
      <c r="S234">
        <v>64</v>
      </c>
    </row>
    <row r="235" spans="1:19" x14ac:dyDescent="0.25">
      <c r="A235">
        <v>705</v>
      </c>
      <c r="B235" s="1">
        <v>40575</v>
      </c>
      <c r="C235">
        <v>1</v>
      </c>
      <c r="D235">
        <v>0</v>
      </c>
      <c r="E235">
        <v>2</v>
      </c>
      <c r="F235">
        <v>17</v>
      </c>
      <c r="G235" t="b">
        <v>0</v>
      </c>
      <c r="H235">
        <v>2</v>
      </c>
      <c r="I235" t="str">
        <f>CHOOSE(H235+1,"Monday","Tuesday","Wednesday","Thursday","Friday","Saturday","Sunday")</f>
        <v>Wednesday</v>
      </c>
      <c r="J235">
        <v>2</v>
      </c>
      <c r="K235">
        <v>0.24</v>
      </c>
      <c r="L235" t="str">
        <f>IF(Table5[[#This Row],[temp]]&lt;24,"Cold","Hot")</f>
        <v>Cold</v>
      </c>
      <c r="M235">
        <v>0.28789999999999999</v>
      </c>
      <c r="N235">
        <v>0.75</v>
      </c>
      <c r="O235" t="str">
        <f>IF(Table5[[#This Row],[hum]]&lt;0.3,"Humid",IF(Table5[[#This Row],[hum]]&gt;=0.3,"High Humid"))</f>
        <v>High Humid</v>
      </c>
      <c r="P235">
        <v>0</v>
      </c>
      <c r="Q235">
        <v>4</v>
      </c>
      <c r="R235">
        <v>172</v>
      </c>
      <c r="S235">
        <v>176</v>
      </c>
    </row>
    <row r="236" spans="1:19" x14ac:dyDescent="0.25">
      <c r="A236">
        <v>706</v>
      </c>
      <c r="B236" s="1">
        <v>40575</v>
      </c>
      <c r="C236">
        <v>1</v>
      </c>
      <c r="D236">
        <v>0</v>
      </c>
      <c r="E236">
        <v>2</v>
      </c>
      <c r="F236">
        <v>18</v>
      </c>
      <c r="G236" t="b">
        <v>0</v>
      </c>
      <c r="H236">
        <v>2</v>
      </c>
      <c r="I236" t="str">
        <f>CHOOSE(H236+1,"Monday","Tuesday","Wednesday","Thursday","Friday","Saturday","Sunday")</f>
        <v>Wednesday</v>
      </c>
      <c r="J236">
        <v>2</v>
      </c>
      <c r="K236">
        <v>0.24</v>
      </c>
      <c r="L236" t="str">
        <f>IF(Table5[[#This Row],[temp]]&lt;24,"Cold","Hot")</f>
        <v>Cold</v>
      </c>
      <c r="M236">
        <v>0.2576</v>
      </c>
      <c r="N236">
        <v>0.81</v>
      </c>
      <c r="O236" t="str">
        <f>IF(Table5[[#This Row],[hum]]&lt;0.3,"Humid",IF(Table5[[#This Row],[hum]]&gt;=0.3,"High Humid"))</f>
        <v>High Humid</v>
      </c>
      <c r="P236">
        <v>0.1045</v>
      </c>
      <c r="Q236">
        <v>3</v>
      </c>
      <c r="R236">
        <v>165</v>
      </c>
      <c r="S236">
        <v>168</v>
      </c>
    </row>
    <row r="237" spans="1:19" x14ac:dyDescent="0.25">
      <c r="A237">
        <v>707</v>
      </c>
      <c r="B237" s="1">
        <v>40575</v>
      </c>
      <c r="C237">
        <v>1</v>
      </c>
      <c r="D237">
        <v>0</v>
      </c>
      <c r="E237">
        <v>2</v>
      </c>
      <c r="F237">
        <v>19</v>
      </c>
      <c r="G237" t="b">
        <v>0</v>
      </c>
      <c r="H237">
        <v>2</v>
      </c>
      <c r="I237" t="str">
        <f>CHOOSE(H237+1,"Monday","Tuesday","Wednesday","Thursday","Friday","Saturday","Sunday")</f>
        <v>Wednesday</v>
      </c>
      <c r="J237">
        <v>2</v>
      </c>
      <c r="K237">
        <v>0.24</v>
      </c>
      <c r="L237" t="str">
        <f>IF(Table5[[#This Row],[temp]]&lt;24,"Cold","Hot")</f>
        <v>Cold</v>
      </c>
      <c r="M237">
        <v>0.2424</v>
      </c>
      <c r="N237">
        <v>0.81</v>
      </c>
      <c r="O237" t="str">
        <f>IF(Table5[[#This Row],[hum]]&lt;0.3,"Humid",IF(Table5[[#This Row],[hum]]&gt;=0.3,"High Humid"))</f>
        <v>High Humid</v>
      </c>
      <c r="P237">
        <v>0.1343</v>
      </c>
      <c r="Q237">
        <v>3</v>
      </c>
      <c r="R237">
        <v>105</v>
      </c>
      <c r="S237">
        <v>108</v>
      </c>
    </row>
    <row r="238" spans="1:19" x14ac:dyDescent="0.25">
      <c r="A238">
        <v>708</v>
      </c>
      <c r="B238" s="1">
        <v>40575</v>
      </c>
      <c r="C238">
        <v>1</v>
      </c>
      <c r="D238">
        <v>0</v>
      </c>
      <c r="E238">
        <v>2</v>
      </c>
      <c r="F238">
        <v>20</v>
      </c>
      <c r="G238" t="b">
        <v>0</v>
      </c>
      <c r="H238">
        <v>2</v>
      </c>
      <c r="I238" t="str">
        <f>CHOOSE(H238+1,"Monday","Tuesday","Wednesday","Thursday","Friday","Saturday","Sunday")</f>
        <v>Wednesday</v>
      </c>
      <c r="J238">
        <v>2</v>
      </c>
      <c r="K238">
        <v>0.22</v>
      </c>
      <c r="L238" t="str">
        <f>IF(Table5[[#This Row],[temp]]&lt;24,"Cold","Hot")</f>
        <v>Cold</v>
      </c>
      <c r="M238">
        <v>0.2273</v>
      </c>
      <c r="N238">
        <v>0.87</v>
      </c>
      <c r="O238" t="str">
        <f>IF(Table5[[#This Row],[hum]]&lt;0.3,"Humid",IF(Table5[[#This Row],[hum]]&gt;=0.3,"High Humid"))</f>
        <v>High Humid</v>
      </c>
      <c r="P238">
        <v>0.1343</v>
      </c>
      <c r="Q238">
        <v>5</v>
      </c>
      <c r="R238">
        <v>69</v>
      </c>
      <c r="S238">
        <v>74</v>
      </c>
    </row>
    <row r="239" spans="1:19" x14ac:dyDescent="0.25">
      <c r="A239">
        <v>709</v>
      </c>
      <c r="B239" s="1">
        <v>40575</v>
      </c>
      <c r="C239">
        <v>1</v>
      </c>
      <c r="D239">
        <v>0</v>
      </c>
      <c r="E239">
        <v>2</v>
      </c>
      <c r="F239">
        <v>21</v>
      </c>
      <c r="G239" t="b">
        <v>0</v>
      </c>
      <c r="H239">
        <v>2</v>
      </c>
      <c r="I239" t="str">
        <f>CHOOSE(H239+1,"Monday","Tuesday","Wednesday","Thursday","Friday","Saturday","Sunday")</f>
        <v>Wednesday</v>
      </c>
      <c r="J239">
        <v>2</v>
      </c>
      <c r="K239">
        <v>0.22</v>
      </c>
      <c r="L239" t="str">
        <f>IF(Table5[[#This Row],[temp]]&lt;24,"Cold","Hot")</f>
        <v>Cold</v>
      </c>
      <c r="M239">
        <v>0.2273</v>
      </c>
      <c r="N239">
        <v>0.87</v>
      </c>
      <c r="O239" t="str">
        <f>IF(Table5[[#This Row],[hum]]&lt;0.3,"Humid",IF(Table5[[#This Row],[hum]]&gt;=0.3,"High Humid"))</f>
        <v>High Humid</v>
      </c>
      <c r="P239">
        <v>0.1343</v>
      </c>
      <c r="Q239">
        <v>0</v>
      </c>
      <c r="R239">
        <v>64</v>
      </c>
      <c r="S239">
        <v>64</v>
      </c>
    </row>
    <row r="240" spans="1:19" x14ac:dyDescent="0.25">
      <c r="A240">
        <v>710</v>
      </c>
      <c r="B240" s="1">
        <v>40575</v>
      </c>
      <c r="C240">
        <v>1</v>
      </c>
      <c r="D240">
        <v>0</v>
      </c>
      <c r="E240">
        <v>2</v>
      </c>
      <c r="F240">
        <v>22</v>
      </c>
      <c r="G240" t="b">
        <v>0</v>
      </c>
      <c r="H240">
        <v>2</v>
      </c>
      <c r="I240" t="str">
        <f>CHOOSE(H240+1,"Monday","Tuesday","Wednesday","Thursday","Friday","Saturday","Sunday")</f>
        <v>Wednesday</v>
      </c>
      <c r="J240">
        <v>2</v>
      </c>
      <c r="K240">
        <v>0.22</v>
      </c>
      <c r="L240" t="str">
        <f>IF(Table5[[#This Row],[temp]]&lt;24,"Cold","Hot")</f>
        <v>Cold</v>
      </c>
      <c r="M240">
        <v>0.2576</v>
      </c>
      <c r="N240">
        <v>0.87</v>
      </c>
      <c r="O240" t="str">
        <f>IF(Table5[[#This Row],[hum]]&lt;0.3,"Humid",IF(Table5[[#This Row],[hum]]&gt;=0.3,"High Humid"))</f>
        <v>High Humid</v>
      </c>
      <c r="P240">
        <v>8.9599999999999999E-2</v>
      </c>
      <c r="Q240">
        <v>2</v>
      </c>
      <c r="R240">
        <v>34</v>
      </c>
      <c r="S240">
        <v>36</v>
      </c>
    </row>
    <row r="241" spans="1:19" x14ac:dyDescent="0.25">
      <c r="A241">
        <v>711</v>
      </c>
      <c r="B241" s="1">
        <v>40575</v>
      </c>
      <c r="C241">
        <v>1</v>
      </c>
      <c r="D241">
        <v>0</v>
      </c>
      <c r="E241">
        <v>2</v>
      </c>
      <c r="F241">
        <v>23</v>
      </c>
      <c r="G241" t="b">
        <v>0</v>
      </c>
      <c r="H241">
        <v>2</v>
      </c>
      <c r="I241" t="str">
        <f>CHOOSE(H241+1,"Monday","Tuesday","Wednesday","Thursday","Friday","Saturday","Sunday")</f>
        <v>Wednesday</v>
      </c>
      <c r="J241">
        <v>3</v>
      </c>
      <c r="K241">
        <v>0.2</v>
      </c>
      <c r="L241" t="str">
        <f>IF(Table5[[#This Row],[temp]]&lt;24,"Cold","Hot")</f>
        <v>Cold</v>
      </c>
      <c r="M241">
        <v>0.19700000000000001</v>
      </c>
      <c r="N241">
        <v>0.93</v>
      </c>
      <c r="O241" t="str">
        <f>IF(Table5[[#This Row],[hum]]&lt;0.3,"Humid",IF(Table5[[#This Row],[hum]]&gt;=0.3,"High Humid"))</f>
        <v>High Humid</v>
      </c>
      <c r="P241">
        <v>0.19400000000000001</v>
      </c>
      <c r="Q241">
        <v>1</v>
      </c>
      <c r="R241">
        <v>15</v>
      </c>
      <c r="S241">
        <v>16</v>
      </c>
    </row>
    <row r="242" spans="1:19" x14ac:dyDescent="0.25">
      <c r="A242">
        <v>854</v>
      </c>
      <c r="B242" s="1">
        <v>40582</v>
      </c>
      <c r="C242">
        <v>1</v>
      </c>
      <c r="D242">
        <v>0</v>
      </c>
      <c r="E242">
        <v>2</v>
      </c>
      <c r="F242">
        <v>0</v>
      </c>
      <c r="G242" t="b">
        <v>0</v>
      </c>
      <c r="H242">
        <v>2</v>
      </c>
      <c r="I242" t="str">
        <f>CHOOSE(H242+1,"Monday","Tuesday","Wednesday","Thursday","Friday","Saturday","Sunday")</f>
        <v>Wednesday</v>
      </c>
      <c r="J242">
        <v>2</v>
      </c>
      <c r="K242">
        <v>0.28000000000000003</v>
      </c>
      <c r="L242" t="str">
        <f>IF(Table5[[#This Row],[temp]]&lt;24,"Cold","Hot")</f>
        <v>Cold</v>
      </c>
      <c r="M242">
        <v>0.31819999999999998</v>
      </c>
      <c r="N242">
        <v>0.87</v>
      </c>
      <c r="O242" t="str">
        <f>IF(Table5[[#This Row],[hum]]&lt;0.3,"Humid",IF(Table5[[#This Row],[hum]]&gt;=0.3,"High Humid"))</f>
        <v>High Humid</v>
      </c>
      <c r="P242">
        <v>0</v>
      </c>
      <c r="Q242">
        <v>4</v>
      </c>
      <c r="R242">
        <v>6</v>
      </c>
      <c r="S242">
        <v>10</v>
      </c>
    </row>
    <row r="243" spans="1:19" x14ac:dyDescent="0.25">
      <c r="A243">
        <v>855</v>
      </c>
      <c r="B243" s="1">
        <v>40582</v>
      </c>
      <c r="C243">
        <v>1</v>
      </c>
      <c r="D243">
        <v>0</v>
      </c>
      <c r="E243">
        <v>2</v>
      </c>
      <c r="F243">
        <v>1</v>
      </c>
      <c r="G243" t="b">
        <v>0</v>
      </c>
      <c r="H243">
        <v>2</v>
      </c>
      <c r="I243" t="str">
        <f>CHOOSE(H243+1,"Monday","Tuesday","Wednesday","Thursday","Friday","Saturday","Sunday")</f>
        <v>Wednesday</v>
      </c>
      <c r="J243">
        <v>2</v>
      </c>
      <c r="K243">
        <v>0.28000000000000003</v>
      </c>
      <c r="L243" t="str">
        <f>IF(Table5[[#This Row],[temp]]&lt;24,"Cold","Hot")</f>
        <v>Cold</v>
      </c>
      <c r="M243">
        <v>0.31819999999999998</v>
      </c>
      <c r="N243">
        <v>0.87</v>
      </c>
      <c r="O243" t="str">
        <f>IF(Table5[[#This Row],[hum]]&lt;0.3,"Humid",IF(Table5[[#This Row],[hum]]&gt;=0.3,"High Humid"))</f>
        <v>High Humid</v>
      </c>
      <c r="P243">
        <v>0</v>
      </c>
      <c r="Q243">
        <v>0</v>
      </c>
      <c r="R243">
        <v>4</v>
      </c>
      <c r="S243">
        <v>4</v>
      </c>
    </row>
    <row r="244" spans="1:19" x14ac:dyDescent="0.25">
      <c r="A244">
        <v>856</v>
      </c>
      <c r="B244" s="1">
        <v>40582</v>
      </c>
      <c r="C244">
        <v>1</v>
      </c>
      <c r="D244">
        <v>0</v>
      </c>
      <c r="E244">
        <v>2</v>
      </c>
      <c r="F244">
        <v>2</v>
      </c>
      <c r="G244" t="b">
        <v>0</v>
      </c>
      <c r="H244">
        <v>2</v>
      </c>
      <c r="I244" t="str">
        <f>CHOOSE(H244+1,"Monday","Tuesday","Wednesday","Thursday","Friday","Saturday","Sunday")</f>
        <v>Wednesday</v>
      </c>
      <c r="J244">
        <v>2</v>
      </c>
      <c r="K244">
        <v>0.26</v>
      </c>
      <c r="L244" t="str">
        <f>IF(Table5[[#This Row],[temp]]&lt;24,"Cold","Hot")</f>
        <v>Cold</v>
      </c>
      <c r="M244">
        <v>0.2727</v>
      </c>
      <c r="N244">
        <v>0.93</v>
      </c>
      <c r="O244" t="str">
        <f>IF(Table5[[#This Row],[hum]]&lt;0.3,"Humid",IF(Table5[[#This Row],[hum]]&gt;=0.3,"High Humid"))</f>
        <v>High Humid</v>
      </c>
      <c r="P244">
        <v>0.1045</v>
      </c>
      <c r="Q244">
        <v>1</v>
      </c>
      <c r="R244">
        <v>1</v>
      </c>
      <c r="S244">
        <v>2</v>
      </c>
    </row>
    <row r="245" spans="1:19" x14ac:dyDescent="0.25">
      <c r="A245">
        <v>857</v>
      </c>
      <c r="B245" s="1">
        <v>40582</v>
      </c>
      <c r="C245">
        <v>1</v>
      </c>
      <c r="D245">
        <v>0</v>
      </c>
      <c r="E245">
        <v>2</v>
      </c>
      <c r="F245">
        <v>3</v>
      </c>
      <c r="G245" t="b">
        <v>0</v>
      </c>
      <c r="H245">
        <v>2</v>
      </c>
      <c r="I245" t="str">
        <f>CHOOSE(H245+1,"Monday","Tuesday","Wednesday","Thursday","Friday","Saturday","Sunday")</f>
        <v>Wednesday</v>
      </c>
      <c r="J245">
        <v>3</v>
      </c>
      <c r="K245">
        <v>0.28000000000000003</v>
      </c>
      <c r="L245" t="str">
        <f>IF(Table5[[#This Row],[temp]]&lt;24,"Cold","Hot")</f>
        <v>Cold</v>
      </c>
      <c r="M245">
        <v>0.2727</v>
      </c>
      <c r="N245">
        <v>0.93</v>
      </c>
      <c r="O245" t="str">
        <f>IF(Table5[[#This Row],[hum]]&lt;0.3,"Humid",IF(Table5[[#This Row],[hum]]&gt;=0.3,"High Humid"))</f>
        <v>High Humid</v>
      </c>
      <c r="P245">
        <v>0.16420000000000001</v>
      </c>
      <c r="Q245">
        <v>0</v>
      </c>
      <c r="R245">
        <v>1</v>
      </c>
      <c r="S245">
        <v>1</v>
      </c>
    </row>
    <row r="246" spans="1:19" x14ac:dyDescent="0.25">
      <c r="A246">
        <v>858</v>
      </c>
      <c r="B246" s="1">
        <v>40582</v>
      </c>
      <c r="C246">
        <v>1</v>
      </c>
      <c r="D246">
        <v>0</v>
      </c>
      <c r="E246">
        <v>2</v>
      </c>
      <c r="F246">
        <v>4</v>
      </c>
      <c r="G246" t="b">
        <v>0</v>
      </c>
      <c r="H246">
        <v>2</v>
      </c>
      <c r="I246" t="str">
        <f>CHOOSE(H246+1,"Monday","Tuesday","Wednesday","Thursday","Friday","Saturday","Sunday")</f>
        <v>Wednesday</v>
      </c>
      <c r="J246">
        <v>1</v>
      </c>
      <c r="K246">
        <v>0.26</v>
      </c>
      <c r="L246" t="str">
        <f>IF(Table5[[#This Row],[temp]]&lt;24,"Cold","Hot")</f>
        <v>Cold</v>
      </c>
      <c r="M246">
        <v>0.2576</v>
      </c>
      <c r="N246">
        <v>0.93</v>
      </c>
      <c r="O246" t="str">
        <f>IF(Table5[[#This Row],[hum]]&lt;0.3,"Humid",IF(Table5[[#This Row],[hum]]&gt;=0.3,"High Humid"))</f>
        <v>High Humid</v>
      </c>
      <c r="P246">
        <v>0.16420000000000001</v>
      </c>
      <c r="Q246">
        <v>0</v>
      </c>
      <c r="R246">
        <v>3</v>
      </c>
      <c r="S246">
        <v>3</v>
      </c>
    </row>
    <row r="247" spans="1:19" x14ac:dyDescent="0.25">
      <c r="A247">
        <v>859</v>
      </c>
      <c r="B247" s="1">
        <v>40582</v>
      </c>
      <c r="C247">
        <v>1</v>
      </c>
      <c r="D247">
        <v>0</v>
      </c>
      <c r="E247">
        <v>2</v>
      </c>
      <c r="F247">
        <v>5</v>
      </c>
      <c r="G247" t="b">
        <v>0</v>
      </c>
      <c r="H247">
        <v>2</v>
      </c>
      <c r="I247" t="str">
        <f>CHOOSE(H247+1,"Monday","Tuesday","Wednesday","Thursday","Friday","Saturday","Sunday")</f>
        <v>Wednesday</v>
      </c>
      <c r="J247">
        <v>1</v>
      </c>
      <c r="K247">
        <v>0.26</v>
      </c>
      <c r="L247" t="str">
        <f>IF(Table5[[#This Row],[temp]]&lt;24,"Cold","Hot")</f>
        <v>Cold</v>
      </c>
      <c r="M247">
        <v>0.2273</v>
      </c>
      <c r="N247">
        <v>0.81</v>
      </c>
      <c r="O247" t="str">
        <f>IF(Table5[[#This Row],[hum]]&lt;0.3,"Humid",IF(Table5[[#This Row],[hum]]&gt;=0.3,"High Humid"))</f>
        <v>High Humid</v>
      </c>
      <c r="P247">
        <v>0.32840000000000003</v>
      </c>
      <c r="Q247">
        <v>0</v>
      </c>
      <c r="R247">
        <v>2</v>
      </c>
      <c r="S247">
        <v>2</v>
      </c>
    </row>
    <row r="248" spans="1:19" x14ac:dyDescent="0.25">
      <c r="A248">
        <v>860</v>
      </c>
      <c r="B248" s="1">
        <v>40582</v>
      </c>
      <c r="C248">
        <v>1</v>
      </c>
      <c r="D248">
        <v>0</v>
      </c>
      <c r="E248">
        <v>2</v>
      </c>
      <c r="F248">
        <v>6</v>
      </c>
      <c r="G248" t="b">
        <v>0</v>
      </c>
      <c r="H248">
        <v>2</v>
      </c>
      <c r="I248" t="str">
        <f>CHOOSE(H248+1,"Monday","Tuesday","Wednesday","Thursday","Friday","Saturday","Sunday")</f>
        <v>Wednesday</v>
      </c>
      <c r="J248">
        <v>1</v>
      </c>
      <c r="K248">
        <v>0.26</v>
      </c>
      <c r="L248" t="str">
        <f>IF(Table5[[#This Row],[temp]]&lt;24,"Cold","Hot")</f>
        <v>Cold</v>
      </c>
      <c r="M248">
        <v>0.2273</v>
      </c>
      <c r="N248">
        <v>0.7</v>
      </c>
      <c r="O248" t="str">
        <f>IF(Table5[[#This Row],[hum]]&lt;0.3,"Humid",IF(Table5[[#This Row],[hum]]&gt;=0.3,"High Humid"))</f>
        <v>High Humid</v>
      </c>
      <c r="P248">
        <v>0.32840000000000003</v>
      </c>
      <c r="Q248">
        <v>0</v>
      </c>
      <c r="R248">
        <v>39</v>
      </c>
      <c r="S248">
        <v>39</v>
      </c>
    </row>
    <row r="249" spans="1:19" x14ac:dyDescent="0.25">
      <c r="A249">
        <v>861</v>
      </c>
      <c r="B249" s="1">
        <v>40582</v>
      </c>
      <c r="C249">
        <v>1</v>
      </c>
      <c r="D249">
        <v>0</v>
      </c>
      <c r="E249">
        <v>2</v>
      </c>
      <c r="F249">
        <v>7</v>
      </c>
      <c r="G249" t="b">
        <v>0</v>
      </c>
      <c r="H249">
        <v>2</v>
      </c>
      <c r="I249" t="str">
        <f>CHOOSE(H249+1,"Monday","Tuesday","Wednesday","Thursday","Friday","Saturday","Sunday")</f>
        <v>Wednesday</v>
      </c>
      <c r="J249">
        <v>1</v>
      </c>
      <c r="K249">
        <v>0.24</v>
      </c>
      <c r="L249" t="str">
        <f>IF(Table5[[#This Row],[temp]]&lt;24,"Cold","Hot")</f>
        <v>Cold</v>
      </c>
      <c r="M249">
        <v>0.19700000000000001</v>
      </c>
      <c r="N249">
        <v>0.65</v>
      </c>
      <c r="O249" t="str">
        <f>IF(Table5[[#This Row],[hum]]&lt;0.3,"Humid",IF(Table5[[#This Row],[hum]]&gt;=0.3,"High Humid"))</f>
        <v>High Humid</v>
      </c>
      <c r="P249">
        <v>0.41789999999999999</v>
      </c>
      <c r="Q249">
        <v>3</v>
      </c>
      <c r="R249">
        <v>97</v>
      </c>
      <c r="S249">
        <v>100</v>
      </c>
    </row>
    <row r="250" spans="1:19" x14ac:dyDescent="0.25">
      <c r="A250">
        <v>862</v>
      </c>
      <c r="B250" s="1">
        <v>40582</v>
      </c>
      <c r="C250">
        <v>1</v>
      </c>
      <c r="D250">
        <v>0</v>
      </c>
      <c r="E250">
        <v>2</v>
      </c>
      <c r="F250">
        <v>8</v>
      </c>
      <c r="G250" t="b">
        <v>0</v>
      </c>
      <c r="H250">
        <v>2</v>
      </c>
      <c r="I250" t="str">
        <f>CHOOSE(H250+1,"Monday","Tuesday","Wednesday","Thursday","Friday","Saturday","Sunday")</f>
        <v>Wednesday</v>
      </c>
      <c r="J250">
        <v>1</v>
      </c>
      <c r="K250">
        <v>0.24</v>
      </c>
      <c r="L250" t="str">
        <f>IF(Table5[[#This Row],[temp]]&lt;24,"Cold","Hot")</f>
        <v>Cold</v>
      </c>
      <c r="M250">
        <v>0.19700000000000001</v>
      </c>
      <c r="N250">
        <v>0.56000000000000005</v>
      </c>
      <c r="O250" t="str">
        <f>IF(Table5[[#This Row],[hum]]&lt;0.3,"Humid",IF(Table5[[#This Row],[hum]]&gt;=0.3,"High Humid"))</f>
        <v>High Humid</v>
      </c>
      <c r="P250">
        <v>0.49249999999999999</v>
      </c>
      <c r="Q250">
        <v>7</v>
      </c>
      <c r="R250">
        <v>236</v>
      </c>
      <c r="S250">
        <v>243</v>
      </c>
    </row>
    <row r="251" spans="1:19" x14ac:dyDescent="0.25">
      <c r="A251">
        <v>863</v>
      </c>
      <c r="B251" s="1">
        <v>40582</v>
      </c>
      <c r="C251">
        <v>1</v>
      </c>
      <c r="D251">
        <v>0</v>
      </c>
      <c r="E251">
        <v>2</v>
      </c>
      <c r="F251">
        <v>9</v>
      </c>
      <c r="G251" t="b">
        <v>0</v>
      </c>
      <c r="H251">
        <v>2</v>
      </c>
      <c r="I251" t="str">
        <f>CHOOSE(H251+1,"Monday","Tuesday","Wednesday","Thursday","Friday","Saturday","Sunday")</f>
        <v>Wednesday</v>
      </c>
      <c r="J251">
        <v>1</v>
      </c>
      <c r="K251">
        <v>0.24</v>
      </c>
      <c r="L251" t="str">
        <f>IF(Table5[[#This Row],[temp]]&lt;24,"Cold","Hot")</f>
        <v>Cold</v>
      </c>
      <c r="M251">
        <v>0.19700000000000001</v>
      </c>
      <c r="N251">
        <v>0.52</v>
      </c>
      <c r="O251" t="str">
        <f>IF(Table5[[#This Row],[hum]]&lt;0.3,"Humid",IF(Table5[[#This Row],[hum]]&gt;=0.3,"High Humid"))</f>
        <v>High Humid</v>
      </c>
      <c r="P251">
        <v>0.49249999999999999</v>
      </c>
      <c r="Q251">
        <v>7</v>
      </c>
      <c r="R251">
        <v>128</v>
      </c>
      <c r="S251">
        <v>135</v>
      </c>
    </row>
    <row r="252" spans="1:19" x14ac:dyDescent="0.25">
      <c r="A252">
        <v>864</v>
      </c>
      <c r="B252" s="1">
        <v>40582</v>
      </c>
      <c r="C252">
        <v>1</v>
      </c>
      <c r="D252">
        <v>0</v>
      </c>
      <c r="E252">
        <v>2</v>
      </c>
      <c r="F252">
        <v>10</v>
      </c>
      <c r="G252" t="b">
        <v>0</v>
      </c>
      <c r="H252">
        <v>2</v>
      </c>
      <c r="I252" t="str">
        <f>CHOOSE(H252+1,"Monday","Tuesday","Wednesday","Thursday","Friday","Saturday","Sunday")</f>
        <v>Wednesday</v>
      </c>
      <c r="J252">
        <v>1</v>
      </c>
      <c r="K252">
        <v>0.22</v>
      </c>
      <c r="L252" t="str">
        <f>IF(Table5[[#This Row],[temp]]&lt;24,"Cold","Hot")</f>
        <v>Cold</v>
      </c>
      <c r="M252">
        <v>0.18179999999999999</v>
      </c>
      <c r="N252">
        <v>0.47</v>
      </c>
      <c r="O252" t="str">
        <f>IF(Table5[[#This Row],[hum]]&lt;0.3,"Humid",IF(Table5[[#This Row],[hum]]&gt;=0.3,"High Humid"))</f>
        <v>High Humid</v>
      </c>
      <c r="P252">
        <v>0.55220000000000002</v>
      </c>
      <c r="Q252">
        <v>4</v>
      </c>
      <c r="R252">
        <v>44</v>
      </c>
      <c r="S252">
        <v>48</v>
      </c>
    </row>
    <row r="253" spans="1:19" x14ac:dyDescent="0.25">
      <c r="A253">
        <v>865</v>
      </c>
      <c r="B253" s="1">
        <v>40582</v>
      </c>
      <c r="C253">
        <v>1</v>
      </c>
      <c r="D253">
        <v>0</v>
      </c>
      <c r="E253">
        <v>2</v>
      </c>
      <c r="F253">
        <v>11</v>
      </c>
      <c r="G253" t="b">
        <v>0</v>
      </c>
      <c r="H253">
        <v>2</v>
      </c>
      <c r="I253" t="str">
        <f>CHOOSE(H253+1,"Monday","Tuesday","Wednesday","Thursday","Friday","Saturday","Sunday")</f>
        <v>Wednesday</v>
      </c>
      <c r="J253">
        <v>1</v>
      </c>
      <c r="K253">
        <v>0.22</v>
      </c>
      <c r="L253" t="str">
        <f>IF(Table5[[#This Row],[temp]]&lt;24,"Cold","Hot")</f>
        <v>Cold</v>
      </c>
      <c r="M253">
        <v>0.18179999999999999</v>
      </c>
      <c r="N253">
        <v>0.47</v>
      </c>
      <c r="O253" t="str">
        <f>IF(Table5[[#This Row],[hum]]&lt;0.3,"Humid",IF(Table5[[#This Row],[hum]]&gt;=0.3,"High Humid"))</f>
        <v>High Humid</v>
      </c>
      <c r="P253">
        <v>0.4627</v>
      </c>
      <c r="Q253">
        <v>1</v>
      </c>
      <c r="R253">
        <v>49</v>
      </c>
      <c r="S253">
        <v>50</v>
      </c>
    </row>
    <row r="254" spans="1:19" x14ac:dyDescent="0.25">
      <c r="A254">
        <v>866</v>
      </c>
      <c r="B254" s="1">
        <v>40582</v>
      </c>
      <c r="C254">
        <v>1</v>
      </c>
      <c r="D254">
        <v>0</v>
      </c>
      <c r="E254">
        <v>2</v>
      </c>
      <c r="F254">
        <v>12</v>
      </c>
      <c r="G254" t="b">
        <v>0</v>
      </c>
      <c r="H254">
        <v>2</v>
      </c>
      <c r="I254" t="str">
        <f>CHOOSE(H254+1,"Monday","Tuesday","Wednesday","Thursday","Friday","Saturday","Sunday")</f>
        <v>Wednesday</v>
      </c>
      <c r="J254">
        <v>1</v>
      </c>
      <c r="K254">
        <v>0.24</v>
      </c>
      <c r="L254" t="str">
        <f>IF(Table5[[#This Row],[temp]]&lt;24,"Cold","Hot")</f>
        <v>Cold</v>
      </c>
      <c r="M254">
        <v>0.19700000000000001</v>
      </c>
      <c r="N254">
        <v>0.38</v>
      </c>
      <c r="O254" t="str">
        <f>IF(Table5[[#This Row],[hum]]&lt;0.3,"Humid",IF(Table5[[#This Row],[hum]]&gt;=0.3,"High Humid"))</f>
        <v>High Humid</v>
      </c>
      <c r="P254">
        <v>0.49249999999999999</v>
      </c>
      <c r="Q254">
        <v>2</v>
      </c>
      <c r="R254">
        <v>63</v>
      </c>
      <c r="S254">
        <v>65</v>
      </c>
    </row>
    <row r="255" spans="1:19" x14ac:dyDescent="0.25">
      <c r="A255">
        <v>867</v>
      </c>
      <c r="B255" s="1">
        <v>40582</v>
      </c>
      <c r="C255">
        <v>1</v>
      </c>
      <c r="D255">
        <v>0</v>
      </c>
      <c r="E255">
        <v>2</v>
      </c>
      <c r="F255">
        <v>13</v>
      </c>
      <c r="G255" t="b">
        <v>0</v>
      </c>
      <c r="H255">
        <v>2</v>
      </c>
      <c r="I255" t="str">
        <f>CHOOSE(H255+1,"Monday","Tuesday","Wednesday","Thursday","Friday","Saturday","Sunday")</f>
        <v>Wednesday</v>
      </c>
      <c r="J255">
        <v>2</v>
      </c>
      <c r="K255">
        <v>0.24</v>
      </c>
      <c r="L255" t="str">
        <f>IF(Table5[[#This Row],[temp]]&lt;24,"Cold","Hot")</f>
        <v>Cold</v>
      </c>
      <c r="M255">
        <v>0.19700000000000001</v>
      </c>
      <c r="N255">
        <v>0.32</v>
      </c>
      <c r="O255" t="str">
        <f>IF(Table5[[#This Row],[hum]]&lt;0.3,"Humid",IF(Table5[[#This Row],[hum]]&gt;=0.3,"High Humid"))</f>
        <v>High Humid</v>
      </c>
      <c r="P255">
        <v>0.44779999999999998</v>
      </c>
      <c r="Q255">
        <v>2</v>
      </c>
      <c r="R255">
        <v>48</v>
      </c>
      <c r="S255">
        <v>50</v>
      </c>
    </row>
    <row r="256" spans="1:19" x14ac:dyDescent="0.25">
      <c r="A256">
        <v>868</v>
      </c>
      <c r="B256" s="1">
        <v>40582</v>
      </c>
      <c r="C256">
        <v>1</v>
      </c>
      <c r="D256">
        <v>0</v>
      </c>
      <c r="E256">
        <v>2</v>
      </c>
      <c r="F256">
        <v>14</v>
      </c>
      <c r="G256" t="b">
        <v>0</v>
      </c>
      <c r="H256">
        <v>2</v>
      </c>
      <c r="I256" t="str">
        <f>CHOOSE(H256+1,"Monday","Tuesday","Wednesday","Thursday","Friday","Saturday","Sunday")</f>
        <v>Wednesday</v>
      </c>
      <c r="J256">
        <v>1</v>
      </c>
      <c r="K256">
        <v>0.22</v>
      </c>
      <c r="L256" t="str">
        <f>IF(Table5[[#This Row],[temp]]&lt;24,"Cold","Hot")</f>
        <v>Cold</v>
      </c>
      <c r="M256">
        <v>0.19700000000000001</v>
      </c>
      <c r="N256">
        <v>0.37</v>
      </c>
      <c r="O256" t="str">
        <f>IF(Table5[[#This Row],[hum]]&lt;0.3,"Humid",IF(Table5[[#This Row],[hum]]&gt;=0.3,"High Humid"))</f>
        <v>High Humid</v>
      </c>
      <c r="P256">
        <v>0.41789999999999999</v>
      </c>
      <c r="Q256">
        <v>3</v>
      </c>
      <c r="R256">
        <v>61</v>
      </c>
      <c r="S256">
        <v>64</v>
      </c>
    </row>
    <row r="257" spans="1:19" x14ac:dyDescent="0.25">
      <c r="A257">
        <v>869</v>
      </c>
      <c r="B257" s="1">
        <v>40582</v>
      </c>
      <c r="C257">
        <v>1</v>
      </c>
      <c r="D257">
        <v>0</v>
      </c>
      <c r="E257">
        <v>2</v>
      </c>
      <c r="F257">
        <v>15</v>
      </c>
      <c r="G257" t="b">
        <v>0</v>
      </c>
      <c r="H257">
        <v>2</v>
      </c>
      <c r="I257" t="str">
        <f>CHOOSE(H257+1,"Monday","Tuesday","Wednesday","Thursday","Friday","Saturday","Sunday")</f>
        <v>Wednesday</v>
      </c>
      <c r="J257">
        <v>1</v>
      </c>
      <c r="K257">
        <v>0.22</v>
      </c>
      <c r="L257" t="str">
        <f>IF(Table5[[#This Row],[temp]]&lt;24,"Cold","Hot")</f>
        <v>Cold</v>
      </c>
      <c r="M257">
        <v>0.19700000000000001</v>
      </c>
      <c r="N257">
        <v>0.35</v>
      </c>
      <c r="O257" t="str">
        <f>IF(Table5[[#This Row],[hum]]&lt;0.3,"Humid",IF(Table5[[#This Row],[hum]]&gt;=0.3,"High Humid"))</f>
        <v>High Humid</v>
      </c>
      <c r="P257">
        <v>0.3881</v>
      </c>
      <c r="Q257">
        <v>6</v>
      </c>
      <c r="R257">
        <v>45</v>
      </c>
      <c r="S257">
        <v>51</v>
      </c>
    </row>
    <row r="258" spans="1:19" x14ac:dyDescent="0.25">
      <c r="A258">
        <v>870</v>
      </c>
      <c r="B258" s="1">
        <v>40582</v>
      </c>
      <c r="C258">
        <v>1</v>
      </c>
      <c r="D258">
        <v>0</v>
      </c>
      <c r="E258">
        <v>2</v>
      </c>
      <c r="F258">
        <v>16</v>
      </c>
      <c r="G258" t="b">
        <v>0</v>
      </c>
      <c r="H258">
        <v>2</v>
      </c>
      <c r="I258" t="str">
        <f>CHOOSE(H258+1,"Monday","Tuesday","Wednesday","Thursday","Friday","Saturday","Sunday")</f>
        <v>Wednesday</v>
      </c>
      <c r="J258">
        <v>1</v>
      </c>
      <c r="K258">
        <v>0.22</v>
      </c>
      <c r="L258" t="str">
        <f>IF(Table5[[#This Row],[temp]]&lt;24,"Cold","Hot")</f>
        <v>Cold</v>
      </c>
      <c r="M258">
        <v>0.18179999999999999</v>
      </c>
      <c r="N258">
        <v>0.35</v>
      </c>
      <c r="O258" t="str">
        <f>IF(Table5[[#This Row],[hum]]&lt;0.3,"Humid",IF(Table5[[#This Row],[hum]]&gt;=0.3,"High Humid"))</f>
        <v>High Humid</v>
      </c>
      <c r="P258">
        <v>0.52239999999999998</v>
      </c>
      <c r="Q258">
        <v>4</v>
      </c>
      <c r="R258">
        <v>79</v>
      </c>
      <c r="S258">
        <v>83</v>
      </c>
    </row>
    <row r="259" spans="1:19" x14ac:dyDescent="0.25">
      <c r="A259">
        <v>871</v>
      </c>
      <c r="B259" s="1">
        <v>40582</v>
      </c>
      <c r="C259">
        <v>1</v>
      </c>
      <c r="D259">
        <v>0</v>
      </c>
      <c r="E259">
        <v>2</v>
      </c>
      <c r="F259">
        <v>17</v>
      </c>
      <c r="G259" t="b">
        <v>0</v>
      </c>
      <c r="H259">
        <v>2</v>
      </c>
      <c r="I259" t="str">
        <f>CHOOSE(H259+1,"Monday","Tuesday","Wednesday","Thursday","Friday","Saturday","Sunday")</f>
        <v>Wednesday</v>
      </c>
      <c r="J259">
        <v>1</v>
      </c>
      <c r="K259">
        <v>0.22</v>
      </c>
      <c r="L259" t="str">
        <f>IF(Table5[[#This Row],[temp]]&lt;24,"Cold","Hot")</f>
        <v>Cold</v>
      </c>
      <c r="M259">
        <v>0.18179999999999999</v>
      </c>
      <c r="N259">
        <v>0.32</v>
      </c>
      <c r="O259" t="str">
        <f>IF(Table5[[#This Row],[hum]]&lt;0.3,"Humid",IF(Table5[[#This Row],[hum]]&gt;=0.3,"High Humid"))</f>
        <v>High Humid</v>
      </c>
      <c r="P259">
        <v>0.58209999999999995</v>
      </c>
      <c r="Q259">
        <v>4</v>
      </c>
      <c r="R259">
        <v>172</v>
      </c>
      <c r="S259">
        <v>176</v>
      </c>
    </row>
    <row r="260" spans="1:19" x14ac:dyDescent="0.25">
      <c r="A260">
        <v>872</v>
      </c>
      <c r="B260" s="1">
        <v>40582</v>
      </c>
      <c r="C260">
        <v>1</v>
      </c>
      <c r="D260">
        <v>0</v>
      </c>
      <c r="E260">
        <v>2</v>
      </c>
      <c r="F260">
        <v>18</v>
      </c>
      <c r="G260" t="b">
        <v>0</v>
      </c>
      <c r="H260">
        <v>2</v>
      </c>
      <c r="I260" t="str">
        <f>CHOOSE(H260+1,"Monday","Tuesday","Wednesday","Thursday","Friday","Saturday","Sunday")</f>
        <v>Wednesday</v>
      </c>
      <c r="J260">
        <v>1</v>
      </c>
      <c r="K260">
        <v>0.2</v>
      </c>
      <c r="L260" t="str">
        <f>IF(Table5[[#This Row],[temp]]&lt;24,"Cold","Hot")</f>
        <v>Cold</v>
      </c>
      <c r="M260">
        <v>0.18179999999999999</v>
      </c>
      <c r="N260">
        <v>0.32</v>
      </c>
      <c r="O260" t="str">
        <f>IF(Table5[[#This Row],[hum]]&lt;0.3,"Humid",IF(Table5[[#This Row],[hum]]&gt;=0.3,"High Humid"))</f>
        <v>High Humid</v>
      </c>
      <c r="P260">
        <v>0.3881</v>
      </c>
      <c r="Q260">
        <v>1</v>
      </c>
      <c r="R260">
        <v>151</v>
      </c>
      <c r="S260">
        <v>152</v>
      </c>
    </row>
    <row r="261" spans="1:19" x14ac:dyDescent="0.25">
      <c r="A261">
        <v>873</v>
      </c>
      <c r="B261" s="1">
        <v>40582</v>
      </c>
      <c r="C261">
        <v>1</v>
      </c>
      <c r="D261">
        <v>0</v>
      </c>
      <c r="E261">
        <v>2</v>
      </c>
      <c r="F261">
        <v>19</v>
      </c>
      <c r="G261" t="b">
        <v>0</v>
      </c>
      <c r="H261">
        <v>2</v>
      </c>
      <c r="I261" t="str">
        <f>CHOOSE(H261+1,"Monday","Tuesday","Wednesday","Thursday","Friday","Saturday","Sunday")</f>
        <v>Wednesday</v>
      </c>
      <c r="J261">
        <v>1</v>
      </c>
      <c r="K261">
        <v>0.16</v>
      </c>
      <c r="L261" t="str">
        <f>IF(Table5[[#This Row],[temp]]&lt;24,"Cold","Hot")</f>
        <v>Cold</v>
      </c>
      <c r="M261">
        <v>0.1212</v>
      </c>
      <c r="N261">
        <v>0.4</v>
      </c>
      <c r="O261" t="str">
        <f>IF(Table5[[#This Row],[hum]]&lt;0.3,"Humid",IF(Table5[[#This Row],[hum]]&gt;=0.3,"High Humid"))</f>
        <v>High Humid</v>
      </c>
      <c r="P261">
        <v>0.4627</v>
      </c>
      <c r="Q261">
        <v>1</v>
      </c>
      <c r="R261">
        <v>100</v>
      </c>
      <c r="S261">
        <v>101</v>
      </c>
    </row>
    <row r="262" spans="1:19" x14ac:dyDescent="0.25">
      <c r="A262">
        <v>874</v>
      </c>
      <c r="B262" s="1">
        <v>40582</v>
      </c>
      <c r="C262">
        <v>1</v>
      </c>
      <c r="D262">
        <v>0</v>
      </c>
      <c r="E262">
        <v>2</v>
      </c>
      <c r="F262">
        <v>20</v>
      </c>
      <c r="G262" t="b">
        <v>0</v>
      </c>
      <c r="H262">
        <v>2</v>
      </c>
      <c r="I262" t="str">
        <f>CHOOSE(H262+1,"Monday","Tuesday","Wednesday","Thursday","Friday","Saturday","Sunday")</f>
        <v>Wednesday</v>
      </c>
      <c r="J262">
        <v>1</v>
      </c>
      <c r="K262">
        <v>0.16</v>
      </c>
      <c r="L262" t="str">
        <f>IF(Table5[[#This Row],[temp]]&lt;24,"Cold","Hot")</f>
        <v>Cold</v>
      </c>
      <c r="M262">
        <v>0.13639999999999999</v>
      </c>
      <c r="N262">
        <v>0.4</v>
      </c>
      <c r="O262" t="str">
        <f>IF(Table5[[#This Row],[hum]]&lt;0.3,"Humid",IF(Table5[[#This Row],[hum]]&gt;=0.3,"High Humid"))</f>
        <v>High Humid</v>
      </c>
      <c r="P262">
        <v>0.32840000000000003</v>
      </c>
      <c r="Q262">
        <v>3</v>
      </c>
      <c r="R262">
        <v>53</v>
      </c>
      <c r="S262">
        <v>56</v>
      </c>
    </row>
    <row r="263" spans="1:19" x14ac:dyDescent="0.25">
      <c r="A263">
        <v>875</v>
      </c>
      <c r="B263" s="1">
        <v>40582</v>
      </c>
      <c r="C263">
        <v>1</v>
      </c>
      <c r="D263">
        <v>0</v>
      </c>
      <c r="E263">
        <v>2</v>
      </c>
      <c r="F263">
        <v>21</v>
      </c>
      <c r="G263" t="b">
        <v>0</v>
      </c>
      <c r="H263">
        <v>2</v>
      </c>
      <c r="I263" t="str">
        <f>CHOOSE(H263+1,"Monday","Tuesday","Wednesday","Thursday","Friday","Saturday","Sunday")</f>
        <v>Wednesday</v>
      </c>
      <c r="J263">
        <v>1</v>
      </c>
      <c r="K263">
        <v>0.14000000000000001</v>
      </c>
      <c r="L263" t="str">
        <f>IF(Table5[[#This Row],[temp]]&lt;24,"Cold","Hot")</f>
        <v>Cold</v>
      </c>
      <c r="M263">
        <v>0.1061</v>
      </c>
      <c r="N263">
        <v>0.33</v>
      </c>
      <c r="O263" t="str">
        <f>IF(Table5[[#This Row],[hum]]&lt;0.3,"Humid",IF(Table5[[#This Row],[hum]]&gt;=0.3,"High Humid"))</f>
        <v>High Humid</v>
      </c>
      <c r="P263">
        <v>0.4627</v>
      </c>
      <c r="Q263">
        <v>8</v>
      </c>
      <c r="R263">
        <v>46</v>
      </c>
      <c r="S263">
        <v>54</v>
      </c>
    </row>
    <row r="264" spans="1:19" x14ac:dyDescent="0.25">
      <c r="A264">
        <v>876</v>
      </c>
      <c r="B264" s="1">
        <v>40582</v>
      </c>
      <c r="C264">
        <v>1</v>
      </c>
      <c r="D264">
        <v>0</v>
      </c>
      <c r="E264">
        <v>2</v>
      </c>
      <c r="F264">
        <v>22</v>
      </c>
      <c r="G264" t="b">
        <v>0</v>
      </c>
      <c r="H264">
        <v>2</v>
      </c>
      <c r="I264" t="str">
        <f>CHOOSE(H264+1,"Monday","Tuesday","Wednesday","Thursday","Friday","Saturday","Sunday")</f>
        <v>Wednesday</v>
      </c>
      <c r="J264">
        <v>1</v>
      </c>
      <c r="K264">
        <v>0.12</v>
      </c>
      <c r="L264" t="str">
        <f>IF(Table5[[#This Row],[temp]]&lt;24,"Cold","Hot")</f>
        <v>Cold</v>
      </c>
      <c r="M264">
        <v>0.1061</v>
      </c>
      <c r="N264">
        <v>0.33</v>
      </c>
      <c r="O264" t="str">
        <f>IF(Table5[[#This Row],[hum]]&lt;0.3,"Humid",IF(Table5[[#This Row],[hum]]&gt;=0.3,"High Humid"))</f>
        <v>High Humid</v>
      </c>
      <c r="P264">
        <v>0.35820000000000002</v>
      </c>
      <c r="Q264">
        <v>0</v>
      </c>
      <c r="R264">
        <v>29</v>
      </c>
      <c r="S264">
        <v>29</v>
      </c>
    </row>
    <row r="265" spans="1:19" x14ac:dyDescent="0.25">
      <c r="A265">
        <v>877</v>
      </c>
      <c r="B265" s="1">
        <v>40582</v>
      </c>
      <c r="C265">
        <v>1</v>
      </c>
      <c r="D265">
        <v>0</v>
      </c>
      <c r="E265">
        <v>2</v>
      </c>
      <c r="F265">
        <v>23</v>
      </c>
      <c r="G265" t="b">
        <v>0</v>
      </c>
      <c r="H265">
        <v>2</v>
      </c>
      <c r="I265" t="str">
        <f>CHOOSE(H265+1,"Monday","Tuesday","Wednesday","Thursday","Friday","Saturday","Sunday")</f>
        <v>Wednesday</v>
      </c>
      <c r="J265">
        <v>1</v>
      </c>
      <c r="K265">
        <v>0.12</v>
      </c>
      <c r="L265" t="str">
        <f>IF(Table5[[#This Row],[temp]]&lt;24,"Cold","Hot")</f>
        <v>Cold</v>
      </c>
      <c r="M265">
        <v>0.1061</v>
      </c>
      <c r="N265">
        <v>0.33</v>
      </c>
      <c r="O265" t="str">
        <f>IF(Table5[[#This Row],[hum]]&lt;0.3,"Humid",IF(Table5[[#This Row],[hum]]&gt;=0.3,"High Humid"))</f>
        <v>High Humid</v>
      </c>
      <c r="P265">
        <v>0.32840000000000003</v>
      </c>
      <c r="Q265">
        <v>3</v>
      </c>
      <c r="R265">
        <v>9</v>
      </c>
      <c r="S265">
        <v>12</v>
      </c>
    </row>
    <row r="266" spans="1:19" x14ac:dyDescent="0.25">
      <c r="A266">
        <v>665</v>
      </c>
      <c r="B266" s="1">
        <v>40574</v>
      </c>
      <c r="C266">
        <v>1</v>
      </c>
      <c r="D266">
        <v>0</v>
      </c>
      <c r="E266">
        <v>1</v>
      </c>
      <c r="F266">
        <v>0</v>
      </c>
      <c r="G266" t="b">
        <v>0</v>
      </c>
      <c r="H266">
        <v>1</v>
      </c>
      <c r="I266" t="str">
        <f>CHOOSE(H266+1,"Monday","Tuesday","Wednesday","Thursday","Friday","Saturday","Sunday")</f>
        <v>Tuesday</v>
      </c>
      <c r="J266">
        <v>2</v>
      </c>
      <c r="K266">
        <v>0.24</v>
      </c>
      <c r="L266" t="str">
        <f>IF(Table5[[#This Row],[temp]]&lt;24,"Cold","Hot")</f>
        <v>Cold</v>
      </c>
      <c r="M266">
        <v>0.2273</v>
      </c>
      <c r="N266">
        <v>0.65</v>
      </c>
      <c r="O266" t="str">
        <f>IF(Table5[[#This Row],[hum]]&lt;0.3,"Humid",IF(Table5[[#This Row],[hum]]&gt;=0.3,"High Humid"))</f>
        <v>High Humid</v>
      </c>
      <c r="P266">
        <v>0.22389999999999999</v>
      </c>
      <c r="Q266">
        <v>1</v>
      </c>
      <c r="R266">
        <v>6</v>
      </c>
      <c r="S266">
        <v>7</v>
      </c>
    </row>
    <row r="267" spans="1:19" x14ac:dyDescent="0.25">
      <c r="A267">
        <v>666</v>
      </c>
      <c r="B267" s="1">
        <v>40574</v>
      </c>
      <c r="C267">
        <v>1</v>
      </c>
      <c r="D267">
        <v>0</v>
      </c>
      <c r="E267">
        <v>1</v>
      </c>
      <c r="F267">
        <v>1</v>
      </c>
      <c r="G267" t="b">
        <v>0</v>
      </c>
      <c r="H267">
        <v>1</v>
      </c>
      <c r="I267" t="str">
        <f>CHOOSE(H267+1,"Monday","Tuesday","Wednesday","Thursday","Friday","Saturday","Sunday")</f>
        <v>Tuesday</v>
      </c>
      <c r="J267">
        <v>1</v>
      </c>
      <c r="K267">
        <v>0.22</v>
      </c>
      <c r="L267" t="str">
        <f>IF(Table5[[#This Row],[temp]]&lt;24,"Cold","Hot")</f>
        <v>Cold</v>
      </c>
      <c r="M267">
        <v>0.21210000000000001</v>
      </c>
      <c r="N267">
        <v>0.64</v>
      </c>
      <c r="O267" t="str">
        <f>IF(Table5[[#This Row],[hum]]&lt;0.3,"Humid",IF(Table5[[#This Row],[hum]]&gt;=0.3,"High Humid"))</f>
        <v>High Humid</v>
      </c>
      <c r="P267">
        <v>0.25369999999999998</v>
      </c>
      <c r="Q267">
        <v>2</v>
      </c>
      <c r="R267">
        <v>5</v>
      </c>
      <c r="S267">
        <v>7</v>
      </c>
    </row>
    <row r="268" spans="1:19" x14ac:dyDescent="0.25">
      <c r="A268">
        <v>667</v>
      </c>
      <c r="B268" s="1">
        <v>40574</v>
      </c>
      <c r="C268">
        <v>1</v>
      </c>
      <c r="D268">
        <v>0</v>
      </c>
      <c r="E268">
        <v>1</v>
      </c>
      <c r="F268">
        <v>2</v>
      </c>
      <c r="G268" t="b">
        <v>0</v>
      </c>
      <c r="H268">
        <v>1</v>
      </c>
      <c r="I268" t="str">
        <f>CHOOSE(H268+1,"Monday","Tuesday","Wednesday","Thursday","Friday","Saturday","Sunday")</f>
        <v>Tuesday</v>
      </c>
      <c r="J268">
        <v>1</v>
      </c>
      <c r="K268">
        <v>0.22</v>
      </c>
      <c r="L268" t="str">
        <f>IF(Table5[[#This Row],[temp]]&lt;24,"Cold","Hot")</f>
        <v>Cold</v>
      </c>
      <c r="M268">
        <v>0.2273</v>
      </c>
      <c r="N268">
        <v>0.64</v>
      </c>
      <c r="O268" t="str">
        <f>IF(Table5[[#This Row],[hum]]&lt;0.3,"Humid",IF(Table5[[#This Row],[hum]]&gt;=0.3,"High Humid"))</f>
        <v>High Humid</v>
      </c>
      <c r="P268">
        <v>0.19400000000000001</v>
      </c>
      <c r="Q268">
        <v>0</v>
      </c>
      <c r="R268">
        <v>1</v>
      </c>
      <c r="S268">
        <v>1</v>
      </c>
    </row>
    <row r="269" spans="1:19" x14ac:dyDescent="0.25">
      <c r="A269">
        <v>668</v>
      </c>
      <c r="B269" s="1">
        <v>40574</v>
      </c>
      <c r="C269">
        <v>1</v>
      </c>
      <c r="D269">
        <v>0</v>
      </c>
      <c r="E269">
        <v>1</v>
      </c>
      <c r="F269">
        <v>3</v>
      </c>
      <c r="G269" t="b">
        <v>0</v>
      </c>
      <c r="H269">
        <v>1</v>
      </c>
      <c r="I269" t="str">
        <f>CHOOSE(H269+1,"Monday","Tuesday","Wednesday","Thursday","Friday","Saturday","Sunday")</f>
        <v>Tuesday</v>
      </c>
      <c r="J269">
        <v>1</v>
      </c>
      <c r="K269">
        <v>0.22</v>
      </c>
      <c r="L269" t="str">
        <f>IF(Table5[[#This Row],[temp]]&lt;24,"Cold","Hot")</f>
        <v>Cold</v>
      </c>
      <c r="M269">
        <v>0.2273</v>
      </c>
      <c r="N269">
        <v>0.64</v>
      </c>
      <c r="O269" t="str">
        <f>IF(Table5[[#This Row],[hum]]&lt;0.3,"Humid",IF(Table5[[#This Row],[hum]]&gt;=0.3,"High Humid"))</f>
        <v>High Humid</v>
      </c>
      <c r="P269">
        <v>0.19400000000000001</v>
      </c>
      <c r="Q269">
        <v>0</v>
      </c>
      <c r="R269">
        <v>2</v>
      </c>
      <c r="S269">
        <v>2</v>
      </c>
    </row>
    <row r="270" spans="1:19" x14ac:dyDescent="0.25">
      <c r="A270">
        <v>669</v>
      </c>
      <c r="B270" s="1">
        <v>40574</v>
      </c>
      <c r="C270">
        <v>1</v>
      </c>
      <c r="D270">
        <v>0</v>
      </c>
      <c r="E270">
        <v>1</v>
      </c>
      <c r="F270">
        <v>4</v>
      </c>
      <c r="G270" t="b">
        <v>0</v>
      </c>
      <c r="H270">
        <v>1</v>
      </c>
      <c r="I270" t="str">
        <f>CHOOSE(H270+1,"Monday","Tuesday","Wednesday","Thursday","Friday","Saturday","Sunday")</f>
        <v>Tuesday</v>
      </c>
      <c r="J270">
        <v>1</v>
      </c>
      <c r="K270">
        <v>0.2</v>
      </c>
      <c r="L270" t="str">
        <f>IF(Table5[[#This Row],[temp]]&lt;24,"Cold","Hot")</f>
        <v>Cold</v>
      </c>
      <c r="M270">
        <v>0.19700000000000001</v>
      </c>
      <c r="N270">
        <v>0.59</v>
      </c>
      <c r="O270" t="str">
        <f>IF(Table5[[#This Row],[hum]]&lt;0.3,"Humid",IF(Table5[[#This Row],[hum]]&gt;=0.3,"High Humid"))</f>
        <v>High Humid</v>
      </c>
      <c r="P270">
        <v>0.22389999999999999</v>
      </c>
      <c r="Q270">
        <v>0</v>
      </c>
      <c r="R270">
        <v>2</v>
      </c>
      <c r="S270">
        <v>2</v>
      </c>
    </row>
    <row r="271" spans="1:19" x14ac:dyDescent="0.25">
      <c r="A271">
        <v>670</v>
      </c>
      <c r="B271" s="1">
        <v>40574</v>
      </c>
      <c r="C271">
        <v>1</v>
      </c>
      <c r="D271">
        <v>0</v>
      </c>
      <c r="E271">
        <v>1</v>
      </c>
      <c r="F271">
        <v>5</v>
      </c>
      <c r="G271" t="b">
        <v>0</v>
      </c>
      <c r="H271">
        <v>1</v>
      </c>
      <c r="I271" t="str">
        <f>CHOOSE(H271+1,"Monday","Tuesday","Wednesday","Thursday","Friday","Saturday","Sunday")</f>
        <v>Tuesday</v>
      </c>
      <c r="J271">
        <v>1</v>
      </c>
      <c r="K271">
        <v>0.18</v>
      </c>
      <c r="L271" t="str">
        <f>IF(Table5[[#This Row],[temp]]&lt;24,"Cold","Hot")</f>
        <v>Cold</v>
      </c>
      <c r="M271">
        <v>0.16669999999999999</v>
      </c>
      <c r="N271">
        <v>0.64</v>
      </c>
      <c r="O271" t="str">
        <f>IF(Table5[[#This Row],[hum]]&lt;0.3,"Humid",IF(Table5[[#This Row],[hum]]&gt;=0.3,"High Humid"))</f>
        <v>High Humid</v>
      </c>
      <c r="P271">
        <v>0.28360000000000002</v>
      </c>
      <c r="Q271">
        <v>0</v>
      </c>
      <c r="R271">
        <v>8</v>
      </c>
      <c r="S271">
        <v>8</v>
      </c>
    </row>
    <row r="272" spans="1:19" x14ac:dyDescent="0.25">
      <c r="A272">
        <v>671</v>
      </c>
      <c r="B272" s="1">
        <v>40574</v>
      </c>
      <c r="C272">
        <v>1</v>
      </c>
      <c r="D272">
        <v>0</v>
      </c>
      <c r="E272">
        <v>1</v>
      </c>
      <c r="F272">
        <v>6</v>
      </c>
      <c r="G272" t="b">
        <v>0</v>
      </c>
      <c r="H272">
        <v>1</v>
      </c>
      <c r="I272" t="str">
        <f>CHOOSE(H272+1,"Monday","Tuesday","Wednesday","Thursday","Friday","Saturday","Sunday")</f>
        <v>Tuesday</v>
      </c>
      <c r="J272">
        <v>1</v>
      </c>
      <c r="K272">
        <v>0.16</v>
      </c>
      <c r="L272" t="str">
        <f>IF(Table5[[#This Row],[temp]]&lt;24,"Cold","Hot")</f>
        <v>Cold</v>
      </c>
      <c r="M272">
        <v>0.13639999999999999</v>
      </c>
      <c r="N272">
        <v>0.69</v>
      </c>
      <c r="O272" t="str">
        <f>IF(Table5[[#This Row],[hum]]&lt;0.3,"Humid",IF(Table5[[#This Row],[hum]]&gt;=0.3,"High Humid"))</f>
        <v>High Humid</v>
      </c>
      <c r="P272">
        <v>0.32840000000000003</v>
      </c>
      <c r="Q272">
        <v>0</v>
      </c>
      <c r="R272">
        <v>37</v>
      </c>
      <c r="S272">
        <v>37</v>
      </c>
    </row>
    <row r="273" spans="1:19" x14ac:dyDescent="0.25">
      <c r="A273">
        <v>672</v>
      </c>
      <c r="B273" s="1">
        <v>40574</v>
      </c>
      <c r="C273">
        <v>1</v>
      </c>
      <c r="D273">
        <v>0</v>
      </c>
      <c r="E273">
        <v>1</v>
      </c>
      <c r="F273">
        <v>7</v>
      </c>
      <c r="G273" t="b">
        <v>0</v>
      </c>
      <c r="H273">
        <v>1</v>
      </c>
      <c r="I273" t="str">
        <f>CHOOSE(H273+1,"Monday","Tuesday","Wednesday","Thursday","Friday","Saturday","Sunday")</f>
        <v>Tuesday</v>
      </c>
      <c r="J273">
        <v>2</v>
      </c>
      <c r="K273">
        <v>0.16</v>
      </c>
      <c r="L273" t="str">
        <f>IF(Table5[[#This Row],[temp]]&lt;24,"Cold","Hot")</f>
        <v>Cold</v>
      </c>
      <c r="M273">
        <v>0.13639999999999999</v>
      </c>
      <c r="N273">
        <v>0.64</v>
      </c>
      <c r="O273" t="str">
        <f>IF(Table5[[#This Row],[hum]]&lt;0.3,"Humid",IF(Table5[[#This Row],[hum]]&gt;=0.3,"High Humid"))</f>
        <v>High Humid</v>
      </c>
      <c r="P273">
        <v>0.28360000000000002</v>
      </c>
      <c r="Q273">
        <v>1</v>
      </c>
      <c r="R273">
        <v>71</v>
      </c>
      <c r="S273">
        <v>72</v>
      </c>
    </row>
    <row r="274" spans="1:19" x14ac:dyDescent="0.25">
      <c r="A274">
        <v>673</v>
      </c>
      <c r="B274" s="1">
        <v>40574</v>
      </c>
      <c r="C274">
        <v>1</v>
      </c>
      <c r="D274">
        <v>0</v>
      </c>
      <c r="E274">
        <v>1</v>
      </c>
      <c r="F274">
        <v>8</v>
      </c>
      <c r="G274" t="b">
        <v>0</v>
      </c>
      <c r="H274">
        <v>1</v>
      </c>
      <c r="I274" t="str">
        <f>CHOOSE(H274+1,"Monday","Tuesday","Wednesday","Thursday","Friday","Saturday","Sunday")</f>
        <v>Tuesday</v>
      </c>
      <c r="J274">
        <v>2</v>
      </c>
      <c r="K274">
        <v>0.16</v>
      </c>
      <c r="L274" t="str">
        <f>IF(Table5[[#This Row],[temp]]&lt;24,"Cold","Hot")</f>
        <v>Cold</v>
      </c>
      <c r="M274">
        <v>0.13639999999999999</v>
      </c>
      <c r="N274">
        <v>0.59</v>
      </c>
      <c r="O274" t="str">
        <f>IF(Table5[[#This Row],[hum]]&lt;0.3,"Humid",IF(Table5[[#This Row],[hum]]&gt;=0.3,"High Humid"))</f>
        <v>High Humid</v>
      </c>
      <c r="P274">
        <v>0.28360000000000002</v>
      </c>
      <c r="Q274">
        <v>3</v>
      </c>
      <c r="R274">
        <v>182</v>
      </c>
      <c r="S274">
        <v>185</v>
      </c>
    </row>
    <row r="275" spans="1:19" x14ac:dyDescent="0.25">
      <c r="A275">
        <v>674</v>
      </c>
      <c r="B275" s="1">
        <v>40574</v>
      </c>
      <c r="C275">
        <v>1</v>
      </c>
      <c r="D275">
        <v>0</v>
      </c>
      <c r="E275">
        <v>1</v>
      </c>
      <c r="F275">
        <v>9</v>
      </c>
      <c r="G275" t="b">
        <v>0</v>
      </c>
      <c r="H275">
        <v>1</v>
      </c>
      <c r="I275" t="str">
        <f>CHOOSE(H275+1,"Monday","Tuesday","Wednesday","Thursday","Friday","Saturday","Sunday")</f>
        <v>Tuesday</v>
      </c>
      <c r="J275">
        <v>2</v>
      </c>
      <c r="K275">
        <v>0.16</v>
      </c>
      <c r="L275" t="str">
        <f>IF(Table5[[#This Row],[temp]]&lt;24,"Cold","Hot")</f>
        <v>Cold</v>
      </c>
      <c r="M275">
        <v>0.13639999999999999</v>
      </c>
      <c r="N275">
        <v>0.59</v>
      </c>
      <c r="O275" t="str">
        <f>IF(Table5[[#This Row],[hum]]&lt;0.3,"Humid",IF(Table5[[#This Row],[hum]]&gt;=0.3,"High Humid"))</f>
        <v>High Humid</v>
      </c>
      <c r="P275">
        <v>0.29849999999999999</v>
      </c>
      <c r="Q275">
        <v>0</v>
      </c>
      <c r="R275">
        <v>112</v>
      </c>
      <c r="S275">
        <v>112</v>
      </c>
    </row>
    <row r="276" spans="1:19" x14ac:dyDescent="0.25">
      <c r="A276">
        <v>675</v>
      </c>
      <c r="B276" s="1">
        <v>40574</v>
      </c>
      <c r="C276">
        <v>1</v>
      </c>
      <c r="D276">
        <v>0</v>
      </c>
      <c r="E276">
        <v>1</v>
      </c>
      <c r="F276">
        <v>10</v>
      </c>
      <c r="G276" t="b">
        <v>0</v>
      </c>
      <c r="H276">
        <v>1</v>
      </c>
      <c r="I276" t="str">
        <f>CHOOSE(H276+1,"Monday","Tuesday","Wednesday","Thursday","Friday","Saturday","Sunday")</f>
        <v>Tuesday</v>
      </c>
      <c r="J276">
        <v>2</v>
      </c>
      <c r="K276">
        <v>0.16</v>
      </c>
      <c r="L276" t="str">
        <f>IF(Table5[[#This Row],[temp]]&lt;24,"Cold","Hot")</f>
        <v>Cold</v>
      </c>
      <c r="M276">
        <v>0.1515</v>
      </c>
      <c r="N276">
        <v>0.59</v>
      </c>
      <c r="O276" t="str">
        <f>IF(Table5[[#This Row],[hum]]&lt;0.3,"Humid",IF(Table5[[#This Row],[hum]]&gt;=0.3,"High Humid"))</f>
        <v>High Humid</v>
      </c>
      <c r="P276">
        <v>0.19400000000000001</v>
      </c>
      <c r="Q276">
        <v>1</v>
      </c>
      <c r="R276">
        <v>68</v>
      </c>
      <c r="S276">
        <v>69</v>
      </c>
    </row>
    <row r="277" spans="1:19" x14ac:dyDescent="0.25">
      <c r="A277">
        <v>676</v>
      </c>
      <c r="B277" s="1">
        <v>40574</v>
      </c>
      <c r="C277">
        <v>1</v>
      </c>
      <c r="D277">
        <v>0</v>
      </c>
      <c r="E277">
        <v>1</v>
      </c>
      <c r="F277">
        <v>11</v>
      </c>
      <c r="G277" t="b">
        <v>0</v>
      </c>
      <c r="H277">
        <v>1</v>
      </c>
      <c r="I277" t="str">
        <f>CHOOSE(H277+1,"Monday","Tuesday","Wednesday","Thursday","Friday","Saturday","Sunday")</f>
        <v>Tuesday</v>
      </c>
      <c r="J277">
        <v>2</v>
      </c>
      <c r="K277">
        <v>0.16</v>
      </c>
      <c r="L277" t="str">
        <f>IF(Table5[[#This Row],[temp]]&lt;24,"Cold","Hot")</f>
        <v>Cold</v>
      </c>
      <c r="M277">
        <v>0.1515</v>
      </c>
      <c r="N277">
        <v>0.59</v>
      </c>
      <c r="O277" t="str">
        <f>IF(Table5[[#This Row],[hum]]&lt;0.3,"Humid",IF(Table5[[#This Row],[hum]]&gt;=0.3,"High Humid"))</f>
        <v>High Humid</v>
      </c>
      <c r="P277">
        <v>0.19400000000000001</v>
      </c>
      <c r="Q277">
        <v>2</v>
      </c>
      <c r="R277">
        <v>46</v>
      </c>
      <c r="S277">
        <v>48</v>
      </c>
    </row>
    <row r="278" spans="1:19" x14ac:dyDescent="0.25">
      <c r="A278">
        <v>677</v>
      </c>
      <c r="B278" s="1">
        <v>40574</v>
      </c>
      <c r="C278">
        <v>1</v>
      </c>
      <c r="D278">
        <v>0</v>
      </c>
      <c r="E278">
        <v>1</v>
      </c>
      <c r="F278">
        <v>12</v>
      </c>
      <c r="G278" t="b">
        <v>0</v>
      </c>
      <c r="H278">
        <v>1</v>
      </c>
      <c r="I278" t="str">
        <f>CHOOSE(H278+1,"Monday","Tuesday","Wednesday","Thursday","Friday","Saturday","Sunday")</f>
        <v>Tuesday</v>
      </c>
      <c r="J278">
        <v>2</v>
      </c>
      <c r="K278">
        <v>0.18</v>
      </c>
      <c r="L278" t="str">
        <f>IF(Table5[[#This Row],[temp]]&lt;24,"Cold","Hot")</f>
        <v>Cold</v>
      </c>
      <c r="M278">
        <v>0.21210000000000001</v>
      </c>
      <c r="N278">
        <v>0.55000000000000004</v>
      </c>
      <c r="O278" t="str">
        <f>IF(Table5[[#This Row],[hum]]&lt;0.3,"Humid",IF(Table5[[#This Row],[hum]]&gt;=0.3,"High Humid"))</f>
        <v>High Humid</v>
      </c>
      <c r="P278">
        <v>0.1045</v>
      </c>
      <c r="Q278">
        <v>6</v>
      </c>
      <c r="R278">
        <v>62</v>
      </c>
      <c r="S278">
        <v>68</v>
      </c>
    </row>
    <row r="279" spans="1:19" x14ac:dyDescent="0.25">
      <c r="A279">
        <v>678</v>
      </c>
      <c r="B279" s="1">
        <v>40574</v>
      </c>
      <c r="C279">
        <v>1</v>
      </c>
      <c r="D279">
        <v>0</v>
      </c>
      <c r="E279">
        <v>1</v>
      </c>
      <c r="F279">
        <v>13</v>
      </c>
      <c r="G279" t="b">
        <v>0</v>
      </c>
      <c r="H279">
        <v>1</v>
      </c>
      <c r="I279" t="str">
        <f>CHOOSE(H279+1,"Monday","Tuesday","Wednesday","Thursday","Friday","Saturday","Sunday")</f>
        <v>Tuesday</v>
      </c>
      <c r="J279">
        <v>2</v>
      </c>
      <c r="K279">
        <v>0.16</v>
      </c>
      <c r="L279" t="str">
        <f>IF(Table5[[#This Row],[temp]]&lt;24,"Cold","Hot")</f>
        <v>Cold</v>
      </c>
      <c r="M279">
        <v>0.2273</v>
      </c>
      <c r="N279">
        <v>0.59</v>
      </c>
      <c r="O279" t="str">
        <f>IF(Table5[[#This Row],[hum]]&lt;0.3,"Humid",IF(Table5[[#This Row],[hum]]&gt;=0.3,"High Humid"))</f>
        <v>High Humid</v>
      </c>
      <c r="P279">
        <v>0</v>
      </c>
      <c r="Q279">
        <v>2</v>
      </c>
      <c r="R279">
        <v>52</v>
      </c>
      <c r="S279">
        <v>54</v>
      </c>
    </row>
    <row r="280" spans="1:19" x14ac:dyDescent="0.25">
      <c r="A280">
        <v>679</v>
      </c>
      <c r="B280" s="1">
        <v>40574</v>
      </c>
      <c r="C280">
        <v>1</v>
      </c>
      <c r="D280">
        <v>0</v>
      </c>
      <c r="E280">
        <v>1</v>
      </c>
      <c r="F280">
        <v>14</v>
      </c>
      <c r="G280" t="b">
        <v>0</v>
      </c>
      <c r="H280">
        <v>1</v>
      </c>
      <c r="I280" t="str">
        <f>CHOOSE(H280+1,"Monday","Tuesday","Wednesday","Thursday","Friday","Saturday","Sunday")</f>
        <v>Tuesday</v>
      </c>
      <c r="J280">
        <v>2</v>
      </c>
      <c r="K280">
        <v>0.18</v>
      </c>
      <c r="L280" t="str">
        <f>IF(Table5[[#This Row],[temp]]&lt;24,"Cold","Hot")</f>
        <v>Cold</v>
      </c>
      <c r="M280">
        <v>0.19700000000000001</v>
      </c>
      <c r="N280">
        <v>0.55000000000000004</v>
      </c>
      <c r="O280" t="str">
        <f>IF(Table5[[#This Row],[hum]]&lt;0.3,"Humid",IF(Table5[[#This Row],[hum]]&gt;=0.3,"High Humid"))</f>
        <v>High Humid</v>
      </c>
      <c r="P280">
        <v>0.1343</v>
      </c>
      <c r="Q280">
        <v>1</v>
      </c>
      <c r="R280">
        <v>85</v>
      </c>
      <c r="S280">
        <v>86</v>
      </c>
    </row>
    <row r="281" spans="1:19" x14ac:dyDescent="0.25">
      <c r="A281">
        <v>680</v>
      </c>
      <c r="B281" s="1">
        <v>40574</v>
      </c>
      <c r="C281">
        <v>1</v>
      </c>
      <c r="D281">
        <v>0</v>
      </c>
      <c r="E281">
        <v>1</v>
      </c>
      <c r="F281">
        <v>15</v>
      </c>
      <c r="G281" t="b">
        <v>0</v>
      </c>
      <c r="H281">
        <v>1</v>
      </c>
      <c r="I281" t="str">
        <f>CHOOSE(H281+1,"Monday","Tuesday","Wednesday","Thursday","Friday","Saturday","Sunday")</f>
        <v>Tuesday</v>
      </c>
      <c r="J281">
        <v>2</v>
      </c>
      <c r="K281">
        <v>0.16</v>
      </c>
      <c r="L281" t="str">
        <f>IF(Table5[[#This Row],[temp]]&lt;24,"Cold","Hot")</f>
        <v>Cold</v>
      </c>
      <c r="M281">
        <v>0.18179999999999999</v>
      </c>
      <c r="N281">
        <v>0.59</v>
      </c>
      <c r="O281" t="str">
        <f>IF(Table5[[#This Row],[hum]]&lt;0.3,"Humid",IF(Table5[[#This Row],[hum]]&gt;=0.3,"High Humid"))</f>
        <v>High Humid</v>
      </c>
      <c r="P281">
        <v>0.1343</v>
      </c>
      <c r="Q281">
        <v>3</v>
      </c>
      <c r="R281">
        <v>41</v>
      </c>
      <c r="S281">
        <v>44</v>
      </c>
    </row>
    <row r="282" spans="1:19" x14ac:dyDescent="0.25">
      <c r="A282">
        <v>681</v>
      </c>
      <c r="B282" s="1">
        <v>40574</v>
      </c>
      <c r="C282">
        <v>1</v>
      </c>
      <c r="D282">
        <v>0</v>
      </c>
      <c r="E282">
        <v>1</v>
      </c>
      <c r="F282">
        <v>16</v>
      </c>
      <c r="G282" t="b">
        <v>0</v>
      </c>
      <c r="H282">
        <v>1</v>
      </c>
      <c r="I282" t="str">
        <f>CHOOSE(H282+1,"Monday","Tuesday","Wednesday","Thursday","Friday","Saturday","Sunday")</f>
        <v>Tuesday</v>
      </c>
      <c r="J282">
        <v>2</v>
      </c>
      <c r="K282">
        <v>0.16</v>
      </c>
      <c r="L282" t="str">
        <f>IF(Table5[[#This Row],[temp]]&lt;24,"Cold","Hot")</f>
        <v>Cold</v>
      </c>
      <c r="M282">
        <v>0.18179999999999999</v>
      </c>
      <c r="N282">
        <v>0.56000000000000005</v>
      </c>
      <c r="O282" t="str">
        <f>IF(Table5[[#This Row],[hum]]&lt;0.3,"Humid",IF(Table5[[#This Row],[hum]]&gt;=0.3,"High Humid"))</f>
        <v>High Humid</v>
      </c>
      <c r="P282">
        <v>0.19400000000000001</v>
      </c>
      <c r="Q282">
        <v>3</v>
      </c>
      <c r="R282">
        <v>83</v>
      </c>
      <c r="S282">
        <v>86</v>
      </c>
    </row>
    <row r="283" spans="1:19" x14ac:dyDescent="0.25">
      <c r="A283">
        <v>682</v>
      </c>
      <c r="B283" s="1">
        <v>40574</v>
      </c>
      <c r="C283">
        <v>1</v>
      </c>
      <c r="D283">
        <v>0</v>
      </c>
      <c r="E283">
        <v>1</v>
      </c>
      <c r="F283">
        <v>17</v>
      </c>
      <c r="G283" t="b">
        <v>0</v>
      </c>
      <c r="H283">
        <v>1</v>
      </c>
      <c r="I283" t="str">
        <f>CHOOSE(H283+1,"Monday","Tuesday","Wednesday","Thursday","Friday","Saturday","Sunday")</f>
        <v>Tuesday</v>
      </c>
      <c r="J283">
        <v>2</v>
      </c>
      <c r="K283">
        <v>0.16</v>
      </c>
      <c r="L283" t="str">
        <f>IF(Table5[[#This Row],[temp]]&lt;24,"Cold","Hot")</f>
        <v>Cold</v>
      </c>
      <c r="M283">
        <v>0.1515</v>
      </c>
      <c r="N283">
        <v>0.59</v>
      </c>
      <c r="O283" t="str">
        <f>IF(Table5[[#This Row],[hum]]&lt;0.3,"Humid",IF(Table5[[#This Row],[hum]]&gt;=0.3,"High Humid"))</f>
        <v>High Humid</v>
      </c>
      <c r="P283">
        <v>0.19400000000000001</v>
      </c>
      <c r="Q283">
        <v>6</v>
      </c>
      <c r="R283">
        <v>155</v>
      </c>
      <c r="S283">
        <v>161</v>
      </c>
    </row>
    <row r="284" spans="1:19" x14ac:dyDescent="0.25">
      <c r="A284">
        <v>683</v>
      </c>
      <c r="B284" s="1">
        <v>40574</v>
      </c>
      <c r="C284">
        <v>1</v>
      </c>
      <c r="D284">
        <v>0</v>
      </c>
      <c r="E284">
        <v>1</v>
      </c>
      <c r="F284">
        <v>18</v>
      </c>
      <c r="G284" t="b">
        <v>0</v>
      </c>
      <c r="H284">
        <v>1</v>
      </c>
      <c r="I284" t="str">
        <f>CHOOSE(H284+1,"Monday","Tuesday","Wednesday","Thursday","Friday","Saturday","Sunday")</f>
        <v>Tuesday</v>
      </c>
      <c r="J284">
        <v>2</v>
      </c>
      <c r="K284">
        <v>0.16</v>
      </c>
      <c r="L284" t="str">
        <f>IF(Table5[[#This Row],[temp]]&lt;24,"Cold","Hot")</f>
        <v>Cold</v>
      </c>
      <c r="M284">
        <v>0.1515</v>
      </c>
      <c r="N284">
        <v>0.55000000000000004</v>
      </c>
      <c r="O284" t="str">
        <f>IF(Table5[[#This Row],[hum]]&lt;0.3,"Humid",IF(Table5[[#This Row],[hum]]&gt;=0.3,"High Humid"))</f>
        <v>High Humid</v>
      </c>
      <c r="P284">
        <v>0.22389999999999999</v>
      </c>
      <c r="Q284">
        <v>3</v>
      </c>
      <c r="R284">
        <v>153</v>
      </c>
      <c r="S284">
        <v>156</v>
      </c>
    </row>
    <row r="285" spans="1:19" x14ac:dyDescent="0.25">
      <c r="A285">
        <v>684</v>
      </c>
      <c r="B285" s="1">
        <v>40574</v>
      </c>
      <c r="C285">
        <v>1</v>
      </c>
      <c r="D285">
        <v>0</v>
      </c>
      <c r="E285">
        <v>1</v>
      </c>
      <c r="F285">
        <v>19</v>
      </c>
      <c r="G285" t="b">
        <v>0</v>
      </c>
      <c r="H285">
        <v>1</v>
      </c>
      <c r="I285" t="str">
        <f>CHOOSE(H285+1,"Monday","Tuesday","Wednesday","Thursday","Friday","Saturday","Sunday")</f>
        <v>Tuesday</v>
      </c>
      <c r="J285">
        <v>1</v>
      </c>
      <c r="K285">
        <v>0.3</v>
      </c>
      <c r="L285" t="str">
        <f>IF(Table5[[#This Row],[temp]]&lt;24,"Cold","Hot")</f>
        <v>Cold</v>
      </c>
      <c r="M285">
        <v>0.31819999999999998</v>
      </c>
      <c r="N285">
        <v>0.61</v>
      </c>
      <c r="O285" t="str">
        <f>IF(Table5[[#This Row],[hum]]&lt;0.3,"Humid",IF(Table5[[#This Row],[hum]]&gt;=0.3,"High Humid"))</f>
        <v>High Humid</v>
      </c>
      <c r="P285">
        <v>0.1045</v>
      </c>
      <c r="Q285">
        <v>3</v>
      </c>
      <c r="R285">
        <v>108</v>
      </c>
      <c r="S285">
        <v>111</v>
      </c>
    </row>
    <row r="286" spans="1:19" x14ac:dyDescent="0.25">
      <c r="A286">
        <v>685</v>
      </c>
      <c r="B286" s="1">
        <v>40574</v>
      </c>
      <c r="C286">
        <v>1</v>
      </c>
      <c r="D286">
        <v>0</v>
      </c>
      <c r="E286">
        <v>1</v>
      </c>
      <c r="F286">
        <v>20</v>
      </c>
      <c r="G286" t="b">
        <v>0</v>
      </c>
      <c r="H286">
        <v>1</v>
      </c>
      <c r="I286" t="str">
        <f>CHOOSE(H286+1,"Monday","Tuesday","Wednesday","Thursday","Friday","Saturday","Sunday")</f>
        <v>Tuesday</v>
      </c>
      <c r="J286">
        <v>3</v>
      </c>
      <c r="K286">
        <v>0.16</v>
      </c>
      <c r="L286" t="str">
        <f>IF(Table5[[#This Row],[temp]]&lt;24,"Cold","Hot")</f>
        <v>Cold</v>
      </c>
      <c r="M286">
        <v>0.16669999999999999</v>
      </c>
      <c r="N286">
        <v>0.59</v>
      </c>
      <c r="O286" t="str">
        <f>IF(Table5[[#This Row],[hum]]&lt;0.3,"Humid",IF(Table5[[#This Row],[hum]]&gt;=0.3,"High Humid"))</f>
        <v>High Humid</v>
      </c>
      <c r="P286">
        <v>0.16420000000000001</v>
      </c>
      <c r="Q286">
        <v>0</v>
      </c>
      <c r="R286">
        <v>78</v>
      </c>
      <c r="S286">
        <v>78</v>
      </c>
    </row>
    <row r="287" spans="1:19" x14ac:dyDescent="0.25">
      <c r="A287">
        <v>686</v>
      </c>
      <c r="B287" s="1">
        <v>40574</v>
      </c>
      <c r="C287">
        <v>1</v>
      </c>
      <c r="D287">
        <v>0</v>
      </c>
      <c r="E287">
        <v>1</v>
      </c>
      <c r="F287">
        <v>21</v>
      </c>
      <c r="G287" t="b">
        <v>0</v>
      </c>
      <c r="H287">
        <v>1</v>
      </c>
      <c r="I287" t="str">
        <f>CHOOSE(H287+1,"Monday","Tuesday","Wednesday","Thursday","Friday","Saturday","Sunday")</f>
        <v>Tuesday</v>
      </c>
      <c r="J287">
        <v>3</v>
      </c>
      <c r="K287">
        <v>0.16</v>
      </c>
      <c r="L287" t="str">
        <f>IF(Table5[[#This Row],[temp]]&lt;24,"Cold","Hot")</f>
        <v>Cold</v>
      </c>
      <c r="M287">
        <v>0.19700000000000001</v>
      </c>
      <c r="N287">
        <v>0.59</v>
      </c>
      <c r="O287" t="str">
        <f>IF(Table5[[#This Row],[hum]]&lt;0.3,"Humid",IF(Table5[[#This Row],[hum]]&gt;=0.3,"High Humid"))</f>
        <v>High Humid</v>
      </c>
      <c r="P287">
        <v>8.9599999999999999E-2</v>
      </c>
      <c r="Q287">
        <v>3</v>
      </c>
      <c r="R287">
        <v>53</v>
      </c>
      <c r="S287">
        <v>56</v>
      </c>
    </row>
    <row r="288" spans="1:19" x14ac:dyDescent="0.25">
      <c r="A288">
        <v>687</v>
      </c>
      <c r="B288" s="1">
        <v>40574</v>
      </c>
      <c r="C288">
        <v>1</v>
      </c>
      <c r="D288">
        <v>0</v>
      </c>
      <c r="E288">
        <v>1</v>
      </c>
      <c r="F288">
        <v>22</v>
      </c>
      <c r="G288" t="b">
        <v>0</v>
      </c>
      <c r="H288">
        <v>1</v>
      </c>
      <c r="I288" t="str">
        <f>CHOOSE(H288+1,"Monday","Tuesday","Wednesday","Thursday","Friday","Saturday","Sunday")</f>
        <v>Tuesday</v>
      </c>
      <c r="J288">
        <v>2</v>
      </c>
      <c r="K288">
        <v>0.16</v>
      </c>
      <c r="L288" t="str">
        <f>IF(Table5[[#This Row],[temp]]&lt;24,"Cold","Hot")</f>
        <v>Cold</v>
      </c>
      <c r="M288">
        <v>0.18179999999999999</v>
      </c>
      <c r="N288">
        <v>0.59</v>
      </c>
      <c r="O288" t="str">
        <f>IF(Table5[[#This Row],[hum]]&lt;0.3,"Humid",IF(Table5[[#This Row],[hum]]&gt;=0.3,"High Humid"))</f>
        <v>High Humid</v>
      </c>
      <c r="P288">
        <v>0.1045</v>
      </c>
      <c r="Q288">
        <v>0</v>
      </c>
      <c r="R288">
        <v>34</v>
      </c>
      <c r="S288">
        <v>34</v>
      </c>
    </row>
    <row r="289" spans="1:19" x14ac:dyDescent="0.25">
      <c r="A289">
        <v>688</v>
      </c>
      <c r="B289" s="1">
        <v>40574</v>
      </c>
      <c r="C289">
        <v>1</v>
      </c>
      <c r="D289">
        <v>0</v>
      </c>
      <c r="E289">
        <v>1</v>
      </c>
      <c r="F289">
        <v>23</v>
      </c>
      <c r="G289" t="b">
        <v>0</v>
      </c>
      <c r="H289">
        <v>1</v>
      </c>
      <c r="I289" t="str">
        <f>CHOOSE(H289+1,"Monday","Tuesday","Wednesday","Thursday","Friday","Saturday","Sunday")</f>
        <v>Tuesday</v>
      </c>
      <c r="J289">
        <v>2</v>
      </c>
      <c r="K289">
        <v>0.16</v>
      </c>
      <c r="L289" t="str">
        <f>IF(Table5[[#This Row],[temp]]&lt;24,"Cold","Hot")</f>
        <v>Cold</v>
      </c>
      <c r="M289">
        <v>0.19700000000000001</v>
      </c>
      <c r="N289">
        <v>0.64</v>
      </c>
      <c r="O289" t="str">
        <f>IF(Table5[[#This Row],[hum]]&lt;0.3,"Humid",IF(Table5[[#This Row],[hum]]&gt;=0.3,"High Humid"))</f>
        <v>High Humid</v>
      </c>
      <c r="P289">
        <v>8.9599999999999999E-2</v>
      </c>
      <c r="Q289">
        <v>2</v>
      </c>
      <c r="R289">
        <v>15</v>
      </c>
      <c r="S289">
        <v>17</v>
      </c>
    </row>
    <row r="290" spans="1:19" x14ac:dyDescent="0.25">
      <c r="A290">
        <v>830</v>
      </c>
      <c r="B290" s="1">
        <v>40581</v>
      </c>
      <c r="C290">
        <v>1</v>
      </c>
      <c r="D290">
        <v>0</v>
      </c>
      <c r="E290">
        <v>2</v>
      </c>
      <c r="F290">
        <v>0</v>
      </c>
      <c r="G290" t="b">
        <v>0</v>
      </c>
      <c r="H290">
        <v>1</v>
      </c>
      <c r="I290" t="str">
        <f>CHOOSE(H290+1,"Monday","Tuesday","Wednesday","Thursday","Friday","Saturday","Sunday")</f>
        <v>Tuesday</v>
      </c>
      <c r="J290">
        <v>1</v>
      </c>
      <c r="K290">
        <v>0.24</v>
      </c>
      <c r="L290" t="str">
        <f>IF(Table5[[#This Row],[temp]]&lt;24,"Cold","Hot")</f>
        <v>Cold</v>
      </c>
      <c r="M290">
        <v>0.28789999999999999</v>
      </c>
      <c r="N290">
        <v>0.65</v>
      </c>
      <c r="O290" t="str">
        <f>IF(Table5[[#This Row],[hum]]&lt;0.3,"Humid",IF(Table5[[#This Row],[hum]]&gt;=0.3,"High Humid"))</f>
        <v>High Humid</v>
      </c>
      <c r="P290">
        <v>0</v>
      </c>
      <c r="Q290">
        <v>1</v>
      </c>
      <c r="R290">
        <v>14</v>
      </c>
      <c r="S290">
        <v>15</v>
      </c>
    </row>
    <row r="291" spans="1:19" x14ac:dyDescent="0.25">
      <c r="A291">
        <v>831</v>
      </c>
      <c r="B291" s="1">
        <v>40581</v>
      </c>
      <c r="C291">
        <v>1</v>
      </c>
      <c r="D291">
        <v>0</v>
      </c>
      <c r="E291">
        <v>2</v>
      </c>
      <c r="F291">
        <v>1</v>
      </c>
      <c r="G291" t="b">
        <v>0</v>
      </c>
      <c r="H291">
        <v>1</v>
      </c>
      <c r="I291" t="str">
        <f>CHOOSE(H291+1,"Monday","Tuesday","Wednesday","Thursday","Friday","Saturday","Sunday")</f>
        <v>Tuesday</v>
      </c>
      <c r="J291">
        <v>1</v>
      </c>
      <c r="K291">
        <v>0.22</v>
      </c>
      <c r="L291" t="str">
        <f>IF(Table5[[#This Row],[temp]]&lt;24,"Cold","Hot")</f>
        <v>Cold</v>
      </c>
      <c r="M291">
        <v>0.2727</v>
      </c>
      <c r="N291">
        <v>0.75</v>
      </c>
      <c r="O291" t="str">
        <f>IF(Table5[[#This Row],[hum]]&lt;0.3,"Humid",IF(Table5[[#This Row],[hum]]&gt;=0.3,"High Humid"))</f>
        <v>High Humid</v>
      </c>
      <c r="P291">
        <v>0</v>
      </c>
      <c r="Q291">
        <v>1</v>
      </c>
      <c r="R291">
        <v>4</v>
      </c>
      <c r="S291">
        <v>5</v>
      </c>
    </row>
    <row r="292" spans="1:19" x14ac:dyDescent="0.25">
      <c r="A292">
        <v>832</v>
      </c>
      <c r="B292" s="1">
        <v>40581</v>
      </c>
      <c r="C292">
        <v>1</v>
      </c>
      <c r="D292">
        <v>0</v>
      </c>
      <c r="E292">
        <v>2</v>
      </c>
      <c r="F292">
        <v>2</v>
      </c>
      <c r="G292" t="b">
        <v>0</v>
      </c>
      <c r="H292">
        <v>1</v>
      </c>
      <c r="I292" t="str">
        <f>CHOOSE(H292+1,"Monday","Tuesday","Wednesday","Thursday","Friday","Saturday","Sunday")</f>
        <v>Tuesday</v>
      </c>
      <c r="J292">
        <v>1</v>
      </c>
      <c r="K292">
        <v>0.2</v>
      </c>
      <c r="L292" t="str">
        <f>IF(Table5[[#This Row],[temp]]&lt;24,"Cold","Hot")</f>
        <v>Cold</v>
      </c>
      <c r="M292">
        <v>0.2576</v>
      </c>
      <c r="N292">
        <v>0.8</v>
      </c>
      <c r="O292" t="str">
        <f>IF(Table5[[#This Row],[hum]]&lt;0.3,"Humid",IF(Table5[[#This Row],[hum]]&gt;=0.3,"High Humid"))</f>
        <v>High Humid</v>
      </c>
      <c r="P292">
        <v>0</v>
      </c>
      <c r="Q292">
        <v>0</v>
      </c>
      <c r="R292">
        <v>3</v>
      </c>
      <c r="S292">
        <v>3</v>
      </c>
    </row>
    <row r="293" spans="1:19" x14ac:dyDescent="0.25">
      <c r="A293">
        <v>833</v>
      </c>
      <c r="B293" s="1">
        <v>40581</v>
      </c>
      <c r="C293">
        <v>1</v>
      </c>
      <c r="D293">
        <v>0</v>
      </c>
      <c r="E293">
        <v>2</v>
      </c>
      <c r="F293">
        <v>3</v>
      </c>
      <c r="G293" t="b">
        <v>0</v>
      </c>
      <c r="H293">
        <v>1</v>
      </c>
      <c r="I293" t="str">
        <f>CHOOSE(H293+1,"Monday","Tuesday","Wednesday","Thursday","Friday","Saturday","Sunday")</f>
        <v>Tuesday</v>
      </c>
      <c r="J293">
        <v>1</v>
      </c>
      <c r="K293">
        <v>0.2</v>
      </c>
      <c r="L293" t="str">
        <f>IF(Table5[[#This Row],[temp]]&lt;24,"Cold","Hot")</f>
        <v>Cold</v>
      </c>
      <c r="M293">
        <v>0.2576</v>
      </c>
      <c r="N293">
        <v>0.86</v>
      </c>
      <c r="O293" t="str">
        <f>IF(Table5[[#This Row],[hum]]&lt;0.3,"Humid",IF(Table5[[#This Row],[hum]]&gt;=0.3,"High Humid"))</f>
        <v>High Humid</v>
      </c>
      <c r="P293">
        <v>0</v>
      </c>
      <c r="Q293">
        <v>0</v>
      </c>
      <c r="R293">
        <v>1</v>
      </c>
      <c r="S293">
        <v>1</v>
      </c>
    </row>
    <row r="294" spans="1:19" x14ac:dyDescent="0.25">
      <c r="A294">
        <v>834</v>
      </c>
      <c r="B294" s="1">
        <v>40581</v>
      </c>
      <c r="C294">
        <v>1</v>
      </c>
      <c r="D294">
        <v>0</v>
      </c>
      <c r="E294">
        <v>2</v>
      </c>
      <c r="F294">
        <v>4</v>
      </c>
      <c r="G294" t="b">
        <v>0</v>
      </c>
      <c r="H294">
        <v>1</v>
      </c>
      <c r="I294" t="str">
        <f>CHOOSE(H294+1,"Monday","Tuesday","Wednesday","Thursday","Friday","Saturday","Sunday")</f>
        <v>Tuesday</v>
      </c>
      <c r="J294">
        <v>1</v>
      </c>
      <c r="K294">
        <v>0.2</v>
      </c>
      <c r="L294" t="str">
        <f>IF(Table5[[#This Row],[temp]]&lt;24,"Cold","Hot")</f>
        <v>Cold</v>
      </c>
      <c r="M294">
        <v>0.2576</v>
      </c>
      <c r="N294">
        <v>0.86</v>
      </c>
      <c r="O294" t="str">
        <f>IF(Table5[[#This Row],[hum]]&lt;0.3,"Humid",IF(Table5[[#This Row],[hum]]&gt;=0.3,"High Humid"))</f>
        <v>High Humid</v>
      </c>
      <c r="P294">
        <v>0</v>
      </c>
      <c r="Q294">
        <v>1</v>
      </c>
      <c r="R294">
        <v>1</v>
      </c>
      <c r="S294">
        <v>2</v>
      </c>
    </row>
    <row r="295" spans="1:19" x14ac:dyDescent="0.25">
      <c r="A295">
        <v>835</v>
      </c>
      <c r="B295" s="1">
        <v>40581</v>
      </c>
      <c r="C295">
        <v>1</v>
      </c>
      <c r="D295">
        <v>0</v>
      </c>
      <c r="E295">
        <v>2</v>
      </c>
      <c r="F295">
        <v>5</v>
      </c>
      <c r="G295" t="b">
        <v>0</v>
      </c>
      <c r="H295">
        <v>1</v>
      </c>
      <c r="I295" t="str">
        <f>CHOOSE(H295+1,"Monday","Tuesday","Wednesday","Thursday","Friday","Saturday","Sunday")</f>
        <v>Tuesday</v>
      </c>
      <c r="J295">
        <v>1</v>
      </c>
      <c r="K295">
        <v>0.2</v>
      </c>
      <c r="L295" t="str">
        <f>IF(Table5[[#This Row],[temp]]&lt;24,"Cold","Hot")</f>
        <v>Cold</v>
      </c>
      <c r="M295">
        <v>0.2576</v>
      </c>
      <c r="N295">
        <v>0.86</v>
      </c>
      <c r="O295" t="str">
        <f>IF(Table5[[#This Row],[hum]]&lt;0.3,"Humid",IF(Table5[[#This Row],[hum]]&gt;=0.3,"High Humid"))</f>
        <v>High Humid</v>
      </c>
      <c r="P295">
        <v>0</v>
      </c>
      <c r="Q295">
        <v>1</v>
      </c>
      <c r="R295">
        <v>9</v>
      </c>
      <c r="S295">
        <v>10</v>
      </c>
    </row>
    <row r="296" spans="1:19" x14ac:dyDescent="0.25">
      <c r="A296">
        <v>836</v>
      </c>
      <c r="B296" s="1">
        <v>40581</v>
      </c>
      <c r="C296">
        <v>1</v>
      </c>
      <c r="D296">
        <v>0</v>
      </c>
      <c r="E296">
        <v>2</v>
      </c>
      <c r="F296">
        <v>6</v>
      </c>
      <c r="G296" t="b">
        <v>0</v>
      </c>
      <c r="H296">
        <v>1</v>
      </c>
      <c r="I296" t="str">
        <f>CHOOSE(H296+1,"Monday","Tuesday","Wednesday","Thursday","Friday","Saturday","Sunday")</f>
        <v>Tuesday</v>
      </c>
      <c r="J296">
        <v>1</v>
      </c>
      <c r="K296">
        <v>0.18</v>
      </c>
      <c r="L296" t="str">
        <f>IF(Table5[[#This Row],[temp]]&lt;24,"Cold","Hot")</f>
        <v>Cold</v>
      </c>
      <c r="M296">
        <v>0.2424</v>
      </c>
      <c r="N296">
        <v>0.93</v>
      </c>
      <c r="O296" t="str">
        <f>IF(Table5[[#This Row],[hum]]&lt;0.3,"Humid",IF(Table5[[#This Row],[hum]]&gt;=0.3,"High Humid"))</f>
        <v>High Humid</v>
      </c>
      <c r="P296">
        <v>0</v>
      </c>
      <c r="Q296">
        <v>1</v>
      </c>
      <c r="R296">
        <v>29</v>
      </c>
      <c r="S296">
        <v>30</v>
      </c>
    </row>
    <row r="297" spans="1:19" x14ac:dyDescent="0.25">
      <c r="A297">
        <v>837</v>
      </c>
      <c r="B297" s="1">
        <v>40581</v>
      </c>
      <c r="C297">
        <v>1</v>
      </c>
      <c r="D297">
        <v>0</v>
      </c>
      <c r="E297">
        <v>2</v>
      </c>
      <c r="F297">
        <v>7</v>
      </c>
      <c r="G297" t="b">
        <v>0</v>
      </c>
      <c r="H297">
        <v>1</v>
      </c>
      <c r="I297" t="str">
        <f>CHOOSE(H297+1,"Monday","Tuesday","Wednesday","Thursday","Friday","Saturday","Sunday")</f>
        <v>Tuesday</v>
      </c>
      <c r="J297">
        <v>1</v>
      </c>
      <c r="K297">
        <v>0.18</v>
      </c>
      <c r="L297" t="str">
        <f>IF(Table5[[#This Row],[temp]]&lt;24,"Cold","Hot")</f>
        <v>Cold</v>
      </c>
      <c r="M297">
        <v>0.2424</v>
      </c>
      <c r="N297">
        <v>0.86</v>
      </c>
      <c r="O297" t="str">
        <f>IF(Table5[[#This Row],[hum]]&lt;0.3,"Humid",IF(Table5[[#This Row],[hum]]&gt;=0.3,"High Humid"))</f>
        <v>High Humid</v>
      </c>
      <c r="P297">
        <v>0</v>
      </c>
      <c r="Q297">
        <v>6</v>
      </c>
      <c r="R297">
        <v>89</v>
      </c>
      <c r="S297">
        <v>95</v>
      </c>
    </row>
    <row r="298" spans="1:19" x14ac:dyDescent="0.25">
      <c r="A298">
        <v>838</v>
      </c>
      <c r="B298" s="1">
        <v>40581</v>
      </c>
      <c r="C298">
        <v>1</v>
      </c>
      <c r="D298">
        <v>0</v>
      </c>
      <c r="E298">
        <v>2</v>
      </c>
      <c r="F298">
        <v>8</v>
      </c>
      <c r="G298" t="b">
        <v>0</v>
      </c>
      <c r="H298">
        <v>1</v>
      </c>
      <c r="I298" t="str">
        <f>CHOOSE(H298+1,"Monday","Tuesday","Wednesday","Thursday","Friday","Saturday","Sunday")</f>
        <v>Tuesday</v>
      </c>
      <c r="J298">
        <v>2</v>
      </c>
      <c r="K298">
        <v>0.16</v>
      </c>
      <c r="L298" t="str">
        <f>IF(Table5[[#This Row],[temp]]&lt;24,"Cold","Hot")</f>
        <v>Cold</v>
      </c>
      <c r="M298">
        <v>0.2273</v>
      </c>
      <c r="N298">
        <v>1</v>
      </c>
      <c r="O298" t="str">
        <f>IF(Table5[[#This Row],[hum]]&lt;0.3,"Humid",IF(Table5[[#This Row],[hum]]&gt;=0.3,"High Humid"))</f>
        <v>High Humid</v>
      </c>
      <c r="P298">
        <v>0</v>
      </c>
      <c r="Q298">
        <v>7</v>
      </c>
      <c r="R298">
        <v>223</v>
      </c>
      <c r="S298">
        <v>230</v>
      </c>
    </row>
    <row r="299" spans="1:19" x14ac:dyDescent="0.25">
      <c r="A299">
        <v>839</v>
      </c>
      <c r="B299" s="1">
        <v>40581</v>
      </c>
      <c r="C299">
        <v>1</v>
      </c>
      <c r="D299">
        <v>0</v>
      </c>
      <c r="E299">
        <v>2</v>
      </c>
      <c r="F299">
        <v>9</v>
      </c>
      <c r="G299" t="b">
        <v>0</v>
      </c>
      <c r="H299">
        <v>1</v>
      </c>
      <c r="I299" t="str">
        <f>CHOOSE(H299+1,"Monday","Tuesday","Wednesday","Thursday","Friday","Saturday","Sunday")</f>
        <v>Tuesday</v>
      </c>
      <c r="J299">
        <v>1</v>
      </c>
      <c r="K299">
        <v>0.22</v>
      </c>
      <c r="L299" t="str">
        <f>IF(Table5[[#This Row],[temp]]&lt;24,"Cold","Hot")</f>
        <v>Cold</v>
      </c>
      <c r="M299">
        <v>0.2727</v>
      </c>
      <c r="N299">
        <v>0.8</v>
      </c>
      <c r="O299" t="str">
        <f>IF(Table5[[#This Row],[hum]]&lt;0.3,"Humid",IF(Table5[[#This Row],[hum]]&gt;=0.3,"High Humid"))</f>
        <v>High Humid</v>
      </c>
      <c r="P299">
        <v>0</v>
      </c>
      <c r="Q299">
        <v>3</v>
      </c>
      <c r="R299">
        <v>115</v>
      </c>
      <c r="S299">
        <v>118</v>
      </c>
    </row>
    <row r="300" spans="1:19" x14ac:dyDescent="0.25">
      <c r="A300">
        <v>840</v>
      </c>
      <c r="B300" s="1">
        <v>40581</v>
      </c>
      <c r="C300">
        <v>1</v>
      </c>
      <c r="D300">
        <v>0</v>
      </c>
      <c r="E300">
        <v>2</v>
      </c>
      <c r="F300">
        <v>10</v>
      </c>
      <c r="G300" t="b">
        <v>0</v>
      </c>
      <c r="H300">
        <v>1</v>
      </c>
      <c r="I300" t="str">
        <f>CHOOSE(H300+1,"Monday","Tuesday","Wednesday","Thursday","Friday","Saturday","Sunday")</f>
        <v>Tuesday</v>
      </c>
      <c r="J300">
        <v>1</v>
      </c>
      <c r="K300">
        <v>0.24</v>
      </c>
      <c r="L300" t="str">
        <f>IF(Table5[[#This Row],[temp]]&lt;24,"Cold","Hot")</f>
        <v>Cold</v>
      </c>
      <c r="M300">
        <v>0.2576</v>
      </c>
      <c r="N300">
        <v>0.75</v>
      </c>
      <c r="O300" t="str">
        <f>IF(Table5[[#This Row],[hum]]&lt;0.3,"Humid",IF(Table5[[#This Row],[hum]]&gt;=0.3,"High Humid"))</f>
        <v>High Humid</v>
      </c>
      <c r="P300">
        <v>0.1045</v>
      </c>
      <c r="Q300">
        <v>6</v>
      </c>
      <c r="R300">
        <v>49</v>
      </c>
      <c r="S300">
        <v>55</v>
      </c>
    </row>
    <row r="301" spans="1:19" x14ac:dyDescent="0.25">
      <c r="A301">
        <v>841</v>
      </c>
      <c r="B301" s="1">
        <v>40581</v>
      </c>
      <c r="C301">
        <v>1</v>
      </c>
      <c r="D301">
        <v>0</v>
      </c>
      <c r="E301">
        <v>2</v>
      </c>
      <c r="F301">
        <v>11</v>
      </c>
      <c r="G301" t="b">
        <v>0</v>
      </c>
      <c r="H301">
        <v>1</v>
      </c>
      <c r="I301" t="str">
        <f>CHOOSE(H301+1,"Monday","Tuesday","Wednesday","Thursday","Friday","Saturday","Sunday")</f>
        <v>Tuesday</v>
      </c>
      <c r="J301">
        <v>1</v>
      </c>
      <c r="K301">
        <v>0.3</v>
      </c>
      <c r="L301" t="str">
        <f>IF(Table5[[#This Row],[temp]]&lt;24,"Cold","Hot")</f>
        <v>Cold</v>
      </c>
      <c r="M301">
        <v>0.31819999999999998</v>
      </c>
      <c r="N301">
        <v>0.65</v>
      </c>
      <c r="O301" t="str">
        <f>IF(Table5[[#This Row],[hum]]&lt;0.3,"Humid",IF(Table5[[#This Row],[hum]]&gt;=0.3,"High Humid"))</f>
        <v>High Humid</v>
      </c>
      <c r="P301">
        <v>8.9599999999999999E-2</v>
      </c>
      <c r="Q301">
        <v>11</v>
      </c>
      <c r="R301">
        <v>36</v>
      </c>
      <c r="S301">
        <v>47</v>
      </c>
    </row>
    <row r="302" spans="1:19" x14ac:dyDescent="0.25">
      <c r="A302">
        <v>842</v>
      </c>
      <c r="B302" s="1">
        <v>40581</v>
      </c>
      <c r="C302">
        <v>1</v>
      </c>
      <c r="D302">
        <v>0</v>
      </c>
      <c r="E302">
        <v>2</v>
      </c>
      <c r="F302">
        <v>12</v>
      </c>
      <c r="G302" t="b">
        <v>0</v>
      </c>
      <c r="H302">
        <v>1</v>
      </c>
      <c r="I302" t="str">
        <f>CHOOSE(H302+1,"Monday","Tuesday","Wednesday","Thursday","Friday","Saturday","Sunday")</f>
        <v>Tuesday</v>
      </c>
      <c r="J302">
        <v>2</v>
      </c>
      <c r="K302">
        <v>0.32</v>
      </c>
      <c r="L302" t="str">
        <f>IF(Table5[[#This Row],[temp]]&lt;24,"Cold","Hot")</f>
        <v>Cold</v>
      </c>
      <c r="M302">
        <v>0.34849999999999998</v>
      </c>
      <c r="N302">
        <v>0.62</v>
      </c>
      <c r="O302" t="str">
        <f>IF(Table5[[#This Row],[hum]]&lt;0.3,"Humid",IF(Table5[[#This Row],[hum]]&gt;=0.3,"High Humid"))</f>
        <v>High Humid</v>
      </c>
      <c r="P302">
        <v>0</v>
      </c>
      <c r="Q302">
        <v>7</v>
      </c>
      <c r="R302">
        <v>59</v>
      </c>
      <c r="S302">
        <v>66</v>
      </c>
    </row>
    <row r="303" spans="1:19" x14ac:dyDescent="0.25">
      <c r="A303">
        <v>843</v>
      </c>
      <c r="B303" s="1">
        <v>40581</v>
      </c>
      <c r="C303">
        <v>1</v>
      </c>
      <c r="D303">
        <v>0</v>
      </c>
      <c r="E303">
        <v>2</v>
      </c>
      <c r="F303">
        <v>13</v>
      </c>
      <c r="G303" t="b">
        <v>0</v>
      </c>
      <c r="H303">
        <v>1</v>
      </c>
      <c r="I303" t="str">
        <f>CHOOSE(H303+1,"Monday","Tuesday","Wednesday","Thursday","Friday","Saturday","Sunday")</f>
        <v>Tuesday</v>
      </c>
      <c r="J303">
        <v>2</v>
      </c>
      <c r="K303">
        <v>0.36</v>
      </c>
      <c r="L303" t="str">
        <f>IF(Table5[[#This Row],[temp]]&lt;24,"Cold","Hot")</f>
        <v>Cold</v>
      </c>
      <c r="M303">
        <v>0.36359999999999998</v>
      </c>
      <c r="N303">
        <v>0.56999999999999995</v>
      </c>
      <c r="O303" t="str">
        <f>IF(Table5[[#This Row],[hum]]&lt;0.3,"Humid",IF(Table5[[#This Row],[hum]]&gt;=0.3,"High Humid"))</f>
        <v>High Humid</v>
      </c>
      <c r="P303">
        <v>8.9599999999999999E-2</v>
      </c>
      <c r="Q303">
        <v>10</v>
      </c>
      <c r="R303">
        <v>54</v>
      </c>
      <c r="S303">
        <v>64</v>
      </c>
    </row>
    <row r="304" spans="1:19" x14ac:dyDescent="0.25">
      <c r="A304">
        <v>844</v>
      </c>
      <c r="B304" s="1">
        <v>40581</v>
      </c>
      <c r="C304">
        <v>1</v>
      </c>
      <c r="D304">
        <v>0</v>
      </c>
      <c r="E304">
        <v>2</v>
      </c>
      <c r="F304">
        <v>14</v>
      </c>
      <c r="G304" t="b">
        <v>0</v>
      </c>
      <c r="H304">
        <v>1</v>
      </c>
      <c r="I304" t="str">
        <f>CHOOSE(H304+1,"Monday","Tuesday","Wednesday","Thursday","Friday","Saturday","Sunday")</f>
        <v>Tuesday</v>
      </c>
      <c r="J304">
        <v>2</v>
      </c>
      <c r="K304">
        <v>0.36</v>
      </c>
      <c r="L304" t="str">
        <f>IF(Table5[[#This Row],[temp]]&lt;24,"Cold","Hot")</f>
        <v>Cold</v>
      </c>
      <c r="M304">
        <v>0.36359999999999998</v>
      </c>
      <c r="N304">
        <v>0.56999999999999995</v>
      </c>
      <c r="O304" t="str">
        <f>IF(Table5[[#This Row],[hum]]&lt;0.3,"Humid",IF(Table5[[#This Row],[hum]]&gt;=0.3,"High Humid"))</f>
        <v>High Humid</v>
      </c>
      <c r="P304">
        <v>8.9599999999999999E-2</v>
      </c>
      <c r="Q304">
        <v>8</v>
      </c>
      <c r="R304">
        <v>52</v>
      </c>
      <c r="S304">
        <v>60</v>
      </c>
    </row>
    <row r="305" spans="1:19" x14ac:dyDescent="0.25">
      <c r="A305">
        <v>845</v>
      </c>
      <c r="B305" s="1">
        <v>40581</v>
      </c>
      <c r="C305">
        <v>1</v>
      </c>
      <c r="D305">
        <v>0</v>
      </c>
      <c r="E305">
        <v>2</v>
      </c>
      <c r="F305">
        <v>15</v>
      </c>
      <c r="G305" t="b">
        <v>0</v>
      </c>
      <c r="H305">
        <v>1</v>
      </c>
      <c r="I305" t="str">
        <f>CHOOSE(H305+1,"Monday","Tuesday","Wednesday","Thursday","Friday","Saturday","Sunday")</f>
        <v>Tuesday</v>
      </c>
      <c r="J305">
        <v>2</v>
      </c>
      <c r="K305">
        <v>0.38</v>
      </c>
      <c r="L305" t="str">
        <f>IF(Table5[[#This Row],[temp]]&lt;24,"Cold","Hot")</f>
        <v>Cold</v>
      </c>
      <c r="M305">
        <v>0.39389999999999997</v>
      </c>
      <c r="N305">
        <v>0.54</v>
      </c>
      <c r="O305" t="str">
        <f>IF(Table5[[#This Row],[hum]]&lt;0.3,"Humid",IF(Table5[[#This Row],[hum]]&gt;=0.3,"High Humid"))</f>
        <v>High Humid</v>
      </c>
      <c r="P305">
        <v>8.9599999999999999E-2</v>
      </c>
      <c r="Q305">
        <v>4</v>
      </c>
      <c r="R305">
        <v>46</v>
      </c>
      <c r="S305">
        <v>50</v>
      </c>
    </row>
    <row r="306" spans="1:19" x14ac:dyDescent="0.25">
      <c r="A306">
        <v>846</v>
      </c>
      <c r="B306" s="1">
        <v>40581</v>
      </c>
      <c r="C306">
        <v>1</v>
      </c>
      <c r="D306">
        <v>0</v>
      </c>
      <c r="E306">
        <v>2</v>
      </c>
      <c r="F306">
        <v>16</v>
      </c>
      <c r="G306" t="b">
        <v>0</v>
      </c>
      <c r="H306">
        <v>1</v>
      </c>
      <c r="I306" t="str">
        <f>CHOOSE(H306+1,"Monday","Tuesday","Wednesday","Thursday","Friday","Saturday","Sunday")</f>
        <v>Tuesday</v>
      </c>
      <c r="J306">
        <v>2</v>
      </c>
      <c r="K306">
        <v>0.36</v>
      </c>
      <c r="L306" t="str">
        <f>IF(Table5[[#This Row],[temp]]&lt;24,"Cold","Hot")</f>
        <v>Cold</v>
      </c>
      <c r="M306">
        <v>0.34849999999999998</v>
      </c>
      <c r="N306">
        <v>0.56999999999999995</v>
      </c>
      <c r="O306" t="str">
        <f>IF(Table5[[#This Row],[hum]]&lt;0.3,"Humid",IF(Table5[[#This Row],[hum]]&gt;=0.3,"High Humid"))</f>
        <v>High Humid</v>
      </c>
      <c r="P306">
        <v>0.1343</v>
      </c>
      <c r="Q306">
        <v>16</v>
      </c>
      <c r="R306">
        <v>98</v>
      </c>
      <c r="S306">
        <v>114</v>
      </c>
    </row>
    <row r="307" spans="1:19" x14ac:dyDescent="0.25">
      <c r="A307">
        <v>847</v>
      </c>
      <c r="B307" s="1">
        <v>40581</v>
      </c>
      <c r="C307">
        <v>1</v>
      </c>
      <c r="D307">
        <v>0</v>
      </c>
      <c r="E307">
        <v>2</v>
      </c>
      <c r="F307">
        <v>17</v>
      </c>
      <c r="G307" t="b">
        <v>0</v>
      </c>
      <c r="H307">
        <v>1</v>
      </c>
      <c r="I307" t="str">
        <f>CHOOSE(H307+1,"Monday","Tuesday","Wednesday","Thursday","Friday","Saturday","Sunday")</f>
        <v>Tuesday</v>
      </c>
      <c r="J307">
        <v>2</v>
      </c>
      <c r="K307">
        <v>0.32</v>
      </c>
      <c r="L307" t="str">
        <f>IF(Table5[[#This Row],[temp]]&lt;24,"Cold","Hot")</f>
        <v>Cold</v>
      </c>
      <c r="M307">
        <v>0.31819999999999998</v>
      </c>
      <c r="N307">
        <v>0.7</v>
      </c>
      <c r="O307" t="str">
        <f>IF(Table5[[#This Row],[hum]]&lt;0.3,"Humid",IF(Table5[[#This Row],[hum]]&gt;=0.3,"High Humid"))</f>
        <v>High Humid</v>
      </c>
      <c r="P307">
        <v>0.16420000000000001</v>
      </c>
      <c r="Q307">
        <v>9</v>
      </c>
      <c r="R307">
        <v>207</v>
      </c>
      <c r="S307">
        <v>216</v>
      </c>
    </row>
    <row r="308" spans="1:19" x14ac:dyDescent="0.25">
      <c r="A308">
        <v>848</v>
      </c>
      <c r="B308" s="1">
        <v>40581</v>
      </c>
      <c r="C308">
        <v>1</v>
      </c>
      <c r="D308">
        <v>0</v>
      </c>
      <c r="E308">
        <v>2</v>
      </c>
      <c r="F308">
        <v>18</v>
      </c>
      <c r="G308" t="b">
        <v>0</v>
      </c>
      <c r="H308">
        <v>1</v>
      </c>
      <c r="I308" t="str">
        <f>CHOOSE(H308+1,"Monday","Tuesday","Wednesday","Thursday","Friday","Saturday","Sunday")</f>
        <v>Tuesday</v>
      </c>
      <c r="J308">
        <v>2</v>
      </c>
      <c r="K308">
        <v>0.34</v>
      </c>
      <c r="L308" t="str">
        <f>IF(Table5[[#This Row],[temp]]&lt;24,"Cold","Hot")</f>
        <v>Cold</v>
      </c>
      <c r="M308">
        <v>0.33329999999999999</v>
      </c>
      <c r="N308">
        <v>0.66</v>
      </c>
      <c r="O308" t="str">
        <f>IF(Table5[[#This Row],[hum]]&lt;0.3,"Humid",IF(Table5[[#This Row],[hum]]&gt;=0.3,"High Humid"))</f>
        <v>High Humid</v>
      </c>
      <c r="P308">
        <v>0.1343</v>
      </c>
      <c r="Q308">
        <v>5</v>
      </c>
      <c r="R308">
        <v>170</v>
      </c>
      <c r="S308">
        <v>175</v>
      </c>
    </row>
    <row r="309" spans="1:19" x14ac:dyDescent="0.25">
      <c r="A309">
        <v>849</v>
      </c>
      <c r="B309" s="1">
        <v>40581</v>
      </c>
      <c r="C309">
        <v>1</v>
      </c>
      <c r="D309">
        <v>0</v>
      </c>
      <c r="E309">
        <v>2</v>
      </c>
      <c r="F309">
        <v>19</v>
      </c>
      <c r="G309" t="b">
        <v>0</v>
      </c>
      <c r="H309">
        <v>1</v>
      </c>
      <c r="I309" t="str">
        <f>CHOOSE(H309+1,"Monday","Tuesday","Wednesday","Thursday","Friday","Saturday","Sunday")</f>
        <v>Tuesday</v>
      </c>
      <c r="J309">
        <v>2</v>
      </c>
      <c r="K309">
        <v>0.32</v>
      </c>
      <c r="L309" t="str">
        <f>IF(Table5[[#This Row],[temp]]&lt;24,"Cold","Hot")</f>
        <v>Cold</v>
      </c>
      <c r="M309">
        <v>0.34849999999999998</v>
      </c>
      <c r="N309">
        <v>0.7</v>
      </c>
      <c r="O309" t="str">
        <f>IF(Table5[[#This Row],[hum]]&lt;0.3,"Humid",IF(Table5[[#This Row],[hum]]&gt;=0.3,"High Humid"))</f>
        <v>High Humid</v>
      </c>
      <c r="P309">
        <v>0</v>
      </c>
      <c r="Q309">
        <v>5</v>
      </c>
      <c r="R309">
        <v>123</v>
      </c>
      <c r="S309">
        <v>128</v>
      </c>
    </row>
    <row r="310" spans="1:19" x14ac:dyDescent="0.25">
      <c r="A310">
        <v>850</v>
      </c>
      <c r="B310" s="1">
        <v>40581</v>
      </c>
      <c r="C310">
        <v>1</v>
      </c>
      <c r="D310">
        <v>0</v>
      </c>
      <c r="E310">
        <v>2</v>
      </c>
      <c r="F310">
        <v>20</v>
      </c>
      <c r="G310" t="b">
        <v>0</v>
      </c>
      <c r="H310">
        <v>1</v>
      </c>
      <c r="I310" t="str">
        <f>CHOOSE(H310+1,"Monday","Tuesday","Wednesday","Thursday","Friday","Saturday","Sunday")</f>
        <v>Tuesday</v>
      </c>
      <c r="J310">
        <v>2</v>
      </c>
      <c r="K310">
        <v>0.32</v>
      </c>
      <c r="L310" t="str">
        <f>IF(Table5[[#This Row],[temp]]&lt;24,"Cold","Hot")</f>
        <v>Cold</v>
      </c>
      <c r="M310">
        <v>0.33329999999999999</v>
      </c>
      <c r="N310">
        <v>0.7</v>
      </c>
      <c r="O310" t="str">
        <f>IF(Table5[[#This Row],[hum]]&lt;0.3,"Humid",IF(Table5[[#This Row],[hum]]&gt;=0.3,"High Humid"))</f>
        <v>High Humid</v>
      </c>
      <c r="P310">
        <v>0.1045</v>
      </c>
      <c r="Q310">
        <v>6</v>
      </c>
      <c r="R310">
        <v>82</v>
      </c>
      <c r="S310">
        <v>88</v>
      </c>
    </row>
    <row r="311" spans="1:19" x14ac:dyDescent="0.25">
      <c r="A311">
        <v>851</v>
      </c>
      <c r="B311" s="1">
        <v>40581</v>
      </c>
      <c r="C311">
        <v>1</v>
      </c>
      <c r="D311">
        <v>0</v>
      </c>
      <c r="E311">
        <v>2</v>
      </c>
      <c r="F311">
        <v>21</v>
      </c>
      <c r="G311" t="b">
        <v>0</v>
      </c>
      <c r="H311">
        <v>1</v>
      </c>
      <c r="I311" t="str">
        <f>CHOOSE(H311+1,"Monday","Tuesday","Wednesday","Thursday","Friday","Saturday","Sunday")</f>
        <v>Tuesday</v>
      </c>
      <c r="J311">
        <v>1</v>
      </c>
      <c r="K311">
        <v>0.32</v>
      </c>
      <c r="L311" t="str">
        <f>IF(Table5[[#This Row],[temp]]&lt;24,"Cold","Hot")</f>
        <v>Cold</v>
      </c>
      <c r="M311">
        <v>0.34849999999999998</v>
      </c>
      <c r="N311">
        <v>0.7</v>
      </c>
      <c r="O311" t="str">
        <f>IF(Table5[[#This Row],[hum]]&lt;0.3,"Humid",IF(Table5[[#This Row],[hum]]&gt;=0.3,"High Humid"))</f>
        <v>High Humid</v>
      </c>
      <c r="P311">
        <v>0</v>
      </c>
      <c r="Q311">
        <v>3</v>
      </c>
      <c r="R311">
        <v>75</v>
      </c>
      <c r="S311">
        <v>78</v>
      </c>
    </row>
    <row r="312" spans="1:19" x14ac:dyDescent="0.25">
      <c r="A312">
        <v>852</v>
      </c>
      <c r="B312" s="1">
        <v>40581</v>
      </c>
      <c r="C312">
        <v>1</v>
      </c>
      <c r="D312">
        <v>0</v>
      </c>
      <c r="E312">
        <v>2</v>
      </c>
      <c r="F312">
        <v>22</v>
      </c>
      <c r="G312" t="b">
        <v>0</v>
      </c>
      <c r="H312">
        <v>1</v>
      </c>
      <c r="I312" t="str">
        <f>CHOOSE(H312+1,"Monday","Tuesday","Wednesday","Thursday","Friday","Saturday","Sunday")</f>
        <v>Tuesday</v>
      </c>
      <c r="J312">
        <v>1</v>
      </c>
      <c r="K312">
        <v>0.28000000000000003</v>
      </c>
      <c r="L312" t="str">
        <f>IF(Table5[[#This Row],[temp]]&lt;24,"Cold","Hot")</f>
        <v>Cold</v>
      </c>
      <c r="M312">
        <v>0.30299999999999999</v>
      </c>
      <c r="N312">
        <v>0.81</v>
      </c>
      <c r="O312" t="str">
        <f>IF(Table5[[#This Row],[hum]]&lt;0.3,"Humid",IF(Table5[[#This Row],[hum]]&gt;=0.3,"High Humid"))</f>
        <v>High Humid</v>
      </c>
      <c r="P312">
        <v>8.9599999999999999E-2</v>
      </c>
      <c r="Q312">
        <v>3</v>
      </c>
      <c r="R312">
        <v>34</v>
      </c>
      <c r="S312">
        <v>37</v>
      </c>
    </row>
    <row r="313" spans="1:19" x14ac:dyDescent="0.25">
      <c r="A313">
        <v>853</v>
      </c>
      <c r="B313" s="1">
        <v>40581</v>
      </c>
      <c r="C313">
        <v>1</v>
      </c>
      <c r="D313">
        <v>0</v>
      </c>
      <c r="E313">
        <v>2</v>
      </c>
      <c r="F313">
        <v>23</v>
      </c>
      <c r="G313" t="b">
        <v>0</v>
      </c>
      <c r="H313">
        <v>1</v>
      </c>
      <c r="I313" t="str">
        <f>CHOOSE(H313+1,"Monday","Tuesday","Wednesday","Thursday","Friday","Saturday","Sunday")</f>
        <v>Tuesday</v>
      </c>
      <c r="J313">
        <v>2</v>
      </c>
      <c r="K313">
        <v>0.3</v>
      </c>
      <c r="L313" t="str">
        <f>IF(Table5[[#This Row],[temp]]&lt;24,"Cold","Hot")</f>
        <v>Cold</v>
      </c>
      <c r="M313">
        <v>0.33329999999999999</v>
      </c>
      <c r="N313">
        <v>0.81</v>
      </c>
      <c r="O313" t="str">
        <f>IF(Table5[[#This Row],[hum]]&lt;0.3,"Humid",IF(Table5[[#This Row],[hum]]&gt;=0.3,"High Humid"))</f>
        <v>High Humid</v>
      </c>
      <c r="P313">
        <v>0</v>
      </c>
      <c r="Q313">
        <v>6</v>
      </c>
      <c r="R313">
        <v>19</v>
      </c>
      <c r="S313">
        <v>25</v>
      </c>
    </row>
    <row r="314" spans="1:19" x14ac:dyDescent="0.25">
      <c r="A314">
        <v>993</v>
      </c>
      <c r="B314" s="1">
        <v>40588</v>
      </c>
      <c r="C314">
        <v>1</v>
      </c>
      <c r="D314">
        <v>0</v>
      </c>
      <c r="E314">
        <v>2</v>
      </c>
      <c r="F314">
        <v>0</v>
      </c>
      <c r="G314" t="b">
        <v>0</v>
      </c>
      <c r="H314">
        <v>1</v>
      </c>
      <c r="I314" t="str">
        <f>CHOOSE(H314+1,"Monday","Tuesday","Wednesday","Thursday","Friday","Saturday","Sunday")</f>
        <v>Tuesday</v>
      </c>
      <c r="J314">
        <v>1</v>
      </c>
      <c r="K314">
        <v>0.38</v>
      </c>
      <c r="L314" t="str">
        <f>IF(Table5[[#This Row],[temp]]&lt;24,"Cold","Hot")</f>
        <v>Cold</v>
      </c>
      <c r="M314">
        <v>0.39389999999999997</v>
      </c>
      <c r="N314">
        <v>0.37</v>
      </c>
      <c r="O314" t="str">
        <f>IF(Table5[[#This Row],[hum]]&lt;0.3,"Humid",IF(Table5[[#This Row],[hum]]&gt;=0.3,"High Humid"))</f>
        <v>High Humid</v>
      </c>
      <c r="P314">
        <v>0.35820000000000002</v>
      </c>
      <c r="Q314">
        <v>3</v>
      </c>
      <c r="R314">
        <v>8</v>
      </c>
      <c r="S314">
        <v>11</v>
      </c>
    </row>
    <row r="315" spans="1:19" x14ac:dyDescent="0.25">
      <c r="A315">
        <v>994</v>
      </c>
      <c r="B315" s="1">
        <v>40588</v>
      </c>
      <c r="C315">
        <v>1</v>
      </c>
      <c r="D315">
        <v>0</v>
      </c>
      <c r="E315">
        <v>2</v>
      </c>
      <c r="F315">
        <v>1</v>
      </c>
      <c r="G315" t="b">
        <v>0</v>
      </c>
      <c r="H315">
        <v>1</v>
      </c>
      <c r="I315" t="str">
        <f>CHOOSE(H315+1,"Monday","Tuesday","Wednesday","Thursday","Friday","Saturday","Sunday")</f>
        <v>Tuesday</v>
      </c>
      <c r="J315">
        <v>1</v>
      </c>
      <c r="K315">
        <v>0.38</v>
      </c>
      <c r="L315" t="str">
        <f>IF(Table5[[#This Row],[temp]]&lt;24,"Cold","Hot")</f>
        <v>Cold</v>
      </c>
      <c r="M315">
        <v>0.39389999999999997</v>
      </c>
      <c r="N315">
        <v>0.37</v>
      </c>
      <c r="O315" t="str">
        <f>IF(Table5[[#This Row],[hum]]&lt;0.3,"Humid",IF(Table5[[#This Row],[hum]]&gt;=0.3,"High Humid"))</f>
        <v>High Humid</v>
      </c>
      <c r="P315">
        <v>0.35820000000000002</v>
      </c>
      <c r="Q315">
        <v>1</v>
      </c>
      <c r="R315">
        <v>6</v>
      </c>
      <c r="S315">
        <v>7</v>
      </c>
    </row>
    <row r="316" spans="1:19" x14ac:dyDescent="0.25">
      <c r="A316">
        <v>995</v>
      </c>
      <c r="B316" s="1">
        <v>40588</v>
      </c>
      <c r="C316">
        <v>1</v>
      </c>
      <c r="D316">
        <v>0</v>
      </c>
      <c r="E316">
        <v>2</v>
      </c>
      <c r="F316">
        <v>2</v>
      </c>
      <c r="G316" t="b">
        <v>0</v>
      </c>
      <c r="H316">
        <v>1</v>
      </c>
      <c r="I316" t="str">
        <f>CHOOSE(H316+1,"Monday","Tuesday","Wednesday","Thursday","Friday","Saturday","Sunday")</f>
        <v>Tuesday</v>
      </c>
      <c r="J316">
        <v>1</v>
      </c>
      <c r="K316">
        <v>0.36</v>
      </c>
      <c r="L316" t="str">
        <f>IF(Table5[[#This Row],[temp]]&lt;24,"Cold","Hot")</f>
        <v>Cold</v>
      </c>
      <c r="M316">
        <v>0.33329999999999999</v>
      </c>
      <c r="N316">
        <v>0.4</v>
      </c>
      <c r="O316" t="str">
        <f>IF(Table5[[#This Row],[hum]]&lt;0.3,"Humid",IF(Table5[[#This Row],[hum]]&gt;=0.3,"High Humid"))</f>
        <v>High Humid</v>
      </c>
      <c r="P316">
        <v>0.29849999999999999</v>
      </c>
      <c r="Q316">
        <v>0</v>
      </c>
      <c r="R316">
        <v>2</v>
      </c>
      <c r="S316">
        <v>2</v>
      </c>
    </row>
    <row r="317" spans="1:19" x14ac:dyDescent="0.25">
      <c r="A317">
        <v>996</v>
      </c>
      <c r="B317" s="1">
        <v>40588</v>
      </c>
      <c r="C317">
        <v>1</v>
      </c>
      <c r="D317">
        <v>0</v>
      </c>
      <c r="E317">
        <v>2</v>
      </c>
      <c r="F317">
        <v>3</v>
      </c>
      <c r="G317" t="b">
        <v>0</v>
      </c>
      <c r="H317">
        <v>1</v>
      </c>
      <c r="I317" t="str">
        <f>CHOOSE(H317+1,"Monday","Tuesday","Wednesday","Thursday","Friday","Saturday","Sunday")</f>
        <v>Tuesday</v>
      </c>
      <c r="J317">
        <v>1</v>
      </c>
      <c r="K317">
        <v>0.34</v>
      </c>
      <c r="L317" t="str">
        <f>IF(Table5[[#This Row],[temp]]&lt;24,"Cold","Hot")</f>
        <v>Cold</v>
      </c>
      <c r="M317">
        <v>0.31819999999999998</v>
      </c>
      <c r="N317">
        <v>0.46</v>
      </c>
      <c r="O317" t="str">
        <f>IF(Table5[[#This Row],[hum]]&lt;0.3,"Humid",IF(Table5[[#This Row],[hum]]&gt;=0.3,"High Humid"))</f>
        <v>High Humid</v>
      </c>
      <c r="P317">
        <v>0.22389999999999999</v>
      </c>
      <c r="Q317">
        <v>1</v>
      </c>
      <c r="R317">
        <v>1</v>
      </c>
      <c r="S317">
        <v>2</v>
      </c>
    </row>
    <row r="318" spans="1:19" x14ac:dyDescent="0.25">
      <c r="A318">
        <v>997</v>
      </c>
      <c r="B318" s="1">
        <v>40588</v>
      </c>
      <c r="C318">
        <v>1</v>
      </c>
      <c r="D318">
        <v>0</v>
      </c>
      <c r="E318">
        <v>2</v>
      </c>
      <c r="F318">
        <v>4</v>
      </c>
      <c r="G318" t="b">
        <v>0</v>
      </c>
      <c r="H318">
        <v>1</v>
      </c>
      <c r="I318" t="str">
        <f>CHOOSE(H318+1,"Monday","Tuesday","Wednesday","Thursday","Friday","Saturday","Sunday")</f>
        <v>Tuesday</v>
      </c>
      <c r="J318">
        <v>1</v>
      </c>
      <c r="K318">
        <v>0.32</v>
      </c>
      <c r="L318" t="str">
        <f>IF(Table5[[#This Row],[temp]]&lt;24,"Cold","Hot")</f>
        <v>Cold</v>
      </c>
      <c r="M318">
        <v>0.30299999999999999</v>
      </c>
      <c r="N318">
        <v>0.53</v>
      </c>
      <c r="O318" t="str">
        <f>IF(Table5[[#This Row],[hum]]&lt;0.3,"Humid",IF(Table5[[#This Row],[hum]]&gt;=0.3,"High Humid"))</f>
        <v>High Humid</v>
      </c>
      <c r="P318">
        <v>0.28360000000000002</v>
      </c>
      <c r="Q318">
        <v>0</v>
      </c>
      <c r="R318">
        <v>2</v>
      </c>
      <c r="S318">
        <v>2</v>
      </c>
    </row>
    <row r="319" spans="1:19" x14ac:dyDescent="0.25">
      <c r="A319">
        <v>998</v>
      </c>
      <c r="B319" s="1">
        <v>40588</v>
      </c>
      <c r="C319">
        <v>1</v>
      </c>
      <c r="D319">
        <v>0</v>
      </c>
      <c r="E319">
        <v>2</v>
      </c>
      <c r="F319">
        <v>5</v>
      </c>
      <c r="G319" t="b">
        <v>0</v>
      </c>
      <c r="H319">
        <v>1</v>
      </c>
      <c r="I319" t="str">
        <f>CHOOSE(H319+1,"Monday","Tuesday","Wednesday","Thursday","Friday","Saturday","Sunday")</f>
        <v>Tuesday</v>
      </c>
      <c r="J319">
        <v>1</v>
      </c>
      <c r="K319">
        <v>0.32</v>
      </c>
      <c r="L319" t="str">
        <f>IF(Table5[[#This Row],[temp]]&lt;24,"Cold","Hot")</f>
        <v>Cold</v>
      </c>
      <c r="M319">
        <v>0.30299999999999999</v>
      </c>
      <c r="N319">
        <v>0.53</v>
      </c>
      <c r="O319" t="str">
        <f>IF(Table5[[#This Row],[hum]]&lt;0.3,"Humid",IF(Table5[[#This Row],[hum]]&gt;=0.3,"High Humid"))</f>
        <v>High Humid</v>
      </c>
      <c r="P319">
        <v>0.28360000000000002</v>
      </c>
      <c r="Q319">
        <v>0</v>
      </c>
      <c r="R319">
        <v>3</v>
      </c>
      <c r="S319">
        <v>3</v>
      </c>
    </row>
    <row r="320" spans="1:19" x14ac:dyDescent="0.25">
      <c r="A320">
        <v>999</v>
      </c>
      <c r="B320" s="1">
        <v>40588</v>
      </c>
      <c r="C320">
        <v>1</v>
      </c>
      <c r="D320">
        <v>0</v>
      </c>
      <c r="E320">
        <v>2</v>
      </c>
      <c r="F320">
        <v>6</v>
      </c>
      <c r="G320" t="b">
        <v>0</v>
      </c>
      <c r="H320">
        <v>1</v>
      </c>
      <c r="I320" t="str">
        <f>CHOOSE(H320+1,"Monday","Tuesday","Wednesday","Thursday","Friday","Saturday","Sunday")</f>
        <v>Tuesday</v>
      </c>
      <c r="J320">
        <v>1</v>
      </c>
      <c r="K320">
        <v>0.34</v>
      </c>
      <c r="L320" t="str">
        <f>IF(Table5[[#This Row],[temp]]&lt;24,"Cold","Hot")</f>
        <v>Cold</v>
      </c>
      <c r="M320">
        <v>0.30299999999999999</v>
      </c>
      <c r="N320">
        <v>0.46</v>
      </c>
      <c r="O320" t="str">
        <f>IF(Table5[[#This Row],[hum]]&lt;0.3,"Humid",IF(Table5[[#This Row],[hum]]&gt;=0.3,"High Humid"))</f>
        <v>High Humid</v>
      </c>
      <c r="P320">
        <v>0.29849999999999999</v>
      </c>
      <c r="Q320">
        <v>1</v>
      </c>
      <c r="R320">
        <v>25</v>
      </c>
      <c r="S320">
        <v>26</v>
      </c>
    </row>
    <row r="321" spans="1:19" x14ac:dyDescent="0.25">
      <c r="A321">
        <v>1000</v>
      </c>
      <c r="B321" s="1">
        <v>40588</v>
      </c>
      <c r="C321">
        <v>1</v>
      </c>
      <c r="D321">
        <v>0</v>
      </c>
      <c r="E321">
        <v>2</v>
      </c>
      <c r="F321">
        <v>7</v>
      </c>
      <c r="G321" t="b">
        <v>0</v>
      </c>
      <c r="H321">
        <v>1</v>
      </c>
      <c r="I321" t="str">
        <f>CHOOSE(H321+1,"Monday","Tuesday","Wednesday","Thursday","Friday","Saturday","Sunday")</f>
        <v>Tuesday</v>
      </c>
      <c r="J321">
        <v>1</v>
      </c>
      <c r="K321">
        <v>0.34</v>
      </c>
      <c r="L321" t="str">
        <f>IF(Table5[[#This Row],[temp]]&lt;24,"Cold","Hot")</f>
        <v>Cold</v>
      </c>
      <c r="M321">
        <v>0.30299999999999999</v>
      </c>
      <c r="N321">
        <v>0.46</v>
      </c>
      <c r="O321" t="str">
        <f>IF(Table5[[#This Row],[hum]]&lt;0.3,"Humid",IF(Table5[[#This Row],[hum]]&gt;=0.3,"High Humid"))</f>
        <v>High Humid</v>
      </c>
      <c r="P321">
        <v>0.29849999999999999</v>
      </c>
      <c r="Q321">
        <v>2</v>
      </c>
      <c r="R321">
        <v>96</v>
      </c>
      <c r="S321">
        <v>98</v>
      </c>
    </row>
    <row r="322" spans="1:19" x14ac:dyDescent="0.25">
      <c r="A322">
        <v>642</v>
      </c>
      <c r="B322" s="1">
        <v>40573</v>
      </c>
      <c r="C322">
        <v>1</v>
      </c>
      <c r="D322">
        <v>0</v>
      </c>
      <c r="E322">
        <v>1</v>
      </c>
      <c r="F322">
        <v>0</v>
      </c>
      <c r="G322" t="b">
        <v>0</v>
      </c>
      <c r="H322">
        <v>0</v>
      </c>
      <c r="I322" t="str">
        <f>CHOOSE(H322+1,"Monday","Tuesday","Wednesday","Thursday","Friday","Saturday","Sunday")</f>
        <v>Monday</v>
      </c>
      <c r="J322">
        <v>1</v>
      </c>
      <c r="K322">
        <v>0.16</v>
      </c>
      <c r="L322" t="str">
        <f>IF(Table5[[#This Row],[temp]]&lt;24,"Cold","Hot")</f>
        <v>Cold</v>
      </c>
      <c r="M322">
        <v>0.18179999999999999</v>
      </c>
      <c r="N322">
        <v>0.8</v>
      </c>
      <c r="O322" t="str">
        <f>IF(Table5[[#This Row],[hum]]&lt;0.3,"Humid",IF(Table5[[#This Row],[hum]]&gt;=0.3,"High Humid"))</f>
        <v>High Humid</v>
      </c>
      <c r="P322">
        <v>0.1045</v>
      </c>
      <c r="Q322">
        <v>0</v>
      </c>
      <c r="R322">
        <v>33</v>
      </c>
      <c r="S322">
        <v>33</v>
      </c>
    </row>
    <row r="323" spans="1:19" x14ac:dyDescent="0.25">
      <c r="A323">
        <v>643</v>
      </c>
      <c r="B323" s="1">
        <v>40573</v>
      </c>
      <c r="C323">
        <v>1</v>
      </c>
      <c r="D323">
        <v>0</v>
      </c>
      <c r="E323">
        <v>1</v>
      </c>
      <c r="F323">
        <v>1</v>
      </c>
      <c r="G323" t="b">
        <v>0</v>
      </c>
      <c r="H323">
        <v>0</v>
      </c>
      <c r="I323" t="str">
        <f>CHOOSE(H323+1,"Monday","Tuesday","Wednesday","Thursday","Friday","Saturday","Sunday")</f>
        <v>Monday</v>
      </c>
      <c r="J323">
        <v>1</v>
      </c>
      <c r="K323">
        <v>0.14000000000000001</v>
      </c>
      <c r="L323" t="str">
        <f>IF(Table5[[#This Row],[temp]]&lt;24,"Cold","Hot")</f>
        <v>Cold</v>
      </c>
      <c r="M323">
        <v>0.21210000000000001</v>
      </c>
      <c r="N323">
        <v>0.8</v>
      </c>
      <c r="O323" t="str">
        <f>IF(Table5[[#This Row],[hum]]&lt;0.3,"Humid",IF(Table5[[#This Row],[hum]]&gt;=0.3,"High Humid"))</f>
        <v>High Humid</v>
      </c>
      <c r="P323">
        <v>0</v>
      </c>
      <c r="Q323">
        <v>7</v>
      </c>
      <c r="R323">
        <v>22</v>
      </c>
      <c r="S323">
        <v>29</v>
      </c>
    </row>
    <row r="324" spans="1:19" x14ac:dyDescent="0.25">
      <c r="A324">
        <v>644</v>
      </c>
      <c r="B324" s="1">
        <v>40573</v>
      </c>
      <c r="C324">
        <v>1</v>
      </c>
      <c r="D324">
        <v>0</v>
      </c>
      <c r="E324">
        <v>1</v>
      </c>
      <c r="F324">
        <v>2</v>
      </c>
      <c r="G324" t="b">
        <v>0</v>
      </c>
      <c r="H324">
        <v>0</v>
      </c>
      <c r="I324" t="str">
        <f>CHOOSE(H324+1,"Monday","Tuesday","Wednesday","Thursday","Friday","Saturday","Sunday")</f>
        <v>Monday</v>
      </c>
      <c r="J324">
        <v>1</v>
      </c>
      <c r="K324">
        <v>0.16</v>
      </c>
      <c r="L324" t="str">
        <f>IF(Table5[[#This Row],[temp]]&lt;24,"Cold","Hot")</f>
        <v>Cold</v>
      </c>
      <c r="M324">
        <v>0.2273</v>
      </c>
      <c r="N324">
        <v>0.8</v>
      </c>
      <c r="O324" t="str">
        <f>IF(Table5[[#This Row],[hum]]&lt;0.3,"Humid",IF(Table5[[#This Row],[hum]]&gt;=0.3,"High Humid"))</f>
        <v>High Humid</v>
      </c>
      <c r="P324">
        <v>0</v>
      </c>
      <c r="Q324">
        <v>1</v>
      </c>
      <c r="R324">
        <v>10</v>
      </c>
      <c r="S324">
        <v>11</v>
      </c>
    </row>
    <row r="325" spans="1:19" x14ac:dyDescent="0.25">
      <c r="A325">
        <v>645</v>
      </c>
      <c r="B325" s="1">
        <v>40573</v>
      </c>
      <c r="C325">
        <v>1</v>
      </c>
      <c r="D325">
        <v>0</v>
      </c>
      <c r="E325">
        <v>1</v>
      </c>
      <c r="F325">
        <v>3</v>
      </c>
      <c r="G325" t="b">
        <v>0</v>
      </c>
      <c r="H325">
        <v>0</v>
      </c>
      <c r="I325" t="str">
        <f>CHOOSE(H325+1,"Monday","Tuesday","Wednesday","Thursday","Friday","Saturday","Sunday")</f>
        <v>Monday</v>
      </c>
      <c r="J325">
        <v>1</v>
      </c>
      <c r="K325">
        <v>0.14000000000000001</v>
      </c>
      <c r="L325" t="str">
        <f>IF(Table5[[#This Row],[temp]]&lt;24,"Cold","Hot")</f>
        <v>Cold</v>
      </c>
      <c r="M325">
        <v>0.21210000000000001</v>
      </c>
      <c r="N325">
        <v>0.93</v>
      </c>
      <c r="O325" t="str">
        <f>IF(Table5[[#This Row],[hum]]&lt;0.3,"Humid",IF(Table5[[#This Row],[hum]]&gt;=0.3,"High Humid"))</f>
        <v>High Humid</v>
      </c>
      <c r="P325">
        <v>0</v>
      </c>
      <c r="Q325">
        <v>1</v>
      </c>
      <c r="R325">
        <v>7</v>
      </c>
      <c r="S325">
        <v>8</v>
      </c>
    </row>
    <row r="326" spans="1:19" x14ac:dyDescent="0.25">
      <c r="A326">
        <v>646</v>
      </c>
      <c r="B326" s="1">
        <v>40573</v>
      </c>
      <c r="C326">
        <v>1</v>
      </c>
      <c r="D326">
        <v>0</v>
      </c>
      <c r="E326">
        <v>1</v>
      </c>
      <c r="F326">
        <v>4</v>
      </c>
      <c r="G326" t="b">
        <v>0</v>
      </c>
      <c r="H326">
        <v>0</v>
      </c>
      <c r="I326" t="str">
        <f>CHOOSE(H326+1,"Monday","Tuesday","Wednesday","Thursday","Friday","Saturday","Sunday")</f>
        <v>Monday</v>
      </c>
      <c r="J326">
        <v>1</v>
      </c>
      <c r="K326">
        <v>0.14000000000000001</v>
      </c>
      <c r="L326" t="str">
        <f>IF(Table5[[#This Row],[temp]]&lt;24,"Cold","Hot")</f>
        <v>Cold</v>
      </c>
      <c r="M326">
        <v>0.21210000000000001</v>
      </c>
      <c r="N326">
        <v>0.93</v>
      </c>
      <c r="O326" t="str">
        <f>IF(Table5[[#This Row],[hum]]&lt;0.3,"Humid",IF(Table5[[#This Row],[hum]]&gt;=0.3,"High Humid"))</f>
        <v>High Humid</v>
      </c>
      <c r="P326">
        <v>0</v>
      </c>
      <c r="Q326">
        <v>0</v>
      </c>
      <c r="R326">
        <v>1</v>
      </c>
      <c r="S326">
        <v>1</v>
      </c>
    </row>
    <row r="327" spans="1:19" x14ac:dyDescent="0.25">
      <c r="A327">
        <v>647</v>
      </c>
      <c r="B327" s="1">
        <v>40573</v>
      </c>
      <c r="C327">
        <v>1</v>
      </c>
      <c r="D327">
        <v>0</v>
      </c>
      <c r="E327">
        <v>1</v>
      </c>
      <c r="F327">
        <v>5</v>
      </c>
      <c r="G327" t="b">
        <v>0</v>
      </c>
      <c r="H327">
        <v>0</v>
      </c>
      <c r="I327" t="str">
        <f>CHOOSE(H327+1,"Monday","Tuesday","Wednesday","Thursday","Friday","Saturday","Sunday")</f>
        <v>Monday</v>
      </c>
      <c r="J327">
        <v>1</v>
      </c>
      <c r="K327">
        <v>0.14000000000000001</v>
      </c>
      <c r="L327" t="str">
        <f>IF(Table5[[#This Row],[temp]]&lt;24,"Cold","Hot")</f>
        <v>Cold</v>
      </c>
      <c r="M327">
        <v>0.21210000000000001</v>
      </c>
      <c r="N327">
        <v>0.86</v>
      </c>
      <c r="O327" t="str">
        <f>IF(Table5[[#This Row],[hum]]&lt;0.3,"Humid",IF(Table5[[#This Row],[hum]]&gt;=0.3,"High Humid"))</f>
        <v>High Humid</v>
      </c>
      <c r="P327">
        <v>0</v>
      </c>
      <c r="Q327">
        <v>0</v>
      </c>
      <c r="R327">
        <v>3</v>
      </c>
      <c r="S327">
        <v>3</v>
      </c>
    </row>
    <row r="328" spans="1:19" x14ac:dyDescent="0.25">
      <c r="A328">
        <v>648</v>
      </c>
      <c r="B328" s="1">
        <v>40573</v>
      </c>
      <c r="C328">
        <v>1</v>
      </c>
      <c r="D328">
        <v>0</v>
      </c>
      <c r="E328">
        <v>1</v>
      </c>
      <c r="F328">
        <v>7</v>
      </c>
      <c r="G328" t="b">
        <v>0</v>
      </c>
      <c r="H328">
        <v>0</v>
      </c>
      <c r="I328" t="str">
        <f>CHOOSE(H328+1,"Monday","Tuesday","Wednesday","Thursday","Friday","Saturday","Sunday")</f>
        <v>Monday</v>
      </c>
      <c r="J328">
        <v>1</v>
      </c>
      <c r="K328">
        <v>0.14000000000000001</v>
      </c>
      <c r="L328" t="str">
        <f>IF(Table5[[#This Row],[temp]]&lt;24,"Cold","Hot")</f>
        <v>Cold</v>
      </c>
      <c r="M328">
        <v>0.21210000000000001</v>
      </c>
      <c r="N328">
        <v>0.86</v>
      </c>
      <c r="O328" t="str">
        <f>IF(Table5[[#This Row],[hum]]&lt;0.3,"Humid",IF(Table5[[#This Row],[hum]]&gt;=0.3,"High Humid"))</f>
        <v>High Humid</v>
      </c>
      <c r="P328">
        <v>0</v>
      </c>
      <c r="Q328">
        <v>0</v>
      </c>
      <c r="R328">
        <v>3</v>
      </c>
      <c r="S328">
        <v>3</v>
      </c>
    </row>
    <row r="329" spans="1:19" x14ac:dyDescent="0.25">
      <c r="A329">
        <v>649</v>
      </c>
      <c r="B329" s="1">
        <v>40573</v>
      </c>
      <c r="C329">
        <v>1</v>
      </c>
      <c r="D329">
        <v>0</v>
      </c>
      <c r="E329">
        <v>1</v>
      </c>
      <c r="F329">
        <v>8</v>
      </c>
      <c r="G329" t="b">
        <v>0</v>
      </c>
      <c r="H329">
        <v>0</v>
      </c>
      <c r="I329" t="str">
        <f>CHOOSE(H329+1,"Monday","Tuesday","Wednesday","Thursday","Friday","Saturday","Sunday")</f>
        <v>Monday</v>
      </c>
      <c r="J329">
        <v>2</v>
      </c>
      <c r="K329">
        <v>0.14000000000000001</v>
      </c>
      <c r="L329" t="str">
        <f>IF(Table5[[#This Row],[temp]]&lt;24,"Cold","Hot")</f>
        <v>Cold</v>
      </c>
      <c r="M329">
        <v>0.21210000000000001</v>
      </c>
      <c r="N329">
        <v>0.86</v>
      </c>
      <c r="O329" t="str">
        <f>IF(Table5[[#This Row],[hum]]&lt;0.3,"Humid",IF(Table5[[#This Row],[hum]]&gt;=0.3,"High Humid"))</f>
        <v>High Humid</v>
      </c>
      <c r="P329">
        <v>0</v>
      </c>
      <c r="Q329">
        <v>1</v>
      </c>
      <c r="R329">
        <v>11</v>
      </c>
      <c r="S329">
        <v>12</v>
      </c>
    </row>
    <row r="330" spans="1:19" x14ac:dyDescent="0.25">
      <c r="A330">
        <v>650</v>
      </c>
      <c r="B330" s="1">
        <v>40573</v>
      </c>
      <c r="C330">
        <v>1</v>
      </c>
      <c r="D330">
        <v>0</v>
      </c>
      <c r="E330">
        <v>1</v>
      </c>
      <c r="F330">
        <v>9</v>
      </c>
      <c r="G330" t="b">
        <v>0</v>
      </c>
      <c r="H330">
        <v>0</v>
      </c>
      <c r="I330" t="str">
        <f>CHOOSE(H330+1,"Monday","Tuesday","Wednesday","Thursday","Friday","Saturday","Sunday")</f>
        <v>Monday</v>
      </c>
      <c r="J330">
        <v>2</v>
      </c>
      <c r="K330">
        <v>0.16</v>
      </c>
      <c r="L330" t="str">
        <f>IF(Table5[[#This Row],[temp]]&lt;24,"Cold","Hot")</f>
        <v>Cold</v>
      </c>
      <c r="M330">
        <v>0.2273</v>
      </c>
      <c r="N330">
        <v>0.8</v>
      </c>
      <c r="O330" t="str">
        <f>IF(Table5[[#This Row],[hum]]&lt;0.3,"Humid",IF(Table5[[#This Row],[hum]]&gt;=0.3,"High Humid"))</f>
        <v>High Humid</v>
      </c>
      <c r="P330">
        <v>0</v>
      </c>
      <c r="Q330">
        <v>4</v>
      </c>
      <c r="R330">
        <v>34</v>
      </c>
      <c r="S330">
        <v>38</v>
      </c>
    </row>
    <row r="331" spans="1:19" x14ac:dyDescent="0.25">
      <c r="A331">
        <v>651</v>
      </c>
      <c r="B331" s="1">
        <v>40573</v>
      </c>
      <c r="C331">
        <v>1</v>
      </c>
      <c r="D331">
        <v>0</v>
      </c>
      <c r="E331">
        <v>1</v>
      </c>
      <c r="F331">
        <v>10</v>
      </c>
      <c r="G331" t="b">
        <v>0</v>
      </c>
      <c r="H331">
        <v>0</v>
      </c>
      <c r="I331" t="str">
        <f>CHOOSE(H331+1,"Monday","Tuesday","Wednesday","Thursday","Friday","Saturday","Sunday")</f>
        <v>Monday</v>
      </c>
      <c r="J331">
        <v>2</v>
      </c>
      <c r="K331">
        <v>0.18</v>
      </c>
      <c r="L331" t="str">
        <f>IF(Table5[[#This Row],[temp]]&lt;24,"Cold","Hot")</f>
        <v>Cold</v>
      </c>
      <c r="M331">
        <v>0.2424</v>
      </c>
      <c r="N331">
        <v>0.8</v>
      </c>
      <c r="O331" t="str">
        <f>IF(Table5[[#This Row],[hum]]&lt;0.3,"Humid",IF(Table5[[#This Row],[hum]]&gt;=0.3,"High Humid"))</f>
        <v>High Humid</v>
      </c>
      <c r="P331">
        <v>0</v>
      </c>
      <c r="Q331">
        <v>7</v>
      </c>
      <c r="R331">
        <v>57</v>
      </c>
      <c r="S331">
        <v>64</v>
      </c>
    </row>
    <row r="332" spans="1:19" x14ac:dyDescent="0.25">
      <c r="A332">
        <v>652</v>
      </c>
      <c r="B332" s="1">
        <v>40573</v>
      </c>
      <c r="C332">
        <v>1</v>
      </c>
      <c r="D332">
        <v>0</v>
      </c>
      <c r="E332">
        <v>1</v>
      </c>
      <c r="F332">
        <v>11</v>
      </c>
      <c r="G332" t="b">
        <v>0</v>
      </c>
      <c r="H332">
        <v>0</v>
      </c>
      <c r="I332" t="str">
        <f>CHOOSE(H332+1,"Monday","Tuesday","Wednesday","Thursday","Friday","Saturday","Sunday")</f>
        <v>Monday</v>
      </c>
      <c r="J332">
        <v>1</v>
      </c>
      <c r="K332">
        <v>0.22</v>
      </c>
      <c r="L332" t="str">
        <f>IF(Table5[[#This Row],[temp]]&lt;24,"Cold","Hot")</f>
        <v>Cold</v>
      </c>
      <c r="M332">
        <v>0.2727</v>
      </c>
      <c r="N332">
        <v>0.75</v>
      </c>
      <c r="O332" t="str">
        <f>IF(Table5[[#This Row],[hum]]&lt;0.3,"Humid",IF(Table5[[#This Row],[hum]]&gt;=0.3,"High Humid"))</f>
        <v>High Humid</v>
      </c>
      <c r="P332">
        <v>0</v>
      </c>
      <c r="Q332">
        <v>9</v>
      </c>
      <c r="R332">
        <v>50</v>
      </c>
      <c r="S332">
        <v>59</v>
      </c>
    </row>
    <row r="333" spans="1:19" x14ac:dyDescent="0.25">
      <c r="A333">
        <v>653</v>
      </c>
      <c r="B333" s="1">
        <v>40573</v>
      </c>
      <c r="C333">
        <v>1</v>
      </c>
      <c r="D333">
        <v>0</v>
      </c>
      <c r="E333">
        <v>1</v>
      </c>
      <c r="F333">
        <v>12</v>
      </c>
      <c r="G333" t="b">
        <v>0</v>
      </c>
      <c r="H333">
        <v>0</v>
      </c>
      <c r="I333" t="str">
        <f>CHOOSE(H333+1,"Monday","Tuesday","Wednesday","Thursday","Friday","Saturday","Sunday")</f>
        <v>Monday</v>
      </c>
      <c r="J333">
        <v>1</v>
      </c>
      <c r="K333">
        <v>0.3</v>
      </c>
      <c r="L333" t="str">
        <f>IF(Table5[[#This Row],[temp]]&lt;24,"Cold","Hot")</f>
        <v>Cold</v>
      </c>
      <c r="M333">
        <v>0.31819999999999998</v>
      </c>
      <c r="N333">
        <v>0.52</v>
      </c>
      <c r="O333" t="str">
        <f>IF(Table5[[#This Row],[hum]]&lt;0.3,"Humid",IF(Table5[[#This Row],[hum]]&gt;=0.3,"High Humid"))</f>
        <v>High Humid</v>
      </c>
      <c r="P333">
        <v>0.1045</v>
      </c>
      <c r="Q333">
        <v>10</v>
      </c>
      <c r="R333">
        <v>87</v>
      </c>
      <c r="S333">
        <v>97</v>
      </c>
    </row>
    <row r="334" spans="1:19" x14ac:dyDescent="0.25">
      <c r="A334">
        <v>654</v>
      </c>
      <c r="B334" s="1">
        <v>40573</v>
      </c>
      <c r="C334">
        <v>1</v>
      </c>
      <c r="D334">
        <v>0</v>
      </c>
      <c r="E334">
        <v>1</v>
      </c>
      <c r="F334">
        <v>13</v>
      </c>
      <c r="G334" t="b">
        <v>0</v>
      </c>
      <c r="H334">
        <v>0</v>
      </c>
      <c r="I334" t="str">
        <f>CHOOSE(H334+1,"Monday","Tuesday","Wednesday","Thursday","Friday","Saturday","Sunday")</f>
        <v>Monday</v>
      </c>
      <c r="J334">
        <v>1</v>
      </c>
      <c r="K334">
        <v>0.28000000000000003</v>
      </c>
      <c r="L334" t="str">
        <f>IF(Table5[[#This Row],[temp]]&lt;24,"Cold","Hot")</f>
        <v>Cold</v>
      </c>
      <c r="M334">
        <v>0.28789999999999999</v>
      </c>
      <c r="N334">
        <v>0.61</v>
      </c>
      <c r="O334" t="str">
        <f>IF(Table5[[#This Row],[hum]]&lt;0.3,"Humid",IF(Table5[[#This Row],[hum]]&gt;=0.3,"High Humid"))</f>
        <v>High Humid</v>
      </c>
      <c r="P334">
        <v>0.1045</v>
      </c>
      <c r="Q334">
        <v>13</v>
      </c>
      <c r="R334">
        <v>71</v>
      </c>
      <c r="S334">
        <v>84</v>
      </c>
    </row>
    <row r="335" spans="1:19" x14ac:dyDescent="0.25">
      <c r="A335">
        <v>655</v>
      </c>
      <c r="B335" s="1">
        <v>40573</v>
      </c>
      <c r="C335">
        <v>1</v>
      </c>
      <c r="D335">
        <v>0</v>
      </c>
      <c r="E335">
        <v>1</v>
      </c>
      <c r="F335">
        <v>14</v>
      </c>
      <c r="G335" t="b">
        <v>0</v>
      </c>
      <c r="H335">
        <v>0</v>
      </c>
      <c r="I335" t="str">
        <f>CHOOSE(H335+1,"Monday","Tuesday","Wednesday","Thursday","Friday","Saturday","Sunday")</f>
        <v>Monday</v>
      </c>
      <c r="J335">
        <v>1</v>
      </c>
      <c r="K335">
        <v>0.28000000000000003</v>
      </c>
      <c r="L335" t="str">
        <f>IF(Table5[[#This Row],[temp]]&lt;24,"Cold","Hot")</f>
        <v>Cold</v>
      </c>
      <c r="M335">
        <v>0.30299999999999999</v>
      </c>
      <c r="N335">
        <v>0.61</v>
      </c>
      <c r="O335" t="str">
        <f>IF(Table5[[#This Row],[hum]]&lt;0.3,"Humid",IF(Table5[[#This Row],[hum]]&gt;=0.3,"High Humid"))</f>
        <v>High Humid</v>
      </c>
      <c r="P335">
        <v>8.9599999999999999E-2</v>
      </c>
      <c r="Q335">
        <v>18</v>
      </c>
      <c r="R335">
        <v>104</v>
      </c>
      <c r="S335">
        <v>122</v>
      </c>
    </row>
    <row r="336" spans="1:19" x14ac:dyDescent="0.25">
      <c r="A336">
        <v>656</v>
      </c>
      <c r="B336" s="1">
        <v>40573</v>
      </c>
      <c r="C336">
        <v>1</v>
      </c>
      <c r="D336">
        <v>0</v>
      </c>
      <c r="E336">
        <v>1</v>
      </c>
      <c r="F336">
        <v>15</v>
      </c>
      <c r="G336" t="b">
        <v>0</v>
      </c>
      <c r="H336">
        <v>0</v>
      </c>
      <c r="I336" t="str">
        <f>CHOOSE(H336+1,"Monday","Tuesday","Wednesday","Thursday","Friday","Saturday","Sunday")</f>
        <v>Monday</v>
      </c>
      <c r="J336">
        <v>1</v>
      </c>
      <c r="K336">
        <v>0.3</v>
      </c>
      <c r="L336" t="str">
        <f>IF(Table5[[#This Row],[temp]]&lt;24,"Cold","Hot")</f>
        <v>Cold</v>
      </c>
      <c r="M336">
        <v>0.33329999999999999</v>
      </c>
      <c r="N336">
        <v>0.56000000000000005</v>
      </c>
      <c r="O336" t="str">
        <f>IF(Table5[[#This Row],[hum]]&lt;0.3,"Humid",IF(Table5[[#This Row],[hum]]&gt;=0.3,"High Humid"))</f>
        <v>High Humid</v>
      </c>
      <c r="P336">
        <v>0</v>
      </c>
      <c r="Q336">
        <v>14</v>
      </c>
      <c r="R336">
        <v>95</v>
      </c>
      <c r="S336">
        <v>109</v>
      </c>
    </row>
    <row r="337" spans="1:19" x14ac:dyDescent="0.25">
      <c r="A337">
        <v>657</v>
      </c>
      <c r="B337" s="1">
        <v>40573</v>
      </c>
      <c r="C337">
        <v>1</v>
      </c>
      <c r="D337">
        <v>0</v>
      </c>
      <c r="E337">
        <v>1</v>
      </c>
      <c r="F337">
        <v>16</v>
      </c>
      <c r="G337" t="b">
        <v>0</v>
      </c>
      <c r="H337">
        <v>0</v>
      </c>
      <c r="I337" t="str">
        <f>CHOOSE(H337+1,"Monday","Tuesday","Wednesday","Thursday","Friday","Saturday","Sunday")</f>
        <v>Monday</v>
      </c>
      <c r="J337">
        <v>1</v>
      </c>
      <c r="K337">
        <v>0.3</v>
      </c>
      <c r="L337" t="str">
        <f>IF(Table5[[#This Row],[temp]]&lt;24,"Cold","Hot")</f>
        <v>Cold</v>
      </c>
      <c r="M337">
        <v>0.33329999999999999</v>
      </c>
      <c r="N337">
        <v>0.56000000000000005</v>
      </c>
      <c r="O337" t="str">
        <f>IF(Table5[[#This Row],[hum]]&lt;0.3,"Humid",IF(Table5[[#This Row],[hum]]&gt;=0.3,"High Humid"))</f>
        <v>High Humid</v>
      </c>
      <c r="P337">
        <v>0</v>
      </c>
      <c r="Q337">
        <v>19</v>
      </c>
      <c r="R337">
        <v>104</v>
      </c>
      <c r="S337">
        <v>123</v>
      </c>
    </row>
    <row r="338" spans="1:19" x14ac:dyDescent="0.25">
      <c r="A338">
        <v>658</v>
      </c>
      <c r="B338" s="1">
        <v>40573</v>
      </c>
      <c r="C338">
        <v>1</v>
      </c>
      <c r="D338">
        <v>0</v>
      </c>
      <c r="E338">
        <v>1</v>
      </c>
      <c r="F338">
        <v>17</v>
      </c>
      <c r="G338" t="b">
        <v>0</v>
      </c>
      <c r="H338">
        <v>0</v>
      </c>
      <c r="I338" t="str">
        <f>CHOOSE(H338+1,"Monday","Tuesday","Wednesday","Thursday","Friday","Saturday","Sunday")</f>
        <v>Monday</v>
      </c>
      <c r="J338">
        <v>1</v>
      </c>
      <c r="K338">
        <v>0.3</v>
      </c>
      <c r="L338" t="str">
        <f>IF(Table5[[#This Row],[temp]]&lt;24,"Cold","Hot")</f>
        <v>Cold</v>
      </c>
      <c r="M338">
        <v>0.28789999999999999</v>
      </c>
      <c r="N338">
        <v>0.56000000000000005</v>
      </c>
      <c r="O338" t="str">
        <f>IF(Table5[[#This Row],[hum]]&lt;0.3,"Humid",IF(Table5[[#This Row],[hum]]&gt;=0.3,"High Humid"))</f>
        <v>High Humid</v>
      </c>
      <c r="P338">
        <v>0.19400000000000001</v>
      </c>
      <c r="Q338">
        <v>6</v>
      </c>
      <c r="R338">
        <v>71</v>
      </c>
      <c r="S338">
        <v>77</v>
      </c>
    </row>
    <row r="339" spans="1:19" x14ac:dyDescent="0.25">
      <c r="A339">
        <v>659</v>
      </c>
      <c r="B339" s="1">
        <v>40573</v>
      </c>
      <c r="C339">
        <v>1</v>
      </c>
      <c r="D339">
        <v>0</v>
      </c>
      <c r="E339">
        <v>1</v>
      </c>
      <c r="F339">
        <v>18</v>
      </c>
      <c r="G339" t="b">
        <v>0</v>
      </c>
      <c r="H339">
        <v>0</v>
      </c>
      <c r="I339" t="str">
        <f>CHOOSE(H339+1,"Monday","Tuesday","Wednesday","Thursday","Friday","Saturday","Sunday")</f>
        <v>Monday</v>
      </c>
      <c r="J339">
        <v>1</v>
      </c>
      <c r="K339">
        <v>0.26</v>
      </c>
      <c r="L339" t="str">
        <f>IF(Table5[[#This Row],[temp]]&lt;24,"Cold","Hot")</f>
        <v>Cold</v>
      </c>
      <c r="M339">
        <v>0.2576</v>
      </c>
      <c r="N339">
        <v>0.65</v>
      </c>
      <c r="O339" t="str">
        <f>IF(Table5[[#This Row],[hum]]&lt;0.3,"Humid",IF(Table5[[#This Row],[hum]]&gt;=0.3,"High Humid"))</f>
        <v>High Humid</v>
      </c>
      <c r="P339">
        <v>0.16420000000000001</v>
      </c>
      <c r="Q339">
        <v>8</v>
      </c>
      <c r="R339">
        <v>57</v>
      </c>
      <c r="S339">
        <v>65</v>
      </c>
    </row>
    <row r="340" spans="1:19" x14ac:dyDescent="0.25">
      <c r="A340">
        <v>660</v>
      </c>
      <c r="B340" s="1">
        <v>40573</v>
      </c>
      <c r="C340">
        <v>1</v>
      </c>
      <c r="D340">
        <v>0</v>
      </c>
      <c r="E340">
        <v>1</v>
      </c>
      <c r="F340">
        <v>19</v>
      </c>
      <c r="G340" t="b">
        <v>0</v>
      </c>
      <c r="H340">
        <v>0</v>
      </c>
      <c r="I340" t="str">
        <f>CHOOSE(H340+1,"Monday","Tuesday","Wednesday","Thursday","Friday","Saturday","Sunday")</f>
        <v>Monday</v>
      </c>
      <c r="J340">
        <v>1</v>
      </c>
      <c r="K340">
        <v>0.26</v>
      </c>
      <c r="L340" t="str">
        <f>IF(Table5[[#This Row],[temp]]&lt;24,"Cold","Hot")</f>
        <v>Cold</v>
      </c>
      <c r="M340">
        <v>0.2576</v>
      </c>
      <c r="N340">
        <v>0.65</v>
      </c>
      <c r="O340" t="str">
        <f>IF(Table5[[#This Row],[hum]]&lt;0.3,"Humid",IF(Table5[[#This Row],[hum]]&gt;=0.3,"High Humid"))</f>
        <v>High Humid</v>
      </c>
      <c r="P340">
        <v>0.19400000000000001</v>
      </c>
      <c r="Q340">
        <v>9</v>
      </c>
      <c r="R340">
        <v>46</v>
      </c>
      <c r="S340">
        <v>55</v>
      </c>
    </row>
    <row r="341" spans="1:19" x14ac:dyDescent="0.25">
      <c r="A341">
        <v>661</v>
      </c>
      <c r="B341" s="1">
        <v>40573</v>
      </c>
      <c r="C341">
        <v>1</v>
      </c>
      <c r="D341">
        <v>0</v>
      </c>
      <c r="E341">
        <v>1</v>
      </c>
      <c r="F341">
        <v>20</v>
      </c>
      <c r="G341" t="b">
        <v>0</v>
      </c>
      <c r="H341">
        <v>0</v>
      </c>
      <c r="I341" t="str">
        <f>CHOOSE(H341+1,"Monday","Tuesday","Wednesday","Thursday","Friday","Saturday","Sunday")</f>
        <v>Monday</v>
      </c>
      <c r="J341">
        <v>2</v>
      </c>
      <c r="K341">
        <v>0.26</v>
      </c>
      <c r="L341" t="str">
        <f>IF(Table5[[#This Row],[temp]]&lt;24,"Cold","Hot")</f>
        <v>Cold</v>
      </c>
      <c r="M341">
        <v>0.2727</v>
      </c>
      <c r="N341">
        <v>0.65</v>
      </c>
      <c r="O341" t="str">
        <f>IF(Table5[[#This Row],[hum]]&lt;0.3,"Humid",IF(Table5[[#This Row],[hum]]&gt;=0.3,"High Humid"))</f>
        <v>High Humid</v>
      </c>
      <c r="P341">
        <v>0.1045</v>
      </c>
      <c r="Q341">
        <v>3</v>
      </c>
      <c r="R341">
        <v>30</v>
      </c>
      <c r="S341">
        <v>33</v>
      </c>
    </row>
    <row r="342" spans="1:19" x14ac:dyDescent="0.25">
      <c r="A342">
        <v>662</v>
      </c>
      <c r="B342" s="1">
        <v>40573</v>
      </c>
      <c r="C342">
        <v>1</v>
      </c>
      <c r="D342">
        <v>0</v>
      </c>
      <c r="E342">
        <v>1</v>
      </c>
      <c r="F342">
        <v>21</v>
      </c>
      <c r="G342" t="b">
        <v>0</v>
      </c>
      <c r="H342">
        <v>0</v>
      </c>
      <c r="I342" t="str">
        <f>CHOOSE(H342+1,"Monday","Tuesday","Wednesday","Thursday","Friday","Saturday","Sunday")</f>
        <v>Monday</v>
      </c>
      <c r="J342">
        <v>2</v>
      </c>
      <c r="K342">
        <v>0.24</v>
      </c>
      <c r="L342" t="str">
        <f>IF(Table5[[#This Row],[temp]]&lt;24,"Cold","Hot")</f>
        <v>Cold</v>
      </c>
      <c r="M342">
        <v>0.2424</v>
      </c>
      <c r="N342">
        <v>0.7</v>
      </c>
      <c r="O342" t="str">
        <f>IF(Table5[[#This Row],[hum]]&lt;0.3,"Humid",IF(Table5[[#This Row],[hum]]&gt;=0.3,"High Humid"))</f>
        <v>High Humid</v>
      </c>
      <c r="P342">
        <v>0.16420000000000001</v>
      </c>
      <c r="Q342">
        <v>3</v>
      </c>
      <c r="R342">
        <v>25</v>
      </c>
      <c r="S342">
        <v>28</v>
      </c>
    </row>
    <row r="343" spans="1:19" x14ac:dyDescent="0.25">
      <c r="A343">
        <v>663</v>
      </c>
      <c r="B343" s="1">
        <v>40573</v>
      </c>
      <c r="C343">
        <v>1</v>
      </c>
      <c r="D343">
        <v>0</v>
      </c>
      <c r="E343">
        <v>1</v>
      </c>
      <c r="F343">
        <v>22</v>
      </c>
      <c r="G343" t="b">
        <v>0</v>
      </c>
      <c r="H343">
        <v>0</v>
      </c>
      <c r="I343" t="str">
        <f>CHOOSE(H343+1,"Monday","Tuesday","Wednesday","Thursday","Friday","Saturday","Sunday")</f>
        <v>Monday</v>
      </c>
      <c r="J343">
        <v>2</v>
      </c>
      <c r="K343">
        <v>0.24</v>
      </c>
      <c r="L343" t="str">
        <f>IF(Table5[[#This Row],[temp]]&lt;24,"Cold","Hot")</f>
        <v>Cold</v>
      </c>
      <c r="M343">
        <v>0.2273</v>
      </c>
      <c r="N343">
        <v>0.7</v>
      </c>
      <c r="O343" t="str">
        <f>IF(Table5[[#This Row],[hum]]&lt;0.3,"Humid",IF(Table5[[#This Row],[hum]]&gt;=0.3,"High Humid"))</f>
        <v>High Humid</v>
      </c>
      <c r="P343">
        <v>0.19400000000000001</v>
      </c>
      <c r="Q343">
        <v>2</v>
      </c>
      <c r="R343">
        <v>19</v>
      </c>
      <c r="S343">
        <v>21</v>
      </c>
    </row>
    <row r="344" spans="1:19" x14ac:dyDescent="0.25">
      <c r="A344">
        <v>664</v>
      </c>
      <c r="B344" s="1">
        <v>40573</v>
      </c>
      <c r="C344">
        <v>1</v>
      </c>
      <c r="D344">
        <v>0</v>
      </c>
      <c r="E344">
        <v>1</v>
      </c>
      <c r="F344">
        <v>23</v>
      </c>
      <c r="G344" t="b">
        <v>0</v>
      </c>
      <c r="H344">
        <v>0</v>
      </c>
      <c r="I344" t="str">
        <f>CHOOSE(H344+1,"Monday","Tuesday","Wednesday","Thursday","Friday","Saturday","Sunday")</f>
        <v>Monday</v>
      </c>
      <c r="J344">
        <v>2</v>
      </c>
      <c r="K344">
        <v>0.24</v>
      </c>
      <c r="L344" t="str">
        <f>IF(Table5[[#This Row],[temp]]&lt;24,"Cold","Hot")</f>
        <v>Cold</v>
      </c>
      <c r="M344">
        <v>0.21210000000000001</v>
      </c>
      <c r="N344">
        <v>0.65</v>
      </c>
      <c r="O344" t="str">
        <f>IF(Table5[[#This Row],[hum]]&lt;0.3,"Humid",IF(Table5[[#This Row],[hum]]&gt;=0.3,"High Humid"))</f>
        <v>High Humid</v>
      </c>
      <c r="P344">
        <v>0.28360000000000002</v>
      </c>
      <c r="Q344">
        <v>5</v>
      </c>
      <c r="R344">
        <v>16</v>
      </c>
      <c r="S344">
        <v>21</v>
      </c>
    </row>
    <row r="345" spans="1:19" x14ac:dyDescent="0.25">
      <c r="A345">
        <v>806</v>
      </c>
      <c r="B345" s="1">
        <v>40580</v>
      </c>
      <c r="C345">
        <v>1</v>
      </c>
      <c r="D345">
        <v>0</v>
      </c>
      <c r="E345">
        <v>2</v>
      </c>
      <c r="F345">
        <v>0</v>
      </c>
      <c r="G345" t="b">
        <v>0</v>
      </c>
      <c r="H345">
        <v>0</v>
      </c>
      <c r="I345" t="str">
        <f>CHOOSE(H345+1,"Monday","Tuesday","Wednesday","Thursday","Friday","Saturday","Sunday")</f>
        <v>Monday</v>
      </c>
      <c r="J345">
        <v>1</v>
      </c>
      <c r="K345">
        <v>0.26</v>
      </c>
      <c r="L345" t="str">
        <f>IF(Table5[[#This Row],[temp]]&lt;24,"Cold","Hot")</f>
        <v>Cold</v>
      </c>
      <c r="M345">
        <v>0.2576</v>
      </c>
      <c r="N345">
        <v>0.7</v>
      </c>
      <c r="O345" t="str">
        <f>IF(Table5[[#This Row],[hum]]&lt;0.3,"Humid",IF(Table5[[#This Row],[hum]]&gt;=0.3,"High Humid"))</f>
        <v>High Humid</v>
      </c>
      <c r="P345">
        <v>0.19400000000000001</v>
      </c>
      <c r="Q345">
        <v>2</v>
      </c>
      <c r="R345">
        <v>37</v>
      </c>
      <c r="S345">
        <v>39</v>
      </c>
    </row>
    <row r="346" spans="1:19" x14ac:dyDescent="0.25">
      <c r="A346">
        <v>807</v>
      </c>
      <c r="B346" s="1">
        <v>40580</v>
      </c>
      <c r="C346">
        <v>1</v>
      </c>
      <c r="D346">
        <v>0</v>
      </c>
      <c r="E346">
        <v>2</v>
      </c>
      <c r="F346">
        <v>1</v>
      </c>
      <c r="G346" t="b">
        <v>0</v>
      </c>
      <c r="H346">
        <v>0</v>
      </c>
      <c r="I346" t="str">
        <f>CHOOSE(H346+1,"Monday","Tuesday","Wednesday","Thursday","Friday","Saturday","Sunday")</f>
        <v>Monday</v>
      </c>
      <c r="J346">
        <v>1</v>
      </c>
      <c r="K346">
        <v>0.26</v>
      </c>
      <c r="L346" t="str">
        <f>IF(Table5[[#This Row],[temp]]&lt;24,"Cold","Hot")</f>
        <v>Cold</v>
      </c>
      <c r="M346">
        <v>0.2273</v>
      </c>
      <c r="N346">
        <v>0.65</v>
      </c>
      <c r="O346" t="str">
        <f>IF(Table5[[#This Row],[hum]]&lt;0.3,"Humid",IF(Table5[[#This Row],[hum]]&gt;=0.3,"High Humid"))</f>
        <v>High Humid</v>
      </c>
      <c r="P346">
        <v>0.41789999999999999</v>
      </c>
      <c r="Q346">
        <v>4</v>
      </c>
      <c r="R346">
        <v>40</v>
      </c>
      <c r="S346">
        <v>44</v>
      </c>
    </row>
    <row r="347" spans="1:19" x14ac:dyDescent="0.25">
      <c r="A347">
        <v>808</v>
      </c>
      <c r="B347" s="1">
        <v>40580</v>
      </c>
      <c r="C347">
        <v>1</v>
      </c>
      <c r="D347">
        <v>0</v>
      </c>
      <c r="E347">
        <v>2</v>
      </c>
      <c r="F347">
        <v>2</v>
      </c>
      <c r="G347" t="b">
        <v>0</v>
      </c>
      <c r="H347">
        <v>0</v>
      </c>
      <c r="I347" t="str">
        <f>CHOOSE(H347+1,"Monday","Tuesday","Wednesday","Thursday","Friday","Saturday","Sunday")</f>
        <v>Monday</v>
      </c>
      <c r="J347">
        <v>1</v>
      </c>
      <c r="K347">
        <v>0.26</v>
      </c>
      <c r="L347" t="str">
        <f>IF(Table5[[#This Row],[temp]]&lt;24,"Cold","Hot")</f>
        <v>Cold</v>
      </c>
      <c r="M347">
        <v>0.2273</v>
      </c>
      <c r="N347">
        <v>0.6</v>
      </c>
      <c r="O347" t="str">
        <f>IF(Table5[[#This Row],[hum]]&lt;0.3,"Humid",IF(Table5[[#This Row],[hum]]&gt;=0.3,"High Humid"))</f>
        <v>High Humid</v>
      </c>
      <c r="P347">
        <v>0.32840000000000003</v>
      </c>
      <c r="Q347">
        <v>0</v>
      </c>
      <c r="R347">
        <v>20</v>
      </c>
      <c r="S347">
        <v>20</v>
      </c>
    </row>
    <row r="348" spans="1:19" x14ac:dyDescent="0.25">
      <c r="A348">
        <v>809</v>
      </c>
      <c r="B348" s="1">
        <v>40580</v>
      </c>
      <c r="C348">
        <v>1</v>
      </c>
      <c r="D348">
        <v>0</v>
      </c>
      <c r="E348">
        <v>2</v>
      </c>
      <c r="F348">
        <v>3</v>
      </c>
      <c r="G348" t="b">
        <v>0</v>
      </c>
      <c r="H348">
        <v>0</v>
      </c>
      <c r="I348" t="str">
        <f>CHOOSE(H348+1,"Monday","Tuesday","Wednesday","Thursday","Friday","Saturday","Sunday")</f>
        <v>Monday</v>
      </c>
      <c r="J348">
        <v>1</v>
      </c>
      <c r="K348">
        <v>0.26</v>
      </c>
      <c r="L348" t="str">
        <f>IF(Table5[[#This Row],[temp]]&lt;24,"Cold","Hot")</f>
        <v>Cold</v>
      </c>
      <c r="M348">
        <v>0.28789999999999999</v>
      </c>
      <c r="N348">
        <v>0.6</v>
      </c>
      <c r="O348" t="str">
        <f>IF(Table5[[#This Row],[hum]]&lt;0.3,"Humid",IF(Table5[[#This Row],[hum]]&gt;=0.3,"High Humid"))</f>
        <v>High Humid</v>
      </c>
      <c r="P348">
        <v>8.9599999999999999E-2</v>
      </c>
      <c r="Q348">
        <v>3</v>
      </c>
      <c r="R348">
        <v>10</v>
      </c>
      <c r="S348">
        <v>13</v>
      </c>
    </row>
    <row r="349" spans="1:19" x14ac:dyDescent="0.25">
      <c r="A349">
        <v>810</v>
      </c>
      <c r="B349" s="1">
        <v>40580</v>
      </c>
      <c r="C349">
        <v>1</v>
      </c>
      <c r="D349">
        <v>0</v>
      </c>
      <c r="E349">
        <v>2</v>
      </c>
      <c r="F349">
        <v>4</v>
      </c>
      <c r="G349" t="b">
        <v>0</v>
      </c>
      <c r="H349">
        <v>0</v>
      </c>
      <c r="I349" t="str">
        <f>CHOOSE(H349+1,"Monday","Tuesday","Wednesday","Thursday","Friday","Saturday","Sunday")</f>
        <v>Monday</v>
      </c>
      <c r="J349">
        <v>1</v>
      </c>
      <c r="K349">
        <v>0.26</v>
      </c>
      <c r="L349" t="str">
        <f>IF(Table5[[#This Row],[temp]]&lt;24,"Cold","Hot")</f>
        <v>Cold</v>
      </c>
      <c r="M349">
        <v>0.2273</v>
      </c>
      <c r="N349">
        <v>0.6</v>
      </c>
      <c r="O349" t="str">
        <f>IF(Table5[[#This Row],[hum]]&lt;0.3,"Humid",IF(Table5[[#This Row],[hum]]&gt;=0.3,"High Humid"))</f>
        <v>High Humid</v>
      </c>
      <c r="P349">
        <v>0.35820000000000002</v>
      </c>
      <c r="Q349">
        <v>0</v>
      </c>
      <c r="R349">
        <v>2</v>
      </c>
      <c r="S349">
        <v>2</v>
      </c>
    </row>
    <row r="350" spans="1:19" x14ac:dyDescent="0.25">
      <c r="A350">
        <v>811</v>
      </c>
      <c r="B350" s="1">
        <v>40580</v>
      </c>
      <c r="C350">
        <v>1</v>
      </c>
      <c r="D350">
        <v>0</v>
      </c>
      <c r="E350">
        <v>2</v>
      </c>
      <c r="F350">
        <v>5</v>
      </c>
      <c r="G350" t="b">
        <v>0</v>
      </c>
      <c r="H350">
        <v>0</v>
      </c>
      <c r="I350" t="str">
        <f>CHOOSE(H350+1,"Monday","Tuesday","Wednesday","Thursday","Friday","Saturday","Sunday")</f>
        <v>Monday</v>
      </c>
      <c r="J350">
        <v>1</v>
      </c>
      <c r="K350">
        <v>0.26</v>
      </c>
      <c r="L350" t="str">
        <f>IF(Table5[[#This Row],[temp]]&lt;24,"Cold","Hot")</f>
        <v>Cold</v>
      </c>
      <c r="M350">
        <v>0.2576</v>
      </c>
      <c r="N350">
        <v>0.6</v>
      </c>
      <c r="O350" t="str">
        <f>IF(Table5[[#This Row],[hum]]&lt;0.3,"Humid",IF(Table5[[#This Row],[hum]]&gt;=0.3,"High Humid"))</f>
        <v>High Humid</v>
      </c>
      <c r="P350">
        <v>0.22389999999999999</v>
      </c>
      <c r="Q350">
        <v>0</v>
      </c>
      <c r="R350">
        <v>1</v>
      </c>
      <c r="S350">
        <v>1</v>
      </c>
    </row>
    <row r="351" spans="1:19" x14ac:dyDescent="0.25">
      <c r="A351">
        <v>812</v>
      </c>
      <c r="B351" s="1">
        <v>40580</v>
      </c>
      <c r="C351">
        <v>1</v>
      </c>
      <c r="D351">
        <v>0</v>
      </c>
      <c r="E351">
        <v>2</v>
      </c>
      <c r="F351">
        <v>6</v>
      </c>
      <c r="G351" t="b">
        <v>0</v>
      </c>
      <c r="H351">
        <v>0</v>
      </c>
      <c r="I351" t="str">
        <f>CHOOSE(H351+1,"Monday","Tuesday","Wednesday","Thursday","Friday","Saturday","Sunday")</f>
        <v>Monday</v>
      </c>
      <c r="J351">
        <v>1</v>
      </c>
      <c r="K351">
        <v>0.26</v>
      </c>
      <c r="L351" t="str">
        <f>IF(Table5[[#This Row],[temp]]&lt;24,"Cold","Hot")</f>
        <v>Cold</v>
      </c>
      <c r="M351">
        <v>0.2576</v>
      </c>
      <c r="N351">
        <v>0.6</v>
      </c>
      <c r="O351" t="str">
        <f>IF(Table5[[#This Row],[hum]]&lt;0.3,"Humid",IF(Table5[[#This Row],[hum]]&gt;=0.3,"High Humid"))</f>
        <v>High Humid</v>
      </c>
      <c r="P351">
        <v>0.22389999999999999</v>
      </c>
      <c r="Q351">
        <v>0</v>
      </c>
      <c r="R351">
        <v>1</v>
      </c>
      <c r="S351">
        <v>1</v>
      </c>
    </row>
    <row r="352" spans="1:19" x14ac:dyDescent="0.25">
      <c r="A352">
        <v>813</v>
      </c>
      <c r="B352" s="1">
        <v>40580</v>
      </c>
      <c r="C352">
        <v>1</v>
      </c>
      <c r="D352">
        <v>0</v>
      </c>
      <c r="E352">
        <v>2</v>
      </c>
      <c r="F352">
        <v>7</v>
      </c>
      <c r="G352" t="b">
        <v>0</v>
      </c>
      <c r="H352">
        <v>0</v>
      </c>
      <c r="I352" t="str">
        <f>CHOOSE(H352+1,"Monday","Tuesday","Wednesday","Thursday","Friday","Saturday","Sunday")</f>
        <v>Monday</v>
      </c>
      <c r="J352">
        <v>1</v>
      </c>
      <c r="K352">
        <v>0.24</v>
      </c>
      <c r="L352" t="str">
        <f>IF(Table5[[#This Row],[temp]]&lt;24,"Cold","Hot")</f>
        <v>Cold</v>
      </c>
      <c r="M352">
        <v>0.2424</v>
      </c>
      <c r="N352">
        <v>0.65</v>
      </c>
      <c r="O352" t="str">
        <f>IF(Table5[[#This Row],[hum]]&lt;0.3,"Humid",IF(Table5[[#This Row],[hum]]&gt;=0.3,"High Humid"))</f>
        <v>High Humid</v>
      </c>
      <c r="P352">
        <v>0.16420000000000001</v>
      </c>
      <c r="Q352">
        <v>0</v>
      </c>
      <c r="R352">
        <v>8</v>
      </c>
      <c r="S352">
        <v>8</v>
      </c>
    </row>
    <row r="353" spans="1:19" x14ac:dyDescent="0.25">
      <c r="A353">
        <v>814</v>
      </c>
      <c r="B353" s="1">
        <v>40580</v>
      </c>
      <c r="C353">
        <v>1</v>
      </c>
      <c r="D353">
        <v>0</v>
      </c>
      <c r="E353">
        <v>2</v>
      </c>
      <c r="F353">
        <v>8</v>
      </c>
      <c r="G353" t="b">
        <v>0</v>
      </c>
      <c r="H353">
        <v>0</v>
      </c>
      <c r="I353" t="str">
        <f>CHOOSE(H353+1,"Monday","Tuesday","Wednesday","Thursday","Friday","Saturday","Sunday")</f>
        <v>Monday</v>
      </c>
      <c r="J353">
        <v>1</v>
      </c>
      <c r="K353">
        <v>0.24</v>
      </c>
      <c r="L353" t="str">
        <f>IF(Table5[[#This Row],[temp]]&lt;24,"Cold","Hot")</f>
        <v>Cold</v>
      </c>
      <c r="M353">
        <v>0.2576</v>
      </c>
      <c r="N353">
        <v>0.65</v>
      </c>
      <c r="O353" t="str">
        <f>IF(Table5[[#This Row],[hum]]&lt;0.3,"Humid",IF(Table5[[#This Row],[hum]]&gt;=0.3,"High Humid"))</f>
        <v>High Humid</v>
      </c>
      <c r="P353">
        <v>0.1045</v>
      </c>
      <c r="Q353">
        <v>2</v>
      </c>
      <c r="R353">
        <v>21</v>
      </c>
      <c r="S353">
        <v>23</v>
      </c>
    </row>
    <row r="354" spans="1:19" x14ac:dyDescent="0.25">
      <c r="A354">
        <v>815</v>
      </c>
      <c r="B354" s="1">
        <v>40580</v>
      </c>
      <c r="C354">
        <v>1</v>
      </c>
      <c r="D354">
        <v>0</v>
      </c>
      <c r="E354">
        <v>2</v>
      </c>
      <c r="F354">
        <v>9</v>
      </c>
      <c r="G354" t="b">
        <v>0</v>
      </c>
      <c r="H354">
        <v>0</v>
      </c>
      <c r="I354" t="str">
        <f>CHOOSE(H354+1,"Monday","Tuesday","Wednesday","Thursday","Friday","Saturday","Sunday")</f>
        <v>Monday</v>
      </c>
      <c r="J354">
        <v>1</v>
      </c>
      <c r="K354">
        <v>0.28000000000000003</v>
      </c>
      <c r="L354" t="str">
        <f>IF(Table5[[#This Row],[temp]]&lt;24,"Cold","Hot")</f>
        <v>Cold</v>
      </c>
      <c r="M354">
        <v>0.28789999999999999</v>
      </c>
      <c r="N354">
        <v>0.56000000000000005</v>
      </c>
      <c r="O354" t="str">
        <f>IF(Table5[[#This Row],[hum]]&lt;0.3,"Humid",IF(Table5[[#This Row],[hum]]&gt;=0.3,"High Humid"))</f>
        <v>High Humid</v>
      </c>
      <c r="P354">
        <v>0.1045</v>
      </c>
      <c r="Q354">
        <v>7</v>
      </c>
      <c r="R354">
        <v>38</v>
      </c>
      <c r="S354">
        <v>45</v>
      </c>
    </row>
    <row r="355" spans="1:19" x14ac:dyDescent="0.25">
      <c r="A355">
        <v>816</v>
      </c>
      <c r="B355" s="1">
        <v>40580</v>
      </c>
      <c r="C355">
        <v>1</v>
      </c>
      <c r="D355">
        <v>0</v>
      </c>
      <c r="E355">
        <v>2</v>
      </c>
      <c r="F355">
        <v>10</v>
      </c>
      <c r="G355" t="b">
        <v>0</v>
      </c>
      <c r="H355">
        <v>0</v>
      </c>
      <c r="I355" t="str">
        <f>CHOOSE(H355+1,"Monday","Tuesday","Wednesday","Thursday","Friday","Saturday","Sunday")</f>
        <v>Monday</v>
      </c>
      <c r="J355">
        <v>1</v>
      </c>
      <c r="K355">
        <v>0.3</v>
      </c>
      <c r="L355" t="str">
        <f>IF(Table5[[#This Row],[temp]]&lt;24,"Cold","Hot")</f>
        <v>Cold</v>
      </c>
      <c r="M355">
        <v>0.28789999999999999</v>
      </c>
      <c r="N355">
        <v>0.52</v>
      </c>
      <c r="O355" t="str">
        <f>IF(Table5[[#This Row],[hum]]&lt;0.3,"Humid",IF(Table5[[#This Row],[hum]]&gt;=0.3,"High Humid"))</f>
        <v>High Humid</v>
      </c>
      <c r="P355">
        <v>0.25369999999999998</v>
      </c>
      <c r="Q355">
        <v>15</v>
      </c>
      <c r="R355">
        <v>74</v>
      </c>
      <c r="S355">
        <v>89</v>
      </c>
    </row>
    <row r="356" spans="1:19" x14ac:dyDescent="0.25">
      <c r="A356">
        <v>817</v>
      </c>
      <c r="B356" s="1">
        <v>40580</v>
      </c>
      <c r="C356">
        <v>1</v>
      </c>
      <c r="D356">
        <v>0</v>
      </c>
      <c r="E356">
        <v>2</v>
      </c>
      <c r="F356">
        <v>11</v>
      </c>
      <c r="G356" t="b">
        <v>0</v>
      </c>
      <c r="H356">
        <v>0</v>
      </c>
      <c r="I356" t="str">
        <f>CHOOSE(H356+1,"Monday","Tuesday","Wednesday","Thursday","Friday","Saturday","Sunday")</f>
        <v>Monday</v>
      </c>
      <c r="J356">
        <v>1</v>
      </c>
      <c r="K356">
        <v>0.32</v>
      </c>
      <c r="L356" t="str">
        <f>IF(Table5[[#This Row],[temp]]&lt;24,"Cold","Hot")</f>
        <v>Cold</v>
      </c>
      <c r="M356">
        <v>0.30299999999999999</v>
      </c>
      <c r="N356">
        <v>0.49</v>
      </c>
      <c r="O356" t="str">
        <f>IF(Table5[[#This Row],[hum]]&lt;0.3,"Humid",IF(Table5[[#This Row],[hum]]&gt;=0.3,"High Humid"))</f>
        <v>High Humid</v>
      </c>
      <c r="P356">
        <v>0.25369999999999998</v>
      </c>
      <c r="Q356">
        <v>28</v>
      </c>
      <c r="R356">
        <v>89</v>
      </c>
      <c r="S356">
        <v>117</v>
      </c>
    </row>
    <row r="357" spans="1:19" x14ac:dyDescent="0.25">
      <c r="A357">
        <v>818</v>
      </c>
      <c r="B357" s="1">
        <v>40580</v>
      </c>
      <c r="C357">
        <v>1</v>
      </c>
      <c r="D357">
        <v>0</v>
      </c>
      <c r="E357">
        <v>2</v>
      </c>
      <c r="F357">
        <v>12</v>
      </c>
      <c r="G357" t="b">
        <v>0</v>
      </c>
      <c r="H357">
        <v>0</v>
      </c>
      <c r="I357" t="str">
        <f>CHOOSE(H357+1,"Monday","Tuesday","Wednesday","Thursday","Friday","Saturday","Sunday")</f>
        <v>Monday</v>
      </c>
      <c r="J357">
        <v>1</v>
      </c>
      <c r="K357">
        <v>0.34</v>
      </c>
      <c r="L357" t="str">
        <f>IF(Table5[[#This Row],[temp]]&lt;24,"Cold","Hot")</f>
        <v>Cold</v>
      </c>
      <c r="M357">
        <v>0.33329999999999999</v>
      </c>
      <c r="N357">
        <v>0.46</v>
      </c>
      <c r="O357" t="str">
        <f>IF(Table5[[#This Row],[hum]]&lt;0.3,"Humid",IF(Table5[[#This Row],[hum]]&gt;=0.3,"High Humid"))</f>
        <v>High Humid</v>
      </c>
      <c r="P357">
        <v>0</v>
      </c>
      <c r="Q357">
        <v>48</v>
      </c>
      <c r="R357">
        <v>126</v>
      </c>
      <c r="S357">
        <v>174</v>
      </c>
    </row>
    <row r="358" spans="1:19" x14ac:dyDescent="0.25">
      <c r="A358">
        <v>819</v>
      </c>
      <c r="B358" s="1">
        <v>40580</v>
      </c>
      <c r="C358">
        <v>1</v>
      </c>
      <c r="D358">
        <v>0</v>
      </c>
      <c r="E358">
        <v>2</v>
      </c>
      <c r="F358">
        <v>13</v>
      </c>
      <c r="G358" t="b">
        <v>0</v>
      </c>
      <c r="H358">
        <v>0</v>
      </c>
      <c r="I358" t="str">
        <f>CHOOSE(H358+1,"Monday","Tuesday","Wednesday","Thursday","Friday","Saturday","Sunday")</f>
        <v>Monday</v>
      </c>
      <c r="J358">
        <v>1</v>
      </c>
      <c r="K358">
        <v>0.34</v>
      </c>
      <c r="L358" t="str">
        <f>IF(Table5[[#This Row],[temp]]&lt;24,"Cold","Hot")</f>
        <v>Cold</v>
      </c>
      <c r="M358">
        <v>0.36359999999999998</v>
      </c>
      <c r="N358">
        <v>0.46</v>
      </c>
      <c r="O358" t="str">
        <f>IF(Table5[[#This Row],[hum]]&lt;0.3,"Humid",IF(Table5[[#This Row],[hum]]&gt;=0.3,"High Humid"))</f>
        <v>High Humid</v>
      </c>
      <c r="P358">
        <v>0</v>
      </c>
      <c r="Q358">
        <v>47</v>
      </c>
      <c r="R358">
        <v>135</v>
      </c>
      <c r="S358">
        <v>182</v>
      </c>
    </row>
    <row r="359" spans="1:19" x14ac:dyDescent="0.25">
      <c r="A359">
        <v>820</v>
      </c>
      <c r="B359" s="1">
        <v>40580</v>
      </c>
      <c r="C359">
        <v>1</v>
      </c>
      <c r="D359">
        <v>0</v>
      </c>
      <c r="E359">
        <v>2</v>
      </c>
      <c r="F359">
        <v>14</v>
      </c>
      <c r="G359" t="b">
        <v>0</v>
      </c>
      <c r="H359">
        <v>0</v>
      </c>
      <c r="I359" t="str">
        <f>CHOOSE(H359+1,"Monday","Tuesday","Wednesday","Thursday","Friday","Saturday","Sunday")</f>
        <v>Monday</v>
      </c>
      <c r="J359">
        <v>1</v>
      </c>
      <c r="K359">
        <v>0.34</v>
      </c>
      <c r="L359" t="str">
        <f>IF(Table5[[#This Row],[temp]]&lt;24,"Cold","Hot")</f>
        <v>Cold</v>
      </c>
      <c r="M359">
        <v>0.34849999999999998</v>
      </c>
      <c r="N359">
        <v>0.46</v>
      </c>
      <c r="O359" t="str">
        <f>IF(Table5[[#This Row],[hum]]&lt;0.3,"Humid",IF(Table5[[#This Row],[hum]]&gt;=0.3,"High Humid"))</f>
        <v>High Humid</v>
      </c>
      <c r="P359">
        <v>8.9599999999999999E-2</v>
      </c>
      <c r="Q359">
        <v>47</v>
      </c>
      <c r="R359">
        <v>114</v>
      </c>
      <c r="S359">
        <v>161</v>
      </c>
    </row>
    <row r="360" spans="1:19" x14ac:dyDescent="0.25">
      <c r="A360">
        <v>821</v>
      </c>
      <c r="B360" s="1">
        <v>40580</v>
      </c>
      <c r="C360">
        <v>1</v>
      </c>
      <c r="D360">
        <v>0</v>
      </c>
      <c r="E360">
        <v>2</v>
      </c>
      <c r="F360">
        <v>15</v>
      </c>
      <c r="G360" t="b">
        <v>0</v>
      </c>
      <c r="H360">
        <v>0</v>
      </c>
      <c r="I360" t="str">
        <f>CHOOSE(H360+1,"Monday","Tuesday","Wednesday","Thursday","Friday","Saturday","Sunday")</f>
        <v>Monday</v>
      </c>
      <c r="J360">
        <v>1</v>
      </c>
      <c r="K360">
        <v>0.34</v>
      </c>
      <c r="L360" t="str">
        <f>IF(Table5[[#This Row],[temp]]&lt;24,"Cold","Hot")</f>
        <v>Cold</v>
      </c>
      <c r="M360">
        <v>0.34849999999999998</v>
      </c>
      <c r="N360">
        <v>0.46</v>
      </c>
      <c r="O360" t="str">
        <f>IF(Table5[[#This Row],[hum]]&lt;0.3,"Humid",IF(Table5[[#This Row],[hum]]&gt;=0.3,"High Humid"))</f>
        <v>High Humid</v>
      </c>
      <c r="P360">
        <v>8.9599999999999999E-2</v>
      </c>
      <c r="Q360">
        <v>52</v>
      </c>
      <c r="R360">
        <v>130</v>
      </c>
      <c r="S360">
        <v>182</v>
      </c>
    </row>
    <row r="361" spans="1:19" x14ac:dyDescent="0.25">
      <c r="A361">
        <v>822</v>
      </c>
      <c r="B361" s="1">
        <v>40580</v>
      </c>
      <c r="C361">
        <v>1</v>
      </c>
      <c r="D361">
        <v>0</v>
      </c>
      <c r="E361">
        <v>2</v>
      </c>
      <c r="F361">
        <v>16</v>
      </c>
      <c r="G361" t="b">
        <v>0</v>
      </c>
      <c r="H361">
        <v>0</v>
      </c>
      <c r="I361" t="str">
        <f>CHOOSE(H361+1,"Monday","Tuesday","Wednesday","Thursday","Friday","Saturday","Sunday")</f>
        <v>Monday</v>
      </c>
      <c r="J361">
        <v>1</v>
      </c>
      <c r="K361">
        <v>0.34</v>
      </c>
      <c r="L361" t="str">
        <f>IF(Table5[[#This Row],[temp]]&lt;24,"Cold","Hot")</f>
        <v>Cold</v>
      </c>
      <c r="M361">
        <v>0.34849999999999998</v>
      </c>
      <c r="N361">
        <v>0.49</v>
      </c>
      <c r="O361" t="str">
        <f>IF(Table5[[#This Row],[hum]]&lt;0.3,"Humid",IF(Table5[[#This Row],[hum]]&gt;=0.3,"High Humid"))</f>
        <v>High Humid</v>
      </c>
      <c r="P361">
        <v>0.1045</v>
      </c>
      <c r="Q361">
        <v>42</v>
      </c>
      <c r="R361">
        <v>115</v>
      </c>
      <c r="S361">
        <v>157</v>
      </c>
    </row>
    <row r="362" spans="1:19" x14ac:dyDescent="0.25">
      <c r="A362">
        <v>823</v>
      </c>
      <c r="B362" s="1">
        <v>40580</v>
      </c>
      <c r="C362">
        <v>1</v>
      </c>
      <c r="D362">
        <v>0</v>
      </c>
      <c r="E362">
        <v>2</v>
      </c>
      <c r="F362">
        <v>17</v>
      </c>
      <c r="G362" t="b">
        <v>0</v>
      </c>
      <c r="H362">
        <v>0</v>
      </c>
      <c r="I362" t="str">
        <f>CHOOSE(H362+1,"Monday","Tuesday","Wednesday","Thursday","Friday","Saturday","Sunday")</f>
        <v>Monday</v>
      </c>
      <c r="J362">
        <v>1</v>
      </c>
      <c r="K362">
        <v>0.34</v>
      </c>
      <c r="L362" t="str">
        <f>IF(Table5[[#This Row],[temp]]&lt;24,"Cold","Hot")</f>
        <v>Cold</v>
      </c>
      <c r="M362">
        <v>0.36359999999999998</v>
      </c>
      <c r="N362">
        <v>0.46</v>
      </c>
      <c r="O362" t="str">
        <f>IF(Table5[[#This Row],[hum]]&lt;0.3,"Humid",IF(Table5[[#This Row],[hum]]&gt;=0.3,"High Humid"))</f>
        <v>High Humid</v>
      </c>
      <c r="P362">
        <v>0</v>
      </c>
      <c r="Q362">
        <v>24</v>
      </c>
      <c r="R362">
        <v>97</v>
      </c>
      <c r="S362">
        <v>121</v>
      </c>
    </row>
    <row r="363" spans="1:19" x14ac:dyDescent="0.25">
      <c r="A363">
        <v>824</v>
      </c>
      <c r="B363" s="1">
        <v>40580</v>
      </c>
      <c r="C363">
        <v>1</v>
      </c>
      <c r="D363">
        <v>0</v>
      </c>
      <c r="E363">
        <v>2</v>
      </c>
      <c r="F363">
        <v>18</v>
      </c>
      <c r="G363" t="b">
        <v>0</v>
      </c>
      <c r="H363">
        <v>0</v>
      </c>
      <c r="I363" t="str">
        <f>CHOOSE(H363+1,"Monday","Tuesday","Wednesday","Thursday","Friday","Saturday","Sunday")</f>
        <v>Monday</v>
      </c>
      <c r="J363">
        <v>1</v>
      </c>
      <c r="K363">
        <v>0.3</v>
      </c>
      <c r="L363" t="str">
        <f>IF(Table5[[#This Row],[temp]]&lt;24,"Cold","Hot")</f>
        <v>Cold</v>
      </c>
      <c r="M363">
        <v>0.30299999999999999</v>
      </c>
      <c r="N363">
        <v>0.56000000000000005</v>
      </c>
      <c r="O363" t="str">
        <f>IF(Table5[[#This Row],[hum]]&lt;0.3,"Humid",IF(Table5[[#This Row],[hum]]&gt;=0.3,"High Humid"))</f>
        <v>High Humid</v>
      </c>
      <c r="P363">
        <v>0.16420000000000001</v>
      </c>
      <c r="Q363">
        <v>13</v>
      </c>
      <c r="R363">
        <v>65</v>
      </c>
      <c r="S363">
        <v>78</v>
      </c>
    </row>
    <row r="364" spans="1:19" x14ac:dyDescent="0.25">
      <c r="A364">
        <v>825</v>
      </c>
      <c r="B364" s="1">
        <v>40580</v>
      </c>
      <c r="C364">
        <v>1</v>
      </c>
      <c r="D364">
        <v>0</v>
      </c>
      <c r="E364">
        <v>2</v>
      </c>
      <c r="F364">
        <v>19</v>
      </c>
      <c r="G364" t="b">
        <v>0</v>
      </c>
      <c r="H364">
        <v>0</v>
      </c>
      <c r="I364" t="str">
        <f>CHOOSE(H364+1,"Monday","Tuesday","Wednesday","Thursday","Friday","Saturday","Sunday")</f>
        <v>Monday</v>
      </c>
      <c r="J364">
        <v>1</v>
      </c>
      <c r="K364">
        <v>0.28000000000000003</v>
      </c>
      <c r="L364" t="str">
        <f>IF(Table5[[#This Row],[temp]]&lt;24,"Cold","Hot")</f>
        <v>Cold</v>
      </c>
      <c r="M364">
        <v>0.28789999999999999</v>
      </c>
      <c r="N364">
        <v>0.61</v>
      </c>
      <c r="O364" t="str">
        <f>IF(Table5[[#This Row],[hum]]&lt;0.3,"Humid",IF(Table5[[#This Row],[hum]]&gt;=0.3,"High Humid"))</f>
        <v>High Humid</v>
      </c>
      <c r="P364">
        <v>0.1343</v>
      </c>
      <c r="Q364">
        <v>1</v>
      </c>
      <c r="R364">
        <v>20</v>
      </c>
      <c r="S364">
        <v>21</v>
      </c>
    </row>
    <row r="365" spans="1:19" x14ac:dyDescent="0.25">
      <c r="A365">
        <v>826</v>
      </c>
      <c r="B365" s="1">
        <v>40580</v>
      </c>
      <c r="C365">
        <v>1</v>
      </c>
      <c r="D365">
        <v>0</v>
      </c>
      <c r="E365">
        <v>2</v>
      </c>
      <c r="F365">
        <v>20</v>
      </c>
      <c r="G365" t="b">
        <v>0</v>
      </c>
      <c r="H365">
        <v>0</v>
      </c>
      <c r="I365" t="str">
        <f>CHOOSE(H365+1,"Monday","Tuesday","Wednesday","Thursday","Friday","Saturday","Sunday")</f>
        <v>Monday</v>
      </c>
      <c r="J365">
        <v>1</v>
      </c>
      <c r="K365">
        <v>0.28000000000000003</v>
      </c>
      <c r="L365" t="str">
        <f>IF(Table5[[#This Row],[temp]]&lt;24,"Cold","Hot")</f>
        <v>Cold</v>
      </c>
      <c r="M365">
        <v>0.28789999999999999</v>
      </c>
      <c r="N365">
        <v>0.61</v>
      </c>
      <c r="O365" t="str">
        <f>IF(Table5[[#This Row],[hum]]&lt;0.3,"Humid",IF(Table5[[#This Row],[hum]]&gt;=0.3,"High Humid"))</f>
        <v>High Humid</v>
      </c>
      <c r="P365">
        <v>0.1045</v>
      </c>
      <c r="Q365">
        <v>5</v>
      </c>
      <c r="R365">
        <v>21</v>
      </c>
      <c r="S365">
        <v>26</v>
      </c>
    </row>
    <row r="366" spans="1:19" x14ac:dyDescent="0.25">
      <c r="A366">
        <v>827</v>
      </c>
      <c r="B366" s="1">
        <v>40580</v>
      </c>
      <c r="C366">
        <v>1</v>
      </c>
      <c r="D366">
        <v>0</v>
      </c>
      <c r="E366">
        <v>2</v>
      </c>
      <c r="F366">
        <v>21</v>
      </c>
      <c r="G366" t="b">
        <v>0</v>
      </c>
      <c r="H366">
        <v>0</v>
      </c>
      <c r="I366" t="str">
        <f>CHOOSE(H366+1,"Monday","Tuesday","Wednesday","Thursday","Friday","Saturday","Sunday")</f>
        <v>Monday</v>
      </c>
      <c r="J366">
        <v>1</v>
      </c>
      <c r="K366">
        <v>0.26</v>
      </c>
      <c r="L366" t="str">
        <f>IF(Table5[[#This Row],[temp]]&lt;24,"Cold","Hot")</f>
        <v>Cold</v>
      </c>
      <c r="M366">
        <v>0.30299999999999999</v>
      </c>
      <c r="N366">
        <v>0.6</v>
      </c>
      <c r="O366" t="str">
        <f>IF(Table5[[#This Row],[hum]]&lt;0.3,"Humid",IF(Table5[[#This Row],[hum]]&gt;=0.3,"High Humid"))</f>
        <v>High Humid</v>
      </c>
      <c r="P366">
        <v>0</v>
      </c>
      <c r="Q366">
        <v>5</v>
      </c>
      <c r="R366">
        <v>22</v>
      </c>
      <c r="S366">
        <v>27</v>
      </c>
    </row>
    <row r="367" spans="1:19" x14ac:dyDescent="0.25">
      <c r="A367">
        <v>828</v>
      </c>
      <c r="B367" s="1">
        <v>40580</v>
      </c>
      <c r="C367">
        <v>1</v>
      </c>
      <c r="D367">
        <v>0</v>
      </c>
      <c r="E367">
        <v>2</v>
      </c>
      <c r="F367">
        <v>22</v>
      </c>
      <c r="G367" t="b">
        <v>0</v>
      </c>
      <c r="H367">
        <v>0</v>
      </c>
      <c r="I367" t="str">
        <f>CHOOSE(H367+1,"Monday","Tuesday","Wednesday","Thursday","Friday","Saturday","Sunday")</f>
        <v>Monday</v>
      </c>
      <c r="J367">
        <v>1</v>
      </c>
      <c r="K367">
        <v>0.26</v>
      </c>
      <c r="L367" t="str">
        <f>IF(Table5[[#This Row],[temp]]&lt;24,"Cold","Hot")</f>
        <v>Cold</v>
      </c>
      <c r="M367">
        <v>0.30299999999999999</v>
      </c>
      <c r="N367">
        <v>0.6</v>
      </c>
      <c r="O367" t="str">
        <f>IF(Table5[[#This Row],[hum]]&lt;0.3,"Humid",IF(Table5[[#This Row],[hum]]&gt;=0.3,"High Humid"))</f>
        <v>High Humid</v>
      </c>
      <c r="P367">
        <v>0</v>
      </c>
      <c r="Q367">
        <v>5</v>
      </c>
      <c r="R367">
        <v>57</v>
      </c>
      <c r="S367">
        <v>62</v>
      </c>
    </row>
    <row r="368" spans="1:19" x14ac:dyDescent="0.25">
      <c r="A368">
        <v>829</v>
      </c>
      <c r="B368" s="1">
        <v>40580</v>
      </c>
      <c r="C368">
        <v>1</v>
      </c>
      <c r="D368">
        <v>0</v>
      </c>
      <c r="E368">
        <v>2</v>
      </c>
      <c r="F368">
        <v>23</v>
      </c>
      <c r="G368" t="b">
        <v>0</v>
      </c>
      <c r="H368">
        <v>0</v>
      </c>
      <c r="I368" t="str">
        <f>CHOOSE(H368+1,"Monday","Tuesday","Wednesday","Thursday","Friday","Saturday","Sunday")</f>
        <v>Monday</v>
      </c>
      <c r="J368">
        <v>1</v>
      </c>
      <c r="K368">
        <v>0.24</v>
      </c>
      <c r="L368" t="str">
        <f>IF(Table5[[#This Row],[temp]]&lt;24,"Cold","Hot")</f>
        <v>Cold</v>
      </c>
      <c r="M368">
        <v>0.28789999999999999</v>
      </c>
      <c r="N368">
        <v>0.65</v>
      </c>
      <c r="O368" t="str">
        <f>IF(Table5[[#This Row],[hum]]&lt;0.3,"Humid",IF(Table5[[#This Row],[hum]]&gt;=0.3,"High Humid"))</f>
        <v>High Humid</v>
      </c>
      <c r="P368">
        <v>0</v>
      </c>
      <c r="Q368">
        <v>4</v>
      </c>
      <c r="R368">
        <v>26</v>
      </c>
      <c r="S368">
        <v>30</v>
      </c>
    </row>
    <row r="369" spans="1:19" x14ac:dyDescent="0.25">
      <c r="A369">
        <v>970</v>
      </c>
      <c r="B369" s="1">
        <v>40587</v>
      </c>
      <c r="C369">
        <v>1</v>
      </c>
      <c r="D369">
        <v>0</v>
      </c>
      <c r="E369">
        <v>2</v>
      </c>
      <c r="F369">
        <v>0</v>
      </c>
      <c r="G369" t="b">
        <v>0</v>
      </c>
      <c r="H369">
        <v>0</v>
      </c>
      <c r="I369" t="str">
        <f>CHOOSE(H369+1,"Monday","Tuesday","Wednesday","Thursday","Friday","Saturday","Sunday")</f>
        <v>Monday</v>
      </c>
      <c r="J369">
        <v>1</v>
      </c>
      <c r="K369">
        <v>0.2</v>
      </c>
      <c r="L369" t="str">
        <f>IF(Table5[[#This Row],[temp]]&lt;24,"Cold","Hot")</f>
        <v>Cold</v>
      </c>
      <c r="M369">
        <v>0.2273</v>
      </c>
      <c r="N369">
        <v>0.64</v>
      </c>
      <c r="O369" t="str">
        <f>IF(Table5[[#This Row],[hum]]&lt;0.3,"Humid",IF(Table5[[#This Row],[hum]]&gt;=0.3,"High Humid"))</f>
        <v>High Humid</v>
      </c>
      <c r="P369">
        <v>0.1045</v>
      </c>
      <c r="Q369">
        <v>5</v>
      </c>
      <c r="R369">
        <v>34</v>
      </c>
      <c r="S369">
        <v>39</v>
      </c>
    </row>
    <row r="370" spans="1:19" x14ac:dyDescent="0.25">
      <c r="A370">
        <v>971</v>
      </c>
      <c r="B370" s="1">
        <v>40587</v>
      </c>
      <c r="C370">
        <v>1</v>
      </c>
      <c r="D370">
        <v>0</v>
      </c>
      <c r="E370">
        <v>2</v>
      </c>
      <c r="F370">
        <v>1</v>
      </c>
      <c r="G370" t="b">
        <v>0</v>
      </c>
      <c r="H370">
        <v>0</v>
      </c>
      <c r="I370" t="str">
        <f>CHOOSE(H370+1,"Monday","Tuesday","Wednesday","Thursday","Friday","Saturday","Sunday")</f>
        <v>Monday</v>
      </c>
      <c r="J370">
        <v>1</v>
      </c>
      <c r="K370">
        <v>0.2</v>
      </c>
      <c r="L370" t="str">
        <f>IF(Table5[[#This Row],[temp]]&lt;24,"Cold","Hot")</f>
        <v>Cold</v>
      </c>
      <c r="M370">
        <v>0.2273</v>
      </c>
      <c r="N370">
        <v>0.59</v>
      </c>
      <c r="O370" t="str">
        <f>IF(Table5[[#This Row],[hum]]&lt;0.3,"Humid",IF(Table5[[#This Row],[hum]]&gt;=0.3,"High Humid"))</f>
        <v>High Humid</v>
      </c>
      <c r="P370">
        <v>8.9599999999999999E-2</v>
      </c>
      <c r="Q370">
        <v>1</v>
      </c>
      <c r="R370">
        <v>23</v>
      </c>
      <c r="S370">
        <v>24</v>
      </c>
    </row>
    <row r="371" spans="1:19" x14ac:dyDescent="0.25">
      <c r="A371">
        <v>972</v>
      </c>
      <c r="B371" s="1">
        <v>40587</v>
      </c>
      <c r="C371">
        <v>1</v>
      </c>
      <c r="D371">
        <v>0</v>
      </c>
      <c r="E371">
        <v>2</v>
      </c>
      <c r="F371">
        <v>2</v>
      </c>
      <c r="G371" t="b">
        <v>0</v>
      </c>
      <c r="H371">
        <v>0</v>
      </c>
      <c r="I371" t="str">
        <f>CHOOSE(H371+1,"Monday","Tuesday","Wednesday","Thursday","Friday","Saturday","Sunday")</f>
        <v>Monday</v>
      </c>
      <c r="J371">
        <v>2</v>
      </c>
      <c r="K371">
        <v>0.2</v>
      </c>
      <c r="L371" t="str">
        <f>IF(Table5[[#This Row],[temp]]&lt;24,"Cold","Hot")</f>
        <v>Cold</v>
      </c>
      <c r="M371">
        <v>0.2273</v>
      </c>
      <c r="N371">
        <v>0.75</v>
      </c>
      <c r="O371" t="str">
        <f>IF(Table5[[#This Row],[hum]]&lt;0.3,"Humid",IF(Table5[[#This Row],[hum]]&gt;=0.3,"High Humid"))</f>
        <v>High Humid</v>
      </c>
      <c r="P371">
        <v>8.9599999999999999E-2</v>
      </c>
      <c r="Q371">
        <v>1</v>
      </c>
      <c r="R371">
        <v>19</v>
      </c>
      <c r="S371">
        <v>20</v>
      </c>
    </row>
    <row r="372" spans="1:19" x14ac:dyDescent="0.25">
      <c r="A372">
        <v>973</v>
      </c>
      <c r="B372" s="1">
        <v>40587</v>
      </c>
      <c r="C372">
        <v>1</v>
      </c>
      <c r="D372">
        <v>0</v>
      </c>
      <c r="E372">
        <v>2</v>
      </c>
      <c r="F372">
        <v>3</v>
      </c>
      <c r="G372" t="b">
        <v>0</v>
      </c>
      <c r="H372">
        <v>0</v>
      </c>
      <c r="I372" t="str">
        <f>CHOOSE(H372+1,"Monday","Tuesday","Wednesday","Thursday","Friday","Saturday","Sunday")</f>
        <v>Monday</v>
      </c>
      <c r="J372">
        <v>2</v>
      </c>
      <c r="K372">
        <v>0.2</v>
      </c>
      <c r="L372" t="str">
        <f>IF(Table5[[#This Row],[temp]]&lt;24,"Cold","Hot")</f>
        <v>Cold</v>
      </c>
      <c r="M372">
        <v>0.2273</v>
      </c>
      <c r="N372">
        <v>0.69</v>
      </c>
      <c r="O372" t="str">
        <f>IF(Table5[[#This Row],[hum]]&lt;0.3,"Humid",IF(Table5[[#This Row],[hum]]&gt;=0.3,"High Humid"))</f>
        <v>High Humid</v>
      </c>
      <c r="P372">
        <v>0.1045</v>
      </c>
      <c r="Q372">
        <v>4</v>
      </c>
      <c r="R372">
        <v>8</v>
      </c>
      <c r="S372">
        <v>12</v>
      </c>
    </row>
    <row r="373" spans="1:19" x14ac:dyDescent="0.25">
      <c r="A373">
        <v>974</v>
      </c>
      <c r="B373" s="1">
        <v>40587</v>
      </c>
      <c r="C373">
        <v>1</v>
      </c>
      <c r="D373">
        <v>0</v>
      </c>
      <c r="E373">
        <v>2</v>
      </c>
      <c r="F373">
        <v>4</v>
      </c>
      <c r="G373" t="b">
        <v>0</v>
      </c>
      <c r="H373">
        <v>0</v>
      </c>
      <c r="I373" t="str">
        <f>CHOOSE(H373+1,"Monday","Tuesday","Wednesday","Thursday","Friday","Saturday","Sunday")</f>
        <v>Monday</v>
      </c>
      <c r="J373">
        <v>2</v>
      </c>
      <c r="K373">
        <v>0.2</v>
      </c>
      <c r="L373" t="str">
        <f>IF(Table5[[#This Row],[temp]]&lt;24,"Cold","Hot")</f>
        <v>Cold</v>
      </c>
      <c r="M373">
        <v>0.21210000000000001</v>
      </c>
      <c r="N373">
        <v>0.69</v>
      </c>
      <c r="O373" t="str">
        <f>IF(Table5[[#This Row],[hum]]&lt;0.3,"Humid",IF(Table5[[#This Row],[hum]]&gt;=0.3,"High Humid"))</f>
        <v>High Humid</v>
      </c>
      <c r="P373">
        <v>0.16420000000000001</v>
      </c>
      <c r="Q373">
        <v>0</v>
      </c>
      <c r="R373">
        <v>2</v>
      </c>
      <c r="S373">
        <v>2</v>
      </c>
    </row>
    <row r="374" spans="1:19" x14ac:dyDescent="0.25">
      <c r="A374">
        <v>975</v>
      </c>
      <c r="B374" s="1">
        <v>40587</v>
      </c>
      <c r="C374">
        <v>1</v>
      </c>
      <c r="D374">
        <v>0</v>
      </c>
      <c r="E374">
        <v>2</v>
      </c>
      <c r="F374">
        <v>6</v>
      </c>
      <c r="G374" t="b">
        <v>0</v>
      </c>
      <c r="H374">
        <v>0</v>
      </c>
      <c r="I374" t="str">
        <f>CHOOSE(H374+1,"Monday","Tuesday","Wednesday","Thursday","Friday","Saturday","Sunday")</f>
        <v>Monday</v>
      </c>
      <c r="J374">
        <v>2</v>
      </c>
      <c r="K374">
        <v>0.2</v>
      </c>
      <c r="L374" t="str">
        <f>IF(Table5[[#This Row],[temp]]&lt;24,"Cold","Hot")</f>
        <v>Cold</v>
      </c>
      <c r="M374">
        <v>0.21210000000000001</v>
      </c>
      <c r="N374">
        <v>0.69</v>
      </c>
      <c r="O374" t="str">
        <f>IF(Table5[[#This Row],[hum]]&lt;0.3,"Humid",IF(Table5[[#This Row],[hum]]&gt;=0.3,"High Humid"))</f>
        <v>High Humid</v>
      </c>
      <c r="P374">
        <v>0.1343</v>
      </c>
      <c r="Q374">
        <v>2</v>
      </c>
      <c r="R374">
        <v>3</v>
      </c>
      <c r="S374">
        <v>5</v>
      </c>
    </row>
    <row r="375" spans="1:19" x14ac:dyDescent="0.25">
      <c r="A375">
        <v>976</v>
      </c>
      <c r="B375" s="1">
        <v>40587</v>
      </c>
      <c r="C375">
        <v>1</v>
      </c>
      <c r="D375">
        <v>0</v>
      </c>
      <c r="E375">
        <v>2</v>
      </c>
      <c r="F375">
        <v>7</v>
      </c>
      <c r="G375" t="b">
        <v>0</v>
      </c>
      <c r="H375">
        <v>0</v>
      </c>
      <c r="I375" t="str">
        <f>CHOOSE(H375+1,"Monday","Tuesday","Wednesday","Thursday","Friday","Saturday","Sunday")</f>
        <v>Monday</v>
      </c>
      <c r="J375">
        <v>2</v>
      </c>
      <c r="K375">
        <v>0.22</v>
      </c>
      <c r="L375" t="str">
        <f>IF(Table5[[#This Row],[temp]]&lt;24,"Cold","Hot")</f>
        <v>Cold</v>
      </c>
      <c r="M375">
        <v>0.2727</v>
      </c>
      <c r="N375">
        <v>0.55000000000000004</v>
      </c>
      <c r="O375" t="str">
        <f>IF(Table5[[#This Row],[hum]]&lt;0.3,"Humid",IF(Table5[[#This Row],[hum]]&gt;=0.3,"High Humid"))</f>
        <v>High Humid</v>
      </c>
      <c r="P375">
        <v>0</v>
      </c>
      <c r="Q375">
        <v>0</v>
      </c>
      <c r="R375">
        <v>3</v>
      </c>
      <c r="S375">
        <v>3</v>
      </c>
    </row>
    <row r="376" spans="1:19" x14ac:dyDescent="0.25">
      <c r="A376">
        <v>977</v>
      </c>
      <c r="B376" s="1">
        <v>40587</v>
      </c>
      <c r="C376">
        <v>1</v>
      </c>
      <c r="D376">
        <v>0</v>
      </c>
      <c r="E376">
        <v>2</v>
      </c>
      <c r="F376">
        <v>8</v>
      </c>
      <c r="G376" t="b">
        <v>0</v>
      </c>
      <c r="H376">
        <v>0</v>
      </c>
      <c r="I376" t="str">
        <f>CHOOSE(H376+1,"Monday","Tuesday","Wednesday","Thursday","Friday","Saturday","Sunday")</f>
        <v>Monday</v>
      </c>
      <c r="J376">
        <v>2</v>
      </c>
      <c r="K376">
        <v>0.22</v>
      </c>
      <c r="L376" t="str">
        <f>IF(Table5[[#This Row],[temp]]&lt;24,"Cold","Hot")</f>
        <v>Cold</v>
      </c>
      <c r="M376">
        <v>0.2273</v>
      </c>
      <c r="N376">
        <v>0.64</v>
      </c>
      <c r="O376" t="str">
        <f>IF(Table5[[#This Row],[hum]]&lt;0.3,"Humid",IF(Table5[[#This Row],[hum]]&gt;=0.3,"High Humid"))</f>
        <v>High Humid</v>
      </c>
      <c r="P376">
        <v>0.19400000000000001</v>
      </c>
      <c r="Q376">
        <v>1</v>
      </c>
      <c r="R376">
        <v>11</v>
      </c>
      <c r="S376">
        <v>12</v>
      </c>
    </row>
    <row r="377" spans="1:19" x14ac:dyDescent="0.25">
      <c r="A377">
        <v>978</v>
      </c>
      <c r="B377" s="1">
        <v>40587</v>
      </c>
      <c r="C377">
        <v>1</v>
      </c>
      <c r="D377">
        <v>0</v>
      </c>
      <c r="E377">
        <v>2</v>
      </c>
      <c r="F377">
        <v>9</v>
      </c>
      <c r="G377" t="b">
        <v>0</v>
      </c>
      <c r="H377">
        <v>0</v>
      </c>
      <c r="I377" t="str">
        <f>CHOOSE(H377+1,"Monday","Tuesday","Wednesday","Thursday","Friday","Saturday","Sunday")</f>
        <v>Monday</v>
      </c>
      <c r="J377">
        <v>2</v>
      </c>
      <c r="K377">
        <v>0.24</v>
      </c>
      <c r="L377" t="str">
        <f>IF(Table5[[#This Row],[temp]]&lt;24,"Cold","Hot")</f>
        <v>Cold</v>
      </c>
      <c r="M377">
        <v>0.2273</v>
      </c>
      <c r="N377">
        <v>0.6</v>
      </c>
      <c r="O377" t="str">
        <f>IF(Table5[[#This Row],[hum]]&lt;0.3,"Humid",IF(Table5[[#This Row],[hum]]&gt;=0.3,"High Humid"))</f>
        <v>High Humid</v>
      </c>
      <c r="P377">
        <v>0.22389999999999999</v>
      </c>
      <c r="Q377">
        <v>12</v>
      </c>
      <c r="R377">
        <v>35</v>
      </c>
      <c r="S377">
        <v>47</v>
      </c>
    </row>
    <row r="378" spans="1:19" x14ac:dyDescent="0.25">
      <c r="A378">
        <v>979</v>
      </c>
      <c r="B378" s="1">
        <v>40587</v>
      </c>
      <c r="C378">
        <v>1</v>
      </c>
      <c r="D378">
        <v>0</v>
      </c>
      <c r="E378">
        <v>2</v>
      </c>
      <c r="F378">
        <v>10</v>
      </c>
      <c r="G378" t="b">
        <v>0</v>
      </c>
      <c r="H378">
        <v>0</v>
      </c>
      <c r="I378" t="str">
        <f>CHOOSE(H378+1,"Monday","Tuesday","Wednesday","Thursday","Friday","Saturday","Sunday")</f>
        <v>Monday</v>
      </c>
      <c r="J378">
        <v>1</v>
      </c>
      <c r="K378">
        <v>0.3</v>
      </c>
      <c r="L378" t="str">
        <f>IF(Table5[[#This Row],[temp]]&lt;24,"Cold","Hot")</f>
        <v>Cold</v>
      </c>
      <c r="M378">
        <v>0.2727</v>
      </c>
      <c r="N378">
        <v>0.45</v>
      </c>
      <c r="O378" t="str">
        <f>IF(Table5[[#This Row],[hum]]&lt;0.3,"Humid",IF(Table5[[#This Row],[hum]]&gt;=0.3,"High Humid"))</f>
        <v>High Humid</v>
      </c>
      <c r="P378">
        <v>0.32840000000000003</v>
      </c>
      <c r="Q378">
        <v>19</v>
      </c>
      <c r="R378">
        <v>86</v>
      </c>
      <c r="S378">
        <v>105</v>
      </c>
    </row>
    <row r="379" spans="1:19" x14ac:dyDescent="0.25">
      <c r="A379">
        <v>980</v>
      </c>
      <c r="B379" s="1">
        <v>40587</v>
      </c>
      <c r="C379">
        <v>1</v>
      </c>
      <c r="D379">
        <v>0</v>
      </c>
      <c r="E379">
        <v>2</v>
      </c>
      <c r="F379">
        <v>11</v>
      </c>
      <c r="G379" t="b">
        <v>0</v>
      </c>
      <c r="H379">
        <v>0</v>
      </c>
      <c r="I379" t="str">
        <f>CHOOSE(H379+1,"Monday","Tuesday","Wednesday","Thursday","Friday","Saturday","Sunday")</f>
        <v>Monday</v>
      </c>
      <c r="J379">
        <v>1</v>
      </c>
      <c r="K379">
        <v>0.32</v>
      </c>
      <c r="L379" t="str">
        <f>IF(Table5[[#This Row],[temp]]&lt;24,"Cold","Hot")</f>
        <v>Cold</v>
      </c>
      <c r="M379">
        <v>0.28789999999999999</v>
      </c>
      <c r="N379">
        <v>0.39</v>
      </c>
      <c r="O379" t="str">
        <f>IF(Table5[[#This Row],[hum]]&lt;0.3,"Humid",IF(Table5[[#This Row],[hum]]&gt;=0.3,"High Humid"))</f>
        <v>High Humid</v>
      </c>
      <c r="P379">
        <v>0.44779999999999998</v>
      </c>
      <c r="Q379">
        <v>26</v>
      </c>
      <c r="R379">
        <v>86</v>
      </c>
      <c r="S379">
        <v>112</v>
      </c>
    </row>
    <row r="380" spans="1:19" x14ac:dyDescent="0.25">
      <c r="A380">
        <v>981</v>
      </c>
      <c r="B380" s="1">
        <v>40587</v>
      </c>
      <c r="C380">
        <v>1</v>
      </c>
      <c r="D380">
        <v>0</v>
      </c>
      <c r="E380">
        <v>2</v>
      </c>
      <c r="F380">
        <v>12</v>
      </c>
      <c r="G380" t="b">
        <v>0</v>
      </c>
      <c r="H380">
        <v>0</v>
      </c>
      <c r="I380" t="str">
        <f>CHOOSE(H380+1,"Monday","Tuesday","Wednesday","Thursday","Friday","Saturday","Sunday")</f>
        <v>Monday</v>
      </c>
      <c r="J380">
        <v>1</v>
      </c>
      <c r="K380">
        <v>0.36</v>
      </c>
      <c r="L380" t="str">
        <f>IF(Table5[[#This Row],[temp]]&lt;24,"Cold","Hot")</f>
        <v>Cold</v>
      </c>
      <c r="M380">
        <v>0.31819999999999998</v>
      </c>
      <c r="N380">
        <v>0.32</v>
      </c>
      <c r="O380" t="str">
        <f>IF(Table5[[#This Row],[hum]]&lt;0.3,"Humid",IF(Table5[[#This Row],[hum]]&gt;=0.3,"High Humid"))</f>
        <v>High Humid</v>
      </c>
      <c r="P380">
        <v>0.4627</v>
      </c>
      <c r="Q380">
        <v>58</v>
      </c>
      <c r="R380">
        <v>94</v>
      </c>
      <c r="S380">
        <v>152</v>
      </c>
    </row>
    <row r="381" spans="1:19" x14ac:dyDescent="0.25">
      <c r="A381">
        <v>982</v>
      </c>
      <c r="B381" s="1">
        <v>40587</v>
      </c>
      <c r="C381">
        <v>1</v>
      </c>
      <c r="D381">
        <v>0</v>
      </c>
      <c r="E381">
        <v>2</v>
      </c>
      <c r="F381">
        <v>13</v>
      </c>
      <c r="G381" t="b">
        <v>0</v>
      </c>
      <c r="H381">
        <v>0</v>
      </c>
      <c r="I381" t="str">
        <f>CHOOSE(H381+1,"Monday","Tuesday","Wednesday","Thursday","Friday","Saturday","Sunday")</f>
        <v>Monday</v>
      </c>
      <c r="J381">
        <v>1</v>
      </c>
      <c r="K381">
        <v>0.38</v>
      </c>
      <c r="L381" t="str">
        <f>IF(Table5[[#This Row],[temp]]&lt;24,"Cold","Hot")</f>
        <v>Cold</v>
      </c>
      <c r="M381">
        <v>0.39389999999999997</v>
      </c>
      <c r="N381">
        <v>0.28999999999999998</v>
      </c>
      <c r="O381" t="str">
        <f>IF(Table5[[#This Row],[hum]]&lt;0.3,"Humid",IF(Table5[[#This Row],[hum]]&gt;=0.3,"High Humid"))</f>
        <v>Humid</v>
      </c>
      <c r="P381">
        <v>0.35820000000000002</v>
      </c>
      <c r="Q381">
        <v>62</v>
      </c>
      <c r="R381">
        <v>92</v>
      </c>
      <c r="S381">
        <v>154</v>
      </c>
    </row>
    <row r="382" spans="1:19" x14ac:dyDescent="0.25">
      <c r="A382">
        <v>983</v>
      </c>
      <c r="B382" s="1">
        <v>40587</v>
      </c>
      <c r="C382">
        <v>1</v>
      </c>
      <c r="D382">
        <v>0</v>
      </c>
      <c r="E382">
        <v>2</v>
      </c>
      <c r="F382">
        <v>14</v>
      </c>
      <c r="G382" t="b">
        <v>0</v>
      </c>
      <c r="H382">
        <v>0</v>
      </c>
      <c r="I382" t="str">
        <f>CHOOSE(H382+1,"Monday","Tuesday","Wednesday","Thursday","Friday","Saturday","Sunday")</f>
        <v>Monday</v>
      </c>
      <c r="J382">
        <v>2</v>
      </c>
      <c r="K382">
        <v>0.4</v>
      </c>
      <c r="L382" t="str">
        <f>IF(Table5[[#This Row],[temp]]&lt;24,"Cold","Hot")</f>
        <v>Cold</v>
      </c>
      <c r="M382">
        <v>0.40910000000000002</v>
      </c>
      <c r="N382">
        <v>0.3</v>
      </c>
      <c r="O382" t="str">
        <f>IF(Table5[[#This Row],[hum]]&lt;0.3,"Humid",IF(Table5[[#This Row],[hum]]&gt;=0.3,"High Humid"))</f>
        <v>High Humid</v>
      </c>
      <c r="P382">
        <v>0.41789999999999999</v>
      </c>
      <c r="Q382">
        <v>51</v>
      </c>
      <c r="R382">
        <v>110</v>
      </c>
      <c r="S382">
        <v>161</v>
      </c>
    </row>
    <row r="383" spans="1:19" x14ac:dyDescent="0.25">
      <c r="A383">
        <v>984</v>
      </c>
      <c r="B383" s="1">
        <v>40587</v>
      </c>
      <c r="C383">
        <v>1</v>
      </c>
      <c r="D383">
        <v>0</v>
      </c>
      <c r="E383">
        <v>2</v>
      </c>
      <c r="F383">
        <v>15</v>
      </c>
      <c r="G383" t="b">
        <v>0</v>
      </c>
      <c r="H383">
        <v>0</v>
      </c>
      <c r="I383" t="str">
        <f>CHOOSE(H383+1,"Monday","Tuesday","Wednesday","Thursday","Friday","Saturday","Sunday")</f>
        <v>Monday</v>
      </c>
      <c r="J383">
        <v>2</v>
      </c>
      <c r="K383">
        <v>0.4</v>
      </c>
      <c r="L383" t="str">
        <f>IF(Table5[[#This Row],[temp]]&lt;24,"Cold","Hot")</f>
        <v>Cold</v>
      </c>
      <c r="M383">
        <v>0.40910000000000002</v>
      </c>
      <c r="N383">
        <v>0.3</v>
      </c>
      <c r="O383" t="str">
        <f>IF(Table5[[#This Row],[hum]]&lt;0.3,"Humid",IF(Table5[[#This Row],[hum]]&gt;=0.3,"High Humid"))</f>
        <v>High Humid</v>
      </c>
      <c r="P383">
        <v>0.29849999999999999</v>
      </c>
      <c r="Q383">
        <v>40</v>
      </c>
      <c r="R383">
        <v>122</v>
      </c>
      <c r="S383">
        <v>162</v>
      </c>
    </row>
    <row r="384" spans="1:19" x14ac:dyDescent="0.25">
      <c r="A384">
        <v>985</v>
      </c>
      <c r="B384" s="1">
        <v>40587</v>
      </c>
      <c r="C384">
        <v>1</v>
      </c>
      <c r="D384">
        <v>0</v>
      </c>
      <c r="E384">
        <v>2</v>
      </c>
      <c r="F384">
        <v>16</v>
      </c>
      <c r="G384" t="b">
        <v>0</v>
      </c>
      <c r="H384">
        <v>0</v>
      </c>
      <c r="I384" t="str">
        <f>CHOOSE(H384+1,"Monday","Tuesday","Wednesday","Thursday","Friday","Saturday","Sunday")</f>
        <v>Monday</v>
      </c>
      <c r="J384">
        <v>2</v>
      </c>
      <c r="K384">
        <v>0.42</v>
      </c>
      <c r="L384" t="str">
        <f>IF(Table5[[#This Row],[temp]]&lt;24,"Cold","Hot")</f>
        <v>Cold</v>
      </c>
      <c r="M384">
        <v>0.42420000000000002</v>
      </c>
      <c r="N384">
        <v>0.28000000000000003</v>
      </c>
      <c r="O384" t="str">
        <f>IF(Table5[[#This Row],[hum]]&lt;0.3,"Humid",IF(Table5[[#This Row],[hum]]&gt;=0.3,"High Humid"))</f>
        <v>Humid</v>
      </c>
      <c r="P384">
        <v>0.32840000000000003</v>
      </c>
      <c r="Q384">
        <v>28</v>
      </c>
      <c r="R384">
        <v>106</v>
      </c>
      <c r="S384">
        <v>134</v>
      </c>
    </row>
    <row r="385" spans="1:19" x14ac:dyDescent="0.25">
      <c r="A385">
        <v>986</v>
      </c>
      <c r="B385" s="1">
        <v>40587</v>
      </c>
      <c r="C385">
        <v>1</v>
      </c>
      <c r="D385">
        <v>0</v>
      </c>
      <c r="E385">
        <v>2</v>
      </c>
      <c r="F385">
        <v>17</v>
      </c>
      <c r="G385" t="b">
        <v>0</v>
      </c>
      <c r="H385">
        <v>0</v>
      </c>
      <c r="I385" t="str">
        <f>CHOOSE(H385+1,"Monday","Tuesday","Wednesday","Thursday","Friday","Saturday","Sunday")</f>
        <v>Monday</v>
      </c>
      <c r="J385">
        <v>1</v>
      </c>
      <c r="K385">
        <v>0.42</v>
      </c>
      <c r="L385" t="str">
        <f>IF(Table5[[#This Row],[temp]]&lt;24,"Cold","Hot")</f>
        <v>Cold</v>
      </c>
      <c r="M385">
        <v>0.42420000000000002</v>
      </c>
      <c r="N385">
        <v>0.28000000000000003</v>
      </c>
      <c r="O385" t="str">
        <f>IF(Table5[[#This Row],[hum]]&lt;0.3,"Humid",IF(Table5[[#This Row],[hum]]&gt;=0.3,"High Humid"))</f>
        <v>Humid</v>
      </c>
      <c r="P385">
        <v>0.32840000000000003</v>
      </c>
      <c r="Q385">
        <v>30</v>
      </c>
      <c r="R385">
        <v>95</v>
      </c>
      <c r="S385">
        <v>125</v>
      </c>
    </row>
    <row r="386" spans="1:19" x14ac:dyDescent="0.25">
      <c r="A386">
        <v>987</v>
      </c>
      <c r="B386" s="1">
        <v>40587</v>
      </c>
      <c r="C386">
        <v>1</v>
      </c>
      <c r="D386">
        <v>0</v>
      </c>
      <c r="E386">
        <v>2</v>
      </c>
      <c r="F386">
        <v>18</v>
      </c>
      <c r="G386" t="b">
        <v>0</v>
      </c>
      <c r="H386">
        <v>0</v>
      </c>
      <c r="I386" t="str">
        <f>CHOOSE(H386+1,"Monday","Tuesday","Wednesday","Thursday","Friday","Saturday","Sunday")</f>
        <v>Monday</v>
      </c>
      <c r="J386">
        <v>1</v>
      </c>
      <c r="K386">
        <v>0.4</v>
      </c>
      <c r="L386" t="str">
        <f>IF(Table5[[#This Row],[temp]]&lt;24,"Cold","Hot")</f>
        <v>Cold</v>
      </c>
      <c r="M386">
        <v>0.40910000000000002</v>
      </c>
      <c r="N386">
        <v>0.32</v>
      </c>
      <c r="O386" t="str">
        <f>IF(Table5[[#This Row],[hum]]&lt;0.3,"Humid",IF(Table5[[#This Row],[hum]]&gt;=0.3,"High Humid"))</f>
        <v>High Humid</v>
      </c>
      <c r="P386">
        <v>0.29849999999999999</v>
      </c>
      <c r="Q386">
        <v>17</v>
      </c>
      <c r="R386">
        <v>78</v>
      </c>
      <c r="S386">
        <v>95</v>
      </c>
    </row>
    <row r="387" spans="1:19" x14ac:dyDescent="0.25">
      <c r="A387">
        <v>988</v>
      </c>
      <c r="B387" s="1">
        <v>40587</v>
      </c>
      <c r="C387">
        <v>1</v>
      </c>
      <c r="D387">
        <v>0</v>
      </c>
      <c r="E387">
        <v>2</v>
      </c>
      <c r="F387">
        <v>19</v>
      </c>
      <c r="G387" t="b">
        <v>0</v>
      </c>
      <c r="H387">
        <v>0</v>
      </c>
      <c r="I387" t="str">
        <f>CHOOSE(H387+1,"Monday","Tuesday","Wednesday","Thursday","Friday","Saturday","Sunday")</f>
        <v>Monday</v>
      </c>
      <c r="J387">
        <v>1</v>
      </c>
      <c r="K387">
        <v>0.4</v>
      </c>
      <c r="L387" t="str">
        <f>IF(Table5[[#This Row],[temp]]&lt;24,"Cold","Hot")</f>
        <v>Cold</v>
      </c>
      <c r="M387">
        <v>0.40910000000000002</v>
      </c>
      <c r="N387">
        <v>0.35</v>
      </c>
      <c r="O387" t="str">
        <f>IF(Table5[[#This Row],[hum]]&lt;0.3,"Humid",IF(Table5[[#This Row],[hum]]&gt;=0.3,"High Humid"))</f>
        <v>High Humid</v>
      </c>
      <c r="P387">
        <v>0.28360000000000002</v>
      </c>
      <c r="Q387">
        <v>11</v>
      </c>
      <c r="R387">
        <v>50</v>
      </c>
      <c r="S387">
        <v>61</v>
      </c>
    </row>
    <row r="388" spans="1:19" x14ac:dyDescent="0.25">
      <c r="A388">
        <v>989</v>
      </c>
      <c r="B388" s="1">
        <v>40587</v>
      </c>
      <c r="C388">
        <v>1</v>
      </c>
      <c r="D388">
        <v>0</v>
      </c>
      <c r="E388">
        <v>2</v>
      </c>
      <c r="F388">
        <v>20</v>
      </c>
      <c r="G388" t="b">
        <v>0</v>
      </c>
      <c r="H388">
        <v>0</v>
      </c>
      <c r="I388" t="str">
        <f>CHOOSE(H388+1,"Monday","Tuesday","Wednesday","Thursday","Friday","Saturday","Sunday")</f>
        <v>Monday</v>
      </c>
      <c r="J388">
        <v>1</v>
      </c>
      <c r="K388">
        <v>0.4</v>
      </c>
      <c r="L388" t="str">
        <f>IF(Table5[[#This Row],[temp]]&lt;24,"Cold","Hot")</f>
        <v>Cold</v>
      </c>
      <c r="M388">
        <v>0.40910000000000002</v>
      </c>
      <c r="N388">
        <v>0.35</v>
      </c>
      <c r="O388" t="str">
        <f>IF(Table5[[#This Row],[hum]]&lt;0.3,"Humid",IF(Table5[[#This Row],[hum]]&gt;=0.3,"High Humid"))</f>
        <v>High Humid</v>
      </c>
      <c r="P388">
        <v>0.32840000000000003</v>
      </c>
      <c r="Q388">
        <v>15</v>
      </c>
      <c r="R388">
        <v>32</v>
      </c>
      <c r="S388">
        <v>47</v>
      </c>
    </row>
    <row r="389" spans="1:19" x14ac:dyDescent="0.25">
      <c r="A389">
        <v>990</v>
      </c>
      <c r="B389" s="1">
        <v>40587</v>
      </c>
      <c r="C389">
        <v>1</v>
      </c>
      <c r="D389">
        <v>0</v>
      </c>
      <c r="E389">
        <v>2</v>
      </c>
      <c r="F389">
        <v>21</v>
      </c>
      <c r="G389" t="b">
        <v>0</v>
      </c>
      <c r="H389">
        <v>0</v>
      </c>
      <c r="I389" t="str">
        <f>CHOOSE(H389+1,"Monday","Tuesday","Wednesday","Thursday","Friday","Saturday","Sunday")</f>
        <v>Monday</v>
      </c>
      <c r="J389">
        <v>1</v>
      </c>
      <c r="K389">
        <v>0.4</v>
      </c>
      <c r="L389" t="str">
        <f>IF(Table5[[#This Row],[temp]]&lt;24,"Cold","Hot")</f>
        <v>Cold</v>
      </c>
      <c r="M389">
        <v>0.40910000000000002</v>
      </c>
      <c r="N389">
        <v>0.35</v>
      </c>
      <c r="O389" t="str">
        <f>IF(Table5[[#This Row],[hum]]&lt;0.3,"Humid",IF(Table5[[#This Row],[hum]]&gt;=0.3,"High Humid"))</f>
        <v>High Humid</v>
      </c>
      <c r="P389">
        <v>0.35820000000000002</v>
      </c>
      <c r="Q389">
        <v>6</v>
      </c>
      <c r="R389">
        <v>45</v>
      </c>
      <c r="S389">
        <v>51</v>
      </c>
    </row>
    <row r="390" spans="1:19" x14ac:dyDescent="0.25">
      <c r="A390">
        <v>991</v>
      </c>
      <c r="B390" s="1">
        <v>40587</v>
      </c>
      <c r="C390">
        <v>1</v>
      </c>
      <c r="D390">
        <v>0</v>
      </c>
      <c r="E390">
        <v>2</v>
      </c>
      <c r="F390">
        <v>22</v>
      </c>
      <c r="G390" t="b">
        <v>0</v>
      </c>
      <c r="H390">
        <v>0</v>
      </c>
      <c r="I390" t="str">
        <f>CHOOSE(H390+1,"Monday","Tuesday","Wednesday","Thursday","Friday","Saturday","Sunday")</f>
        <v>Monday</v>
      </c>
      <c r="J390">
        <v>1</v>
      </c>
      <c r="K390">
        <v>0.4</v>
      </c>
      <c r="L390" t="str">
        <f>IF(Table5[[#This Row],[temp]]&lt;24,"Cold","Hot")</f>
        <v>Cold</v>
      </c>
      <c r="M390">
        <v>0.40910000000000002</v>
      </c>
      <c r="N390">
        <v>0.35</v>
      </c>
      <c r="O390" t="str">
        <f>IF(Table5[[#This Row],[hum]]&lt;0.3,"Humid",IF(Table5[[#This Row],[hum]]&gt;=0.3,"High Humid"))</f>
        <v>High Humid</v>
      </c>
      <c r="P390">
        <v>0.29849999999999999</v>
      </c>
      <c r="Q390">
        <v>5</v>
      </c>
      <c r="R390">
        <v>31</v>
      </c>
      <c r="S390">
        <v>36</v>
      </c>
    </row>
    <row r="391" spans="1:19" x14ac:dyDescent="0.25">
      <c r="A391">
        <v>992</v>
      </c>
      <c r="B391" s="1">
        <v>40587</v>
      </c>
      <c r="C391">
        <v>1</v>
      </c>
      <c r="D391">
        <v>0</v>
      </c>
      <c r="E391">
        <v>2</v>
      </c>
      <c r="F391">
        <v>23</v>
      </c>
      <c r="G391" t="b">
        <v>0</v>
      </c>
      <c r="H391">
        <v>0</v>
      </c>
      <c r="I391" t="str">
        <f>CHOOSE(H391+1,"Monday","Tuesday","Wednesday","Thursday","Friday","Saturday","Sunday")</f>
        <v>Monday</v>
      </c>
      <c r="J391">
        <v>1</v>
      </c>
      <c r="K391">
        <v>0.4</v>
      </c>
      <c r="L391" t="str">
        <f>IF(Table5[[#This Row],[temp]]&lt;24,"Cold","Hot")</f>
        <v>Cold</v>
      </c>
      <c r="M391">
        <v>0.40910000000000002</v>
      </c>
      <c r="N391">
        <v>0.35</v>
      </c>
      <c r="O391" t="str">
        <f>IF(Table5[[#This Row],[hum]]&lt;0.3,"Humid",IF(Table5[[#This Row],[hum]]&gt;=0.3,"High Humid"))</f>
        <v>High Humid</v>
      </c>
      <c r="P391">
        <v>0.35820000000000002</v>
      </c>
      <c r="Q391">
        <v>3</v>
      </c>
      <c r="R391">
        <v>27</v>
      </c>
      <c r="S391">
        <v>30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bhujade</dc:creator>
  <cp:lastModifiedBy>Arvind bhujade</cp:lastModifiedBy>
  <dcterms:created xsi:type="dcterms:W3CDTF">2026-07-24T17:51:08Z</dcterms:created>
  <dcterms:modified xsi:type="dcterms:W3CDTF">2026-07-24T17:52:28Z</dcterms:modified>
</cp:coreProperties>
</file>