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https://d.docs.live.net/a04e64ecad6baa87/Desktop/my project/"/>
    </mc:Choice>
  </mc:AlternateContent>
  <xr:revisionPtr revIDLastSave="0" documentId="8_{84FF4516-7269-4407-B063-22C279972954}" xr6:coauthVersionLast="47" xr6:coauthVersionMax="47" xr10:uidLastSave="{00000000-0000-0000-0000-000000000000}"/>
  <bookViews>
    <workbookView xWindow="-120" yWindow="-120" windowWidth="20730" windowHeight="11040" xr2:uid="{CEF93912-8B1B-4D91-AAD6-74D1EA7FDF6A}"/>
  </bookViews>
  <sheets>
    <sheet name="🏍️Final DashBoard🏍️" sheetId="1" r:id="rId1"/>
  </sheets>
  <externalReferences>
    <externalReference r:id="rId2"/>
    <externalReference r:id="rId3"/>
  </externalReferences>
  <definedNames>
    <definedName name="Slicer_HUMIDITY">#N/A</definedName>
    <definedName name="Slicer_Temperature">#N/A</definedName>
    <definedName name="Slicer_Week_by_Days">#N/A</definedName>
    <definedName name="Slicer_windspeed">#N/A</definedName>
  </definedNames>
  <calcPr calcId="191029"/>
  <extLst>
    <ext xmlns:x14="http://schemas.microsoft.com/office/spreadsheetml/2009/9/main" uri="{876F7934-8845-4945-9796-88D515C7AA90}">
      <x14:pivotCaches>
        <pivotCache cacheId="0" r:id="rId4"/>
      </x14:pivotCaches>
    </ex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1" l="1"/>
  <c r="G7" i="1"/>
  <c r="K7" i="1"/>
  <c r="O7" i="1"/>
  <c r="C10" i="1"/>
  <c r="G10" i="1"/>
  <c r="K10" i="1"/>
  <c r="O10" i="1"/>
</calcChain>
</file>

<file path=xl/sharedStrings.xml><?xml version="1.0" encoding="utf-8"?>
<sst xmlns="http://schemas.openxmlformats.org/spreadsheetml/2006/main" count="10" uniqueCount="10">
  <si>
    <t>Std Dev (Rides)</t>
  </si>
  <si>
    <t>Temp &lt;-&gt; Demand Corr.</t>
  </si>
  <si>
    <t>Busiest Weekday</t>
  </si>
  <si>
    <t>Peak Hour</t>
  </si>
  <si>
    <t>Casual Rider</t>
  </si>
  <si>
    <t>Registered Rider</t>
  </si>
  <si>
    <t>Avg Rides / Hour</t>
  </si>
  <si>
    <t>Total Rides</t>
  </si>
  <si>
    <t>January 2011 · Live formulas linked to Data &amp; Analysis sheets · Use the filter dropdown to explore by weekday</t>
  </si>
  <si>
    <t>BIKE SHARE DEMAND — INTERACTIVE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</si>
</sst>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2E75B6"/>
      <name val="Arial"/>
      <family val="2"/>
    </font>
    <font>
      <b/>
      <sz val="10"/>
      <color rgb="FF1F4E78"/>
      <name val="Arial"/>
      <family val="2"/>
    </font>
    <font>
      <i/>
      <sz val="11"/>
      <color rgb="FF666666"/>
      <name val="Arial"/>
      <family val="2"/>
    </font>
    <font>
      <b/>
      <sz val="20"/>
      <color rgb="FF1F4E78"/>
      <name val="Arial Black"/>
      <family val="2"/>
    </font>
    <font>
      <b/>
      <sz val="20"/>
      <color rgb="FF1F4E78"/>
      <name val="Arial"/>
      <family val="2"/>
    </font>
  </fonts>
  <fills count="2">
    <fill>
      <patternFill patternType="none"/>
    </fill>
    <fill>
      <patternFill patternType="gray125"/>
    </fill>
  </fills>
  <borders count="4">
    <border>
      <left/>
      <right/>
      <top/>
      <bottom/>
      <diagonal/>
    </border>
    <border>
      <left/>
      <right style="medium">
        <color rgb="FF1F4E78"/>
      </right>
      <top style="medium">
        <color rgb="FF1F4E78"/>
      </top>
      <bottom style="medium">
        <color rgb="FF1F4E78"/>
      </bottom>
      <diagonal/>
    </border>
    <border>
      <left/>
      <right/>
      <top style="medium">
        <color rgb="FF1F4E78"/>
      </top>
      <bottom style="medium">
        <color rgb="FF1F4E78"/>
      </bottom>
      <diagonal/>
    </border>
    <border>
      <left style="medium">
        <color rgb="FF1F4E78"/>
      </left>
      <right/>
      <top style="medium">
        <color rgb="FF1F4E78"/>
      </top>
      <bottom style="medium">
        <color rgb="FF1F4E78"/>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0" xfId="0" applyFont="1"/>
    <xf numFmtId="0" fontId="2" fillId="0" borderId="0" xfId="0" applyFont="1" applyAlignment="1">
      <alignment horizontal="center"/>
    </xf>
    <xf numFmtId="0" fontId="4" fillId="0" borderId="0" xfId="0" applyFont="1" applyAlignment="1">
      <alignment horizont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externalLink" Target="externalLinks/externalLink2.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Rider</a:t>
            </a:r>
            <a:r>
              <a:rPr lang="en-IN" baseline="0"/>
              <a:t> By Hour Of Days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714</c:v>
              </c:pt>
              <c:pt idx="1">
                <c:v>466</c:v>
              </c:pt>
              <c:pt idx="2">
                <c:v>340</c:v>
              </c:pt>
              <c:pt idx="3">
                <c:v>152</c:v>
              </c:pt>
              <c:pt idx="4">
                <c:v>70</c:v>
              </c:pt>
              <c:pt idx="5">
                <c:v>190</c:v>
              </c:pt>
              <c:pt idx="6">
                <c:v>952</c:v>
              </c:pt>
              <c:pt idx="7">
                <c:v>2786</c:v>
              </c:pt>
              <c:pt idx="8">
                <c:v>6566</c:v>
              </c:pt>
              <c:pt idx="9">
                <c:v>4352</c:v>
              </c:pt>
              <c:pt idx="10">
                <c:v>2602</c:v>
              </c:pt>
              <c:pt idx="11">
                <c:v>2910</c:v>
              </c:pt>
              <c:pt idx="12">
                <c:v>3872</c:v>
              </c:pt>
              <c:pt idx="13">
                <c:v>3908</c:v>
              </c:pt>
              <c:pt idx="14">
                <c:v>3536</c:v>
              </c:pt>
              <c:pt idx="15">
                <c:v>3868</c:v>
              </c:pt>
              <c:pt idx="16">
                <c:v>4400</c:v>
              </c:pt>
              <c:pt idx="17">
                <c:v>6966</c:v>
              </c:pt>
              <c:pt idx="18">
                <c:v>6164</c:v>
              </c:pt>
              <c:pt idx="19">
                <c:v>4426</c:v>
              </c:pt>
              <c:pt idx="20">
                <c:v>2934</c:v>
              </c:pt>
              <c:pt idx="21">
                <c:v>2150</c:v>
              </c:pt>
              <c:pt idx="22">
                <c:v>1676</c:v>
              </c:pt>
              <c:pt idx="23">
                <c:v>1042</c:v>
              </c:pt>
            </c:numLit>
          </c:val>
          <c:smooth val="0"/>
          <c:extLst>
            <c:ext xmlns:c16="http://schemas.microsoft.com/office/drawing/2014/chart" uri="{C3380CC4-5D6E-409C-BE32-E72D297353CC}">
              <c16:uniqueId val="{00000000-8131-4A8A-BA05-954E28A5E486}"/>
            </c:ext>
          </c:extLst>
        </c:ser>
        <c:dLbls>
          <c:showLegendKey val="0"/>
          <c:showVal val="0"/>
          <c:showCatName val="0"/>
          <c:showSerName val="0"/>
          <c:showPercent val="0"/>
          <c:showBubbleSize val="0"/>
        </c:dLbls>
        <c:marker val="1"/>
        <c:smooth val="0"/>
        <c:axId val="458747968"/>
        <c:axId val="458767104"/>
      </c:lineChart>
      <c:catAx>
        <c:axId val="45874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67104"/>
        <c:crosses val="autoZero"/>
        <c:auto val="1"/>
        <c:lblAlgn val="ctr"/>
        <c:lblOffset val="100"/>
        <c:noMultiLvlLbl val="0"/>
      </c:catAx>
      <c:valAx>
        <c:axId val="45876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4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Total Rider By Weekdays</a:t>
            </a:r>
          </a:p>
        </c:rich>
      </c:tx>
      <c:layout>
        <c:manualLayout>
          <c:xMode val="edge"/>
          <c:yMode val="edge"/>
          <c:x val="0.28881233595800526"/>
          <c:y val="6.379410906969962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8040</c:v>
              </c:pt>
              <c:pt idx="1">
                <c:v>9942</c:v>
              </c:pt>
              <c:pt idx="2">
                <c:v>10976</c:v>
              </c:pt>
              <c:pt idx="3">
                <c:v>9836</c:v>
              </c:pt>
              <c:pt idx="4">
                <c:v>10740</c:v>
              </c:pt>
              <c:pt idx="5">
                <c:v>10090</c:v>
              </c:pt>
              <c:pt idx="6">
                <c:v>7418</c:v>
              </c:pt>
            </c:numLit>
          </c:val>
          <c:extLst>
            <c:ext xmlns:c16="http://schemas.microsoft.com/office/drawing/2014/chart" uri="{C3380CC4-5D6E-409C-BE32-E72D297353CC}">
              <c16:uniqueId val="{00000000-FEC1-470A-9F04-0B4724AF2EAD}"/>
            </c:ext>
          </c:extLst>
        </c:ser>
        <c:dLbls>
          <c:showLegendKey val="0"/>
          <c:showVal val="1"/>
          <c:showCatName val="0"/>
          <c:showSerName val="0"/>
          <c:showPercent val="0"/>
          <c:showBubbleSize val="0"/>
        </c:dLbls>
        <c:gapWidth val="79"/>
        <c:shape val="box"/>
        <c:axId val="823703200"/>
        <c:axId val="823709440"/>
        <c:axId val="0"/>
      </c:bar3DChart>
      <c:catAx>
        <c:axId val="823703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23709440"/>
        <c:crosses val="autoZero"/>
        <c:auto val="1"/>
        <c:lblAlgn val="ctr"/>
        <c:lblOffset val="100"/>
        <c:noMultiLvlLbl val="0"/>
      </c:catAx>
      <c:valAx>
        <c:axId val="823709440"/>
        <c:scaling>
          <c:orientation val="minMax"/>
        </c:scaling>
        <c:delete val="1"/>
        <c:axPos val="l"/>
        <c:numFmt formatCode="General" sourceLinked="1"/>
        <c:majorTickMark val="none"/>
        <c:minorTickMark val="none"/>
        <c:tickLblPos val="nextTo"/>
        <c:crossAx val="82370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Rider</a:t>
            </a:r>
            <a:r>
              <a:rPr lang="en-US" baseline="0"/>
              <a:t> By Temp. &amp; Humidity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317500" algn="ctr" rotWithShape="0">
              <a:prstClr val="black">
                <a:alpha val="25000"/>
              </a:prstClr>
            </a:outerShdw>
          </a:effectLst>
        </c:spPr>
      </c:pivotFmt>
      <c:pivotFmt>
        <c:idx val="2"/>
        <c:spPr>
          <a:solidFill>
            <a:schemeClr val="accent5"/>
          </a:solidFill>
          <a:ln>
            <a:noFill/>
          </a:ln>
          <a:effectLst>
            <a:outerShdw blurRad="317500" algn="ctr" rotWithShape="0">
              <a:prstClr val="black">
                <a:alpha val="25000"/>
              </a:prstClr>
            </a:outerShdw>
          </a:effectLst>
        </c:spPr>
      </c:pivotFmt>
      <c:pivotFmt>
        <c:idx val="3"/>
        <c:spPr>
          <a:solidFill>
            <a:schemeClr val="accent5"/>
          </a:solidFill>
          <a:ln>
            <a:noFill/>
          </a:ln>
          <a:effectLst>
            <a:outerShdw blurRad="317500" algn="ctr" rotWithShape="0">
              <a:prstClr val="black">
                <a:alpha val="25000"/>
              </a:prstClr>
            </a:outerShdw>
          </a:effectLst>
        </c:spPr>
      </c:pivotFmt>
      <c:pivotFmt>
        <c:idx val="4"/>
        <c:spPr>
          <a:solidFill>
            <a:schemeClr val="accent5"/>
          </a:solidFill>
          <a:ln>
            <a:noFill/>
          </a:ln>
          <a:effectLst>
            <a:outerShdw blurRad="317500" algn="ctr" rotWithShape="0">
              <a:prstClr val="black">
                <a:alpha val="25000"/>
              </a:prstClr>
            </a:outerShdw>
          </a:effectLst>
        </c:spPr>
      </c:pivotFmt>
      <c:pivotFmt>
        <c:idx val="5"/>
        <c:spPr>
          <a:solidFill>
            <a:schemeClr val="accent5"/>
          </a:solidFill>
          <a:ln>
            <a:noFill/>
          </a:ln>
          <a:effectLst>
            <a:outerShdw blurRad="317500" algn="ctr" rotWithShape="0">
              <a:prstClr val="black">
                <a:alpha val="25000"/>
              </a:prstClr>
            </a:outerShdw>
          </a:effectLst>
        </c:spPr>
      </c:pivotFmt>
      <c:pivotFmt>
        <c:idx val="6"/>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olidFill>
          <a:ln>
            <a:noFill/>
          </a:ln>
          <a:effectLst>
            <a:outerShdw blurRad="317500" algn="ctr" rotWithShape="0">
              <a:prstClr val="black">
                <a:alpha val="25000"/>
              </a:prstClr>
            </a:outerShdw>
          </a:effectLst>
        </c:spPr>
      </c:pivotFmt>
      <c:pivotFmt>
        <c:idx val="8"/>
        <c:spPr>
          <a:solidFill>
            <a:schemeClr val="accent5"/>
          </a:solidFill>
          <a:ln>
            <a:noFill/>
          </a:ln>
          <a:effectLst>
            <a:outerShdw blurRad="317500" algn="ctr" rotWithShape="0">
              <a:prstClr val="black">
                <a:alpha val="25000"/>
              </a:prstClr>
            </a:outerShdw>
          </a:effectLst>
        </c:spPr>
      </c:pivotFmt>
      <c:pivotFmt>
        <c:idx val="9"/>
        <c:spPr>
          <a:solidFill>
            <a:schemeClr val="accent5"/>
          </a:solidFill>
          <a:ln>
            <a:noFill/>
          </a:ln>
          <a:effectLst>
            <a:outerShdw blurRad="317500" algn="ctr" rotWithShape="0">
              <a:prstClr val="black">
                <a:alpha val="25000"/>
              </a:prstClr>
            </a:outerShdw>
          </a:effectLst>
        </c:spPr>
      </c:pivotFmt>
      <c:pivotFmt>
        <c:idx val="10"/>
        <c:spPr>
          <a:solidFill>
            <a:schemeClr val="accent5"/>
          </a:solidFill>
          <a:ln>
            <a:noFill/>
          </a:ln>
          <a:effectLst>
            <a:outerShdw blurRad="317500" algn="ctr" rotWithShape="0">
              <a:prstClr val="black">
                <a:alpha val="25000"/>
              </a:prstClr>
            </a:outerShdw>
          </a:effectLst>
        </c:spPr>
      </c:pivotFmt>
      <c:pivotFmt>
        <c:idx val="11"/>
        <c:spPr>
          <a:solidFill>
            <a:schemeClr val="accent5"/>
          </a:solidFill>
          <a:ln>
            <a:noFill/>
          </a:ln>
          <a:effectLst>
            <a:outerShdw blurRad="317500" algn="ctr" rotWithShape="0">
              <a:prstClr val="black">
                <a:alpha val="25000"/>
              </a:prstClr>
            </a:outerShdw>
          </a:effectLst>
        </c:spPr>
      </c:pivotFmt>
      <c:pivotFmt>
        <c:idx val="12"/>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5">
              <a:shade val="53000"/>
            </a:schemeClr>
          </a:solidFill>
          <a:ln>
            <a:noFill/>
          </a:ln>
          <a:effectLst>
            <a:outerShdw blurRad="317500" algn="ctr" rotWithShape="0">
              <a:prstClr val="black">
                <a:alpha val="25000"/>
              </a:prstClr>
            </a:outerShdw>
          </a:effectLst>
        </c:spPr>
      </c:pivotFmt>
      <c:pivotFmt>
        <c:idx val="14"/>
        <c:spPr>
          <a:solidFill>
            <a:schemeClr val="accent5">
              <a:shade val="76000"/>
            </a:schemeClr>
          </a:solidFill>
          <a:ln>
            <a:noFill/>
          </a:ln>
          <a:effectLst>
            <a:outerShdw blurRad="317500" algn="ctr" rotWithShape="0">
              <a:prstClr val="black">
                <a:alpha val="25000"/>
              </a:prstClr>
            </a:outerShdw>
          </a:effectLst>
        </c:spPr>
      </c:pivotFmt>
      <c:pivotFmt>
        <c:idx val="15"/>
        <c:spPr>
          <a:solidFill>
            <a:schemeClr val="accent5"/>
          </a:solidFill>
          <a:ln>
            <a:noFill/>
          </a:ln>
          <a:effectLst>
            <a:outerShdw blurRad="317500" algn="ctr" rotWithShape="0">
              <a:prstClr val="black">
                <a:alpha val="25000"/>
              </a:prstClr>
            </a:outerShdw>
          </a:effectLst>
        </c:spPr>
      </c:pivotFmt>
      <c:pivotFmt>
        <c:idx val="16"/>
        <c:spPr>
          <a:solidFill>
            <a:schemeClr val="accent5">
              <a:tint val="77000"/>
            </a:schemeClr>
          </a:solidFill>
          <a:ln>
            <a:noFill/>
          </a:ln>
          <a:effectLst>
            <a:outerShdw blurRad="317500" algn="ctr" rotWithShape="0">
              <a:prstClr val="black">
                <a:alpha val="25000"/>
              </a:prstClr>
            </a:outerShdw>
          </a:effectLst>
        </c:spPr>
      </c:pivotFmt>
      <c:pivotFmt>
        <c:idx val="17"/>
        <c:spPr>
          <a:solidFill>
            <a:schemeClr val="accent5">
              <a:tint val="54000"/>
            </a:schemeClr>
          </a:solidFill>
          <a:ln>
            <a:noFill/>
          </a:ln>
          <a:effectLst>
            <a:outerShdw blurRad="317500" algn="ctr" rotWithShape="0">
              <a:prstClr val="black">
                <a:alpha val="25000"/>
              </a:prstClr>
            </a:outerShdw>
          </a:effectLst>
        </c:spPr>
      </c:pivotFmt>
    </c:pivotFmts>
    <c:plotArea>
      <c:layout/>
      <c:pieChart>
        <c:varyColors val="1"/>
        <c:ser>
          <c:idx val="0"/>
          <c:order val="0"/>
          <c:tx>
            <c:v>Total</c:v>
          </c:tx>
          <c:dPt>
            <c:idx val="0"/>
            <c:bubble3D val="0"/>
            <c:spPr>
              <a:solidFill>
                <a:schemeClr val="accent5">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880-4F85-8FC0-5359FD9C9869}"/>
              </c:ext>
            </c:extLst>
          </c:dPt>
          <c:dPt>
            <c:idx val="1"/>
            <c:bubble3D val="0"/>
            <c:spPr>
              <a:solidFill>
                <a:schemeClr val="accent5">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880-4F85-8FC0-5359FD9C9869}"/>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880-4F85-8FC0-5359FD9C9869}"/>
              </c:ext>
            </c:extLst>
          </c:dPt>
          <c:dPt>
            <c:idx val="3"/>
            <c:bubble3D val="0"/>
            <c:spPr>
              <a:solidFill>
                <a:schemeClr val="accent5">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880-4F85-8FC0-5359FD9C9869}"/>
              </c:ext>
            </c:extLst>
          </c:dPt>
          <c:dPt>
            <c:idx val="4"/>
            <c:bubble3D val="0"/>
            <c:spPr>
              <a:solidFill>
                <a:schemeClr val="accent5">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880-4F85-8FC0-5359FD9C98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5"/>
              <c:pt idx="0">
                <c:v>high humid Cold</c:v>
              </c:pt>
              <c:pt idx="1">
                <c:v>high humid Hot</c:v>
              </c:pt>
              <c:pt idx="2">
                <c:v>humid Cold</c:v>
              </c:pt>
              <c:pt idx="3">
                <c:v>low humid Cold</c:v>
              </c:pt>
              <c:pt idx="4">
                <c:v>low humid Hot</c:v>
              </c:pt>
            </c:strLit>
          </c:cat>
          <c:val>
            <c:numLit>
              <c:formatCode>General</c:formatCode>
              <c:ptCount val="5"/>
              <c:pt idx="0">
                <c:v>4852</c:v>
              </c:pt>
              <c:pt idx="1">
                <c:v>1328</c:v>
              </c:pt>
              <c:pt idx="2">
                <c:v>1122</c:v>
              </c:pt>
              <c:pt idx="3">
                <c:v>45370</c:v>
              </c:pt>
              <c:pt idx="4">
                <c:v>14370</c:v>
              </c:pt>
            </c:numLit>
          </c:val>
          <c:extLst>
            <c:ext xmlns:c16="http://schemas.microsoft.com/office/drawing/2014/chart" uri="{C3380CC4-5D6E-409C-BE32-E72D297353CC}">
              <c16:uniqueId val="{0000000A-2880-4F85-8FC0-5359FD9C986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Rider By Casual, Registered &amp; 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Sum of casual</c:v>
          </c:tx>
          <c:spPr>
            <a:solidFill>
              <a:schemeClr val="accent1">
                <a:shade val="65000"/>
              </a:schemeClr>
            </a:solidFill>
            <a:ln>
              <a:noFill/>
            </a:ln>
            <a:effectLst/>
            <a:sp3d/>
          </c:spPr>
          <c:invertIfNegative val="0"/>
          <c:cat>
            <c:strLit>
              <c:ptCount val="1"/>
              <c:pt idx="0">
                <c:v>Total</c:v>
              </c:pt>
            </c:strLit>
          </c:cat>
          <c:val>
            <c:numLit>
              <c:formatCode>General</c:formatCode>
              <c:ptCount val="1"/>
              <c:pt idx="0">
                <c:v>5376</c:v>
              </c:pt>
            </c:numLit>
          </c:val>
          <c:extLst>
            <c:ext xmlns:c16="http://schemas.microsoft.com/office/drawing/2014/chart" uri="{C3380CC4-5D6E-409C-BE32-E72D297353CC}">
              <c16:uniqueId val="{00000000-74C9-479B-94BA-867A9DD2F46E}"/>
            </c:ext>
          </c:extLst>
        </c:ser>
        <c:ser>
          <c:idx val="1"/>
          <c:order val="1"/>
          <c:tx>
            <c:v>Sum of registered</c:v>
          </c:tx>
          <c:spPr>
            <a:solidFill>
              <a:schemeClr val="accent1"/>
            </a:solidFill>
            <a:ln>
              <a:noFill/>
            </a:ln>
            <a:effectLst/>
            <a:sp3d/>
          </c:spPr>
          <c:invertIfNegative val="0"/>
          <c:cat>
            <c:strLit>
              <c:ptCount val="1"/>
              <c:pt idx="0">
                <c:v>Total</c:v>
              </c:pt>
            </c:strLit>
          </c:cat>
          <c:val>
            <c:numLit>
              <c:formatCode>General</c:formatCode>
              <c:ptCount val="1"/>
              <c:pt idx="0">
                <c:v>61666</c:v>
              </c:pt>
            </c:numLit>
          </c:val>
          <c:extLst>
            <c:ext xmlns:c16="http://schemas.microsoft.com/office/drawing/2014/chart" uri="{C3380CC4-5D6E-409C-BE32-E72D297353CC}">
              <c16:uniqueId val="{00000001-74C9-479B-94BA-867A9DD2F46E}"/>
            </c:ext>
          </c:extLst>
        </c:ser>
        <c:ser>
          <c:idx val="2"/>
          <c:order val="2"/>
          <c:tx>
            <c:v>Sum of cnt</c:v>
          </c:tx>
          <c:spPr>
            <a:solidFill>
              <a:schemeClr val="accent1">
                <a:tint val="65000"/>
              </a:schemeClr>
            </a:solidFill>
            <a:ln>
              <a:noFill/>
            </a:ln>
            <a:effectLst/>
            <a:sp3d/>
          </c:spPr>
          <c:invertIfNegative val="0"/>
          <c:cat>
            <c:strLit>
              <c:ptCount val="1"/>
              <c:pt idx="0">
                <c:v>Total</c:v>
              </c:pt>
            </c:strLit>
          </c:cat>
          <c:val>
            <c:numLit>
              <c:formatCode>General</c:formatCode>
              <c:ptCount val="1"/>
              <c:pt idx="0">
                <c:v>67042</c:v>
              </c:pt>
            </c:numLit>
          </c:val>
          <c:extLst>
            <c:ext xmlns:c16="http://schemas.microsoft.com/office/drawing/2014/chart" uri="{C3380CC4-5D6E-409C-BE32-E72D297353CC}">
              <c16:uniqueId val="{00000002-74C9-479B-94BA-867A9DD2F46E}"/>
            </c:ext>
          </c:extLst>
        </c:ser>
        <c:dLbls>
          <c:showLegendKey val="0"/>
          <c:showVal val="0"/>
          <c:showCatName val="0"/>
          <c:showSerName val="0"/>
          <c:showPercent val="0"/>
          <c:showBubbleSize val="0"/>
        </c:dLbls>
        <c:gapWidth val="150"/>
        <c:shape val="box"/>
        <c:axId val="823699456"/>
        <c:axId val="823693216"/>
        <c:axId val="0"/>
      </c:bar3DChart>
      <c:catAx>
        <c:axId val="823699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693216"/>
        <c:crosses val="autoZero"/>
        <c:auto val="1"/>
        <c:lblAlgn val="ctr"/>
        <c:lblOffset val="100"/>
        <c:noMultiLvlLbl val="0"/>
      </c:catAx>
      <c:valAx>
        <c:axId val="82369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69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0"/>
    <c:pivotFmts>
      <c:pivotFmt>
        <c:idx val="0"/>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casual</c:v>
          </c:tx>
          <c:spPr>
            <a:solidFill>
              <a:schemeClr val="accent5">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
              <c:pt idx="0">
                <c:v>Total</c:v>
              </c:pt>
            </c:strLit>
          </c:cat>
          <c:val>
            <c:numLit>
              <c:formatCode>General</c:formatCode>
              <c:ptCount val="1"/>
              <c:pt idx="0">
                <c:v>4864</c:v>
              </c:pt>
            </c:numLit>
          </c:val>
          <c:extLst>
            <c:ext xmlns:c16="http://schemas.microsoft.com/office/drawing/2014/chart" uri="{C3380CC4-5D6E-409C-BE32-E72D297353CC}">
              <c16:uniqueId val="{00000000-FAA6-413B-860C-95F456DDD9DE}"/>
            </c:ext>
          </c:extLst>
        </c:ser>
        <c:ser>
          <c:idx val="1"/>
          <c:order val="1"/>
          <c:tx>
            <c:v>Sum of registered</c:v>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
              <c:pt idx="0">
                <c:v>Total</c:v>
              </c:pt>
            </c:strLit>
          </c:cat>
          <c:val>
            <c:numLit>
              <c:formatCode>General</c:formatCode>
              <c:ptCount val="1"/>
              <c:pt idx="0">
                <c:v>54876</c:v>
              </c:pt>
            </c:numLit>
          </c:val>
          <c:extLst>
            <c:ext xmlns:c16="http://schemas.microsoft.com/office/drawing/2014/chart" uri="{C3380CC4-5D6E-409C-BE32-E72D297353CC}">
              <c16:uniqueId val="{00000001-FAA6-413B-860C-95F456DDD9DE}"/>
            </c:ext>
          </c:extLst>
        </c:ser>
        <c:ser>
          <c:idx val="2"/>
          <c:order val="2"/>
          <c:tx>
            <c:v>Sum of cnt</c:v>
          </c:tx>
          <c:spPr>
            <a:solidFill>
              <a:schemeClr val="accent5">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
              <c:pt idx="0">
                <c:v>Total</c:v>
              </c:pt>
            </c:strLit>
          </c:cat>
          <c:val>
            <c:numLit>
              <c:formatCode>General</c:formatCode>
              <c:ptCount val="1"/>
              <c:pt idx="0">
                <c:v>59740</c:v>
              </c:pt>
            </c:numLit>
          </c:val>
          <c:extLst>
            <c:ext xmlns:c16="http://schemas.microsoft.com/office/drawing/2014/chart" uri="{C3380CC4-5D6E-409C-BE32-E72D297353CC}">
              <c16:uniqueId val="{00000002-FAA6-413B-860C-95F456DDD9DE}"/>
            </c:ext>
          </c:extLst>
        </c:ser>
        <c:dLbls>
          <c:dLblPos val="outEnd"/>
          <c:showLegendKey val="0"/>
          <c:showVal val="1"/>
          <c:showCatName val="0"/>
          <c:showSerName val="0"/>
          <c:showPercent val="0"/>
          <c:showBubbleSize val="0"/>
        </c:dLbls>
        <c:gapWidth val="444"/>
        <c:overlap val="-90"/>
        <c:axId val="2117235744"/>
        <c:axId val="2117239904"/>
      </c:barChart>
      <c:catAx>
        <c:axId val="2117235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17239904"/>
        <c:crosses val="autoZero"/>
        <c:auto val="1"/>
        <c:lblAlgn val="ctr"/>
        <c:lblOffset val="100"/>
        <c:noMultiLvlLbl val="0"/>
      </c:catAx>
      <c:valAx>
        <c:axId val="2117239904"/>
        <c:scaling>
          <c:orientation val="minMax"/>
        </c:scaling>
        <c:delete val="1"/>
        <c:axPos val="l"/>
        <c:numFmt formatCode="General" sourceLinked="1"/>
        <c:majorTickMark val="none"/>
        <c:minorTickMark val="none"/>
        <c:tickLblPos val="nextTo"/>
        <c:crossAx val="2117235744"/>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Sum of registered</c:v>
          </c:tx>
          <c:spPr>
            <a:solidFill>
              <a:schemeClr val="accent1">
                <a:shade val="76000"/>
              </a:schemeClr>
            </a:solidFill>
            <a:ln>
              <a:noFill/>
            </a:ln>
            <a:effectLst/>
            <a:sp3d/>
          </c:spPr>
          <c:invertIfNegative val="0"/>
          <c:cat>
            <c:strLit>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Lit>
          </c:cat>
          <c:val>
            <c:numLit>
              <c:formatCode>General</c:formatCode>
              <c:ptCount val="20"/>
              <c:pt idx="0">
                <c:v>6288</c:v>
              </c:pt>
              <c:pt idx="1">
                <c:v>4724</c:v>
              </c:pt>
              <c:pt idx="2">
                <c:v>4952</c:v>
              </c:pt>
              <c:pt idx="3">
                <c:v>4658</c:v>
              </c:pt>
              <c:pt idx="4">
                <c:v>6236</c:v>
              </c:pt>
              <c:pt idx="5">
                <c:v>5466</c:v>
              </c:pt>
              <c:pt idx="6">
                <c:v>4638</c:v>
              </c:pt>
              <c:pt idx="7">
                <c:v>4850</c:v>
              </c:pt>
              <c:pt idx="8">
                <c:v>4828</c:v>
              </c:pt>
              <c:pt idx="9">
                <c:v>2804</c:v>
              </c:pt>
              <c:pt idx="10">
                <c:v>4302</c:v>
              </c:pt>
              <c:pt idx="11">
                <c:v>2320</c:v>
              </c:pt>
              <c:pt idx="12">
                <c:v>1584</c:v>
              </c:pt>
              <c:pt idx="13">
                <c:v>880</c:v>
              </c:pt>
              <c:pt idx="14">
                <c:v>1244</c:v>
              </c:pt>
              <c:pt idx="15">
                <c:v>716</c:v>
              </c:pt>
              <c:pt idx="16">
                <c:v>166</c:v>
              </c:pt>
              <c:pt idx="17">
                <c:v>514</c:v>
              </c:pt>
              <c:pt idx="18">
                <c:v>128</c:v>
              </c:pt>
              <c:pt idx="19">
                <c:v>368</c:v>
              </c:pt>
            </c:numLit>
          </c:val>
          <c:extLst>
            <c:ext xmlns:c16="http://schemas.microsoft.com/office/drawing/2014/chart" uri="{C3380CC4-5D6E-409C-BE32-E72D297353CC}">
              <c16:uniqueId val="{00000000-5BAD-4CCE-960C-76A0A64A2B3B}"/>
            </c:ext>
          </c:extLst>
        </c:ser>
        <c:ser>
          <c:idx val="1"/>
          <c:order val="1"/>
          <c:tx>
            <c:v>Sum of cnt</c:v>
          </c:tx>
          <c:spPr>
            <a:solidFill>
              <a:schemeClr val="accent1">
                <a:tint val="77000"/>
              </a:schemeClr>
            </a:solidFill>
            <a:ln>
              <a:noFill/>
            </a:ln>
            <a:effectLst/>
            <a:sp3d/>
          </c:spPr>
          <c:invertIfNegative val="0"/>
          <c:cat>
            <c:strLit>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Lit>
          </c:cat>
          <c:val>
            <c:numLit>
              <c:formatCode>General</c:formatCode>
              <c:ptCount val="20"/>
              <c:pt idx="0">
                <c:v>6792</c:v>
              </c:pt>
              <c:pt idx="1">
                <c:v>4956</c:v>
              </c:pt>
              <c:pt idx="2">
                <c:v>5190</c:v>
              </c:pt>
              <c:pt idx="3">
                <c:v>4986</c:v>
              </c:pt>
              <c:pt idx="4">
                <c:v>6738</c:v>
              </c:pt>
              <c:pt idx="5">
                <c:v>5930</c:v>
              </c:pt>
              <c:pt idx="6">
                <c:v>5048</c:v>
              </c:pt>
              <c:pt idx="7">
                <c:v>5566</c:v>
              </c:pt>
              <c:pt idx="8">
                <c:v>5392</c:v>
              </c:pt>
              <c:pt idx="9">
                <c:v>3318</c:v>
              </c:pt>
              <c:pt idx="10">
                <c:v>4620</c:v>
              </c:pt>
              <c:pt idx="11">
                <c:v>2458</c:v>
              </c:pt>
              <c:pt idx="12">
                <c:v>1712</c:v>
              </c:pt>
              <c:pt idx="13">
                <c:v>914</c:v>
              </c:pt>
              <c:pt idx="14">
                <c:v>1340</c:v>
              </c:pt>
              <c:pt idx="15">
                <c:v>808</c:v>
              </c:pt>
              <c:pt idx="16">
                <c:v>190</c:v>
              </c:pt>
              <c:pt idx="17">
                <c:v>534</c:v>
              </c:pt>
              <c:pt idx="18">
                <c:v>138</c:v>
              </c:pt>
              <c:pt idx="19">
                <c:v>412</c:v>
              </c:pt>
            </c:numLit>
          </c:val>
          <c:extLst>
            <c:ext xmlns:c16="http://schemas.microsoft.com/office/drawing/2014/chart" uri="{C3380CC4-5D6E-409C-BE32-E72D297353CC}">
              <c16:uniqueId val="{00000001-5BAD-4CCE-960C-76A0A64A2B3B}"/>
            </c:ext>
          </c:extLst>
        </c:ser>
        <c:dLbls>
          <c:showLegendKey val="0"/>
          <c:showVal val="0"/>
          <c:showCatName val="0"/>
          <c:showSerName val="0"/>
          <c:showPercent val="0"/>
          <c:showBubbleSize val="0"/>
        </c:dLbls>
        <c:gapWidth val="150"/>
        <c:shape val="box"/>
        <c:axId val="2117221184"/>
        <c:axId val="2117234496"/>
        <c:axId val="0"/>
      </c:bar3DChart>
      <c:catAx>
        <c:axId val="2117221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234496"/>
        <c:crosses val="autoZero"/>
        <c:auto val="1"/>
        <c:lblAlgn val="ctr"/>
        <c:lblOffset val="100"/>
        <c:noMultiLvlLbl val="0"/>
      </c:catAx>
      <c:valAx>
        <c:axId val="211723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22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9525</xdr:colOff>
      <xdr:row>12</xdr:row>
      <xdr:rowOff>9525</xdr:rowOff>
    </xdr:from>
    <xdr:to>
      <xdr:col>9</xdr:col>
      <xdr:colOff>314325</xdr:colOff>
      <xdr:row>26</xdr:row>
      <xdr:rowOff>85725</xdr:rowOff>
    </xdr:to>
    <xdr:graphicFrame macro="">
      <xdr:nvGraphicFramePr>
        <xdr:cNvPr id="2" name="Chart 1">
          <a:extLst>
            <a:ext uri="{FF2B5EF4-FFF2-40B4-BE49-F238E27FC236}">
              <a16:creationId xmlns:a16="http://schemas.microsoft.com/office/drawing/2014/main" id="{69AA4A2B-EFE2-47CA-B7FA-FF770F152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371475</xdr:colOff>
      <xdr:row>12</xdr:row>
      <xdr:rowOff>19050</xdr:rowOff>
    </xdr:from>
    <xdr:to>
      <xdr:col>16</xdr:col>
      <xdr:colOff>590550</xdr:colOff>
      <xdr:row>26</xdr:row>
      <xdr:rowOff>95250</xdr:rowOff>
    </xdr:to>
    <xdr:graphicFrame macro="">
      <xdr:nvGraphicFramePr>
        <xdr:cNvPr id="3" name="Chart 2">
          <a:extLst>
            <a:ext uri="{FF2B5EF4-FFF2-40B4-BE49-F238E27FC236}">
              <a16:creationId xmlns:a16="http://schemas.microsoft.com/office/drawing/2014/main" id="{CF024CD0-2EDD-455A-91C2-1B2422267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17</xdr:col>
      <xdr:colOff>266700</xdr:colOff>
      <xdr:row>12</xdr:row>
      <xdr:rowOff>104775</xdr:rowOff>
    </xdr:from>
    <xdr:ext cx="1828800" cy="2152650"/>
    <mc:AlternateContent xmlns:mc="http://schemas.openxmlformats.org/markup-compatibility/2006">
      <mc:Choice xmlns:a14="http://schemas.microsoft.com/office/drawing/2010/main" Requires="a14">
        <xdr:graphicFrame macro="">
          <xdr:nvGraphicFramePr>
            <xdr:cNvPr id="4" name="Week by Days 1">
              <a:extLst>
                <a:ext uri="{FF2B5EF4-FFF2-40B4-BE49-F238E27FC236}">
                  <a16:creationId xmlns:a16="http://schemas.microsoft.com/office/drawing/2014/main" id="{8736436A-B4E1-4B1E-BB34-145458513E2A}"/>
                </a:ext>
              </a:extLst>
            </xdr:cNvPr>
            <xdr:cNvGraphicFramePr/>
          </xdr:nvGraphicFramePr>
          <xdr:xfrm>
            <a:off x="0" y="0"/>
            <a:ext cx="0" cy="0"/>
          </xdr:xfrm>
          <a:graphic>
            <a:graphicData uri="http://schemas.microsoft.com/office/drawing/2010/slicer">
              <sle:slicer xmlns:sle="http://schemas.microsoft.com/office/drawing/2010/slicer" name="Week by Days 1"/>
            </a:graphicData>
          </a:graphic>
        </xdr:graphicFrame>
      </mc:Choice>
      <mc:Fallback>
        <xdr:sp macro="" textlink="">
          <xdr:nvSpPr>
            <xdr:cNvPr id="0" name=""/>
            <xdr:cNvSpPr>
              <a:spLocks noTextEdit="1"/>
            </xdr:cNvSpPr>
          </xdr:nvSpPr>
          <xdr:spPr>
            <a:xfrm>
              <a:off x="10715625" y="2771775"/>
              <a:ext cx="1828800" cy="2152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xdr:col>
      <xdr:colOff>0</xdr:colOff>
      <xdr:row>28</xdr:row>
      <xdr:rowOff>0</xdr:rowOff>
    </xdr:from>
    <xdr:to>
      <xdr:col>9</xdr:col>
      <xdr:colOff>304800</xdr:colOff>
      <xdr:row>42</xdr:row>
      <xdr:rowOff>76200</xdr:rowOff>
    </xdr:to>
    <xdr:graphicFrame macro="">
      <xdr:nvGraphicFramePr>
        <xdr:cNvPr id="5" name="Chart 4">
          <a:extLst>
            <a:ext uri="{FF2B5EF4-FFF2-40B4-BE49-F238E27FC236}">
              <a16:creationId xmlns:a16="http://schemas.microsoft.com/office/drawing/2014/main" id="{63676EBE-A9CF-4062-94F5-41FB3F1F0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17</xdr:col>
      <xdr:colOff>266700</xdr:colOff>
      <xdr:row>28</xdr:row>
      <xdr:rowOff>38100</xdr:rowOff>
    </xdr:from>
    <xdr:ext cx="1028700" cy="828675"/>
    <mc:AlternateContent xmlns:mc="http://schemas.openxmlformats.org/markup-compatibility/2006">
      <mc:Choice xmlns:a14="http://schemas.microsoft.com/office/drawing/2010/main" Requires="a14">
        <xdr:graphicFrame macro="">
          <xdr:nvGraphicFramePr>
            <xdr:cNvPr id="6" name="Temperature 1">
              <a:extLst>
                <a:ext uri="{FF2B5EF4-FFF2-40B4-BE49-F238E27FC236}">
                  <a16:creationId xmlns:a16="http://schemas.microsoft.com/office/drawing/2014/main" id="{9F5AFEC0-3E0C-482B-B369-3E088276AB58}"/>
                </a:ext>
              </a:extLst>
            </xdr:cNvPr>
            <xdr:cNvGraphicFramePr/>
          </xdr:nvGraphicFramePr>
          <xdr:xfrm>
            <a:off x="0" y="0"/>
            <a:ext cx="0" cy="0"/>
          </xdr:xfrm>
          <a:graphic>
            <a:graphicData uri="http://schemas.microsoft.com/office/drawing/2010/slicer">
              <sle:slicer xmlns:sle="http://schemas.microsoft.com/office/drawing/2010/slicer" name="Temperature 1"/>
            </a:graphicData>
          </a:graphic>
        </xdr:graphicFrame>
      </mc:Choice>
      <mc:Fallback>
        <xdr:sp macro="" textlink="">
          <xdr:nvSpPr>
            <xdr:cNvPr id="0" name=""/>
            <xdr:cNvSpPr>
              <a:spLocks noTextEdit="1"/>
            </xdr:cNvSpPr>
          </xdr:nvSpPr>
          <xdr:spPr>
            <a:xfrm>
              <a:off x="10715625" y="5753100"/>
              <a:ext cx="1028700" cy="828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10</xdr:col>
      <xdr:colOff>0</xdr:colOff>
      <xdr:row>28</xdr:row>
      <xdr:rowOff>0</xdr:rowOff>
    </xdr:from>
    <xdr:to>
      <xdr:col>17</xdr:col>
      <xdr:colOff>219075</xdr:colOff>
      <xdr:row>42</xdr:row>
      <xdr:rowOff>76200</xdr:rowOff>
    </xdr:to>
    <xdr:graphicFrame macro="">
      <xdr:nvGraphicFramePr>
        <xdr:cNvPr id="7" name="Chart 6">
          <a:extLst>
            <a:ext uri="{FF2B5EF4-FFF2-40B4-BE49-F238E27FC236}">
              <a16:creationId xmlns:a16="http://schemas.microsoft.com/office/drawing/2014/main" id="{B5947CC6-C316-4AE3-BDAF-B5820F1C2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44</xdr:row>
      <xdr:rowOff>0</xdr:rowOff>
    </xdr:from>
    <xdr:to>
      <xdr:col>10</xdr:col>
      <xdr:colOff>581026</xdr:colOff>
      <xdr:row>61</xdr:row>
      <xdr:rowOff>23813</xdr:rowOff>
    </xdr:to>
    <xdr:graphicFrame macro="">
      <xdr:nvGraphicFramePr>
        <xdr:cNvPr id="8" name="Chart 7">
          <a:extLst>
            <a:ext uri="{FF2B5EF4-FFF2-40B4-BE49-F238E27FC236}">
              <a16:creationId xmlns:a16="http://schemas.microsoft.com/office/drawing/2014/main" id="{6BC16BBE-552C-4231-A3C4-6233D2973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17</xdr:col>
      <xdr:colOff>209550</xdr:colOff>
      <xdr:row>41</xdr:row>
      <xdr:rowOff>161925</xdr:rowOff>
    </xdr:from>
    <xdr:ext cx="1781175" cy="1257300"/>
    <mc:AlternateContent xmlns:mc="http://schemas.openxmlformats.org/markup-compatibility/2006">
      <mc:Choice xmlns:a14="http://schemas.microsoft.com/office/drawing/2010/main" Requires="a14">
        <xdr:graphicFrame macro="">
          <xdr:nvGraphicFramePr>
            <xdr:cNvPr id="9" name="HUMIDITY 1">
              <a:extLst>
                <a:ext uri="{FF2B5EF4-FFF2-40B4-BE49-F238E27FC236}">
                  <a16:creationId xmlns:a16="http://schemas.microsoft.com/office/drawing/2014/main" id="{67C6B97B-D45A-488A-9EEC-579A11840473}"/>
                </a:ext>
              </a:extLst>
            </xdr:cNvPr>
            <xdr:cNvGraphicFramePr/>
          </xdr:nvGraphicFramePr>
          <xdr:xfrm>
            <a:off x="0" y="0"/>
            <a:ext cx="0" cy="0"/>
          </xdr:xfrm>
          <a:graphic>
            <a:graphicData uri="http://schemas.microsoft.com/office/drawing/2010/slicer">
              <sle:slicer xmlns:sle="http://schemas.microsoft.com/office/drawing/2010/slicer" name="HUMIDITY 1"/>
            </a:graphicData>
          </a:graphic>
        </xdr:graphicFrame>
      </mc:Choice>
      <mc:Fallback>
        <xdr:sp macro="" textlink="">
          <xdr:nvSpPr>
            <xdr:cNvPr id="0" name=""/>
            <xdr:cNvSpPr>
              <a:spLocks noTextEdit="1"/>
            </xdr:cNvSpPr>
          </xdr:nvSpPr>
          <xdr:spPr>
            <a:xfrm>
              <a:off x="10658475" y="8353425"/>
              <a:ext cx="1781175"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10</xdr:col>
      <xdr:colOff>609599</xdr:colOff>
      <xdr:row>43</xdr:row>
      <xdr:rowOff>190499</xdr:rowOff>
    </xdr:from>
    <xdr:to>
      <xdr:col>17</xdr:col>
      <xdr:colOff>76199</xdr:colOff>
      <xdr:row>60</xdr:row>
      <xdr:rowOff>180974</xdr:rowOff>
    </xdr:to>
    <xdr:graphicFrame macro="">
      <xdr:nvGraphicFramePr>
        <xdr:cNvPr id="10" name="Chart 9">
          <a:extLst>
            <a:ext uri="{FF2B5EF4-FFF2-40B4-BE49-F238E27FC236}">
              <a16:creationId xmlns:a16="http://schemas.microsoft.com/office/drawing/2014/main" id="{F14696FB-663D-48B9-B54F-6DAF326DC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17</xdr:col>
      <xdr:colOff>190500</xdr:colOff>
      <xdr:row>48</xdr:row>
      <xdr:rowOff>95250</xdr:rowOff>
    </xdr:from>
    <xdr:ext cx="1828800" cy="2524125"/>
    <mc:AlternateContent xmlns:mc="http://schemas.openxmlformats.org/markup-compatibility/2006">
      <mc:Choice xmlns:a14="http://schemas.microsoft.com/office/drawing/2010/main" Requires="a14">
        <xdr:graphicFrame macro="">
          <xdr:nvGraphicFramePr>
            <xdr:cNvPr id="11" name="windspeed 1">
              <a:extLst>
                <a:ext uri="{FF2B5EF4-FFF2-40B4-BE49-F238E27FC236}">
                  <a16:creationId xmlns:a16="http://schemas.microsoft.com/office/drawing/2014/main" id="{D69B7CA4-FDAC-4F46-8B14-17D47A14B0F2}"/>
                </a:ext>
              </a:extLst>
            </xdr:cNvPr>
            <xdr:cNvGraphicFramePr/>
          </xdr:nvGraphicFramePr>
          <xdr:xfrm>
            <a:off x="0" y="0"/>
            <a:ext cx="0" cy="0"/>
          </xdr:xfrm>
          <a:graphic>
            <a:graphicData uri="http://schemas.microsoft.com/office/drawing/2010/slicer">
              <sle:slicer xmlns:sle="http://schemas.microsoft.com/office/drawing/2010/slicer" name="windspeed 1"/>
            </a:graphicData>
          </a:graphic>
        </xdr:graphicFrame>
      </mc:Choice>
      <mc:Fallback>
        <xdr:sp macro="" textlink="">
          <xdr:nvSpPr>
            <xdr:cNvPr id="0" name=""/>
            <xdr:cNvSpPr>
              <a:spLocks noTextEdit="1"/>
            </xdr:cNvSpPr>
          </xdr:nvSpPr>
          <xdr:spPr>
            <a:xfrm>
              <a:off x="10639425" y="9620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04e64ecad6baa87/Desktop/Sheet_B.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04e64ecad6baa87/Desktop/Bike_Share_Demand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_B"/>
    </sheetNames>
    <sheetDataSet>
      <sheetData sheetId="0">
        <row r="2">
          <cell r="K2">
            <v>0.24</v>
          </cell>
          <cell r="Q2">
            <v>3</v>
          </cell>
          <cell r="R2">
            <v>13</v>
          </cell>
          <cell r="S2">
            <v>16</v>
          </cell>
        </row>
        <row r="3">
          <cell r="K3">
            <v>0.22</v>
          </cell>
          <cell r="Q3">
            <v>5</v>
          </cell>
          <cell r="R3">
            <v>27</v>
          </cell>
          <cell r="S3">
            <v>32</v>
          </cell>
        </row>
        <row r="4">
          <cell r="K4">
            <v>0.2</v>
          </cell>
          <cell r="Q4">
            <v>1</v>
          </cell>
          <cell r="R4">
            <v>2</v>
          </cell>
          <cell r="S4">
            <v>3</v>
          </cell>
        </row>
        <row r="5">
          <cell r="K5">
            <v>0.36</v>
          </cell>
          <cell r="Q5">
            <v>26</v>
          </cell>
          <cell r="R5">
            <v>30</v>
          </cell>
          <cell r="S5">
            <v>56</v>
          </cell>
        </row>
        <row r="6">
          <cell r="K6">
            <v>0.42</v>
          </cell>
          <cell r="Q6">
            <v>41</v>
          </cell>
          <cell r="R6">
            <v>52</v>
          </cell>
          <cell r="S6">
            <v>93</v>
          </cell>
        </row>
        <row r="7">
          <cell r="K7">
            <v>0.42</v>
          </cell>
          <cell r="Q7">
            <v>9</v>
          </cell>
          <cell r="R7">
            <v>26</v>
          </cell>
          <cell r="S7">
            <v>35</v>
          </cell>
        </row>
        <row r="8">
          <cell r="K8">
            <v>0.42</v>
          </cell>
          <cell r="Q8">
            <v>6</v>
          </cell>
          <cell r="R8">
            <v>31</v>
          </cell>
          <cell r="S8">
            <v>37</v>
          </cell>
        </row>
        <row r="9">
          <cell r="K9">
            <v>0.4</v>
          </cell>
          <cell r="Q9">
            <v>11</v>
          </cell>
          <cell r="R9">
            <v>25</v>
          </cell>
          <cell r="S9">
            <v>36</v>
          </cell>
        </row>
        <row r="10">
          <cell r="K10">
            <v>0.4</v>
          </cell>
          <cell r="Q10">
            <v>3</v>
          </cell>
          <cell r="R10">
            <v>31</v>
          </cell>
          <cell r="S10">
            <v>34</v>
          </cell>
        </row>
        <row r="11">
          <cell r="K11">
            <v>0.4</v>
          </cell>
          <cell r="Q11">
            <v>11</v>
          </cell>
          <cell r="R11">
            <v>17</v>
          </cell>
          <cell r="S11">
            <v>28</v>
          </cell>
        </row>
        <row r="12">
          <cell r="K12">
            <v>0.46</v>
          </cell>
          <cell r="Q12">
            <v>4</v>
          </cell>
          <cell r="R12">
            <v>13</v>
          </cell>
          <cell r="S12">
            <v>17</v>
          </cell>
        </row>
        <row r="13">
          <cell r="K13">
            <v>0.44</v>
          </cell>
          <cell r="Q13">
            <v>1</v>
          </cell>
          <cell r="R13">
            <v>16</v>
          </cell>
          <cell r="S13">
            <v>17</v>
          </cell>
        </row>
        <row r="14">
          <cell r="K14">
            <v>0.42</v>
          </cell>
          <cell r="Q14">
            <v>1</v>
          </cell>
          <cell r="R14">
            <v>8</v>
          </cell>
          <cell r="S14">
            <v>9</v>
          </cell>
        </row>
        <row r="15">
          <cell r="K15">
            <v>0.46</v>
          </cell>
          <cell r="Q15">
            <v>2</v>
          </cell>
          <cell r="R15">
            <v>4</v>
          </cell>
          <cell r="S15">
            <v>6</v>
          </cell>
        </row>
        <row r="16">
          <cell r="K16">
            <v>0.36</v>
          </cell>
          <cell r="Q16">
            <v>7</v>
          </cell>
          <cell r="R16">
            <v>46</v>
          </cell>
          <cell r="S16">
            <v>53</v>
          </cell>
        </row>
        <row r="17">
          <cell r="K17">
            <v>0.34</v>
          </cell>
          <cell r="Q17">
            <v>19</v>
          </cell>
          <cell r="R17">
            <v>55</v>
          </cell>
          <cell r="S17">
            <v>74</v>
          </cell>
        </row>
        <row r="18">
          <cell r="K18">
            <v>0.16</v>
          </cell>
          <cell r="Q18">
            <v>0</v>
          </cell>
          <cell r="R18">
            <v>15</v>
          </cell>
          <cell r="S18">
            <v>15</v>
          </cell>
        </row>
        <row r="19">
          <cell r="K19">
            <v>0.16</v>
          </cell>
          <cell r="Q19">
            <v>0</v>
          </cell>
          <cell r="R19">
            <v>20</v>
          </cell>
          <cell r="S19">
            <v>20</v>
          </cell>
        </row>
        <row r="20">
          <cell r="K20">
            <v>0.16</v>
          </cell>
          <cell r="Q20">
            <v>4</v>
          </cell>
          <cell r="R20">
            <v>72</v>
          </cell>
          <cell r="S20">
            <v>76</v>
          </cell>
        </row>
        <row r="21">
          <cell r="K21">
            <v>0.16</v>
          </cell>
          <cell r="Q21">
            <v>6</v>
          </cell>
          <cell r="R21">
            <v>130</v>
          </cell>
          <cell r="S21">
            <v>136</v>
          </cell>
        </row>
        <row r="22">
          <cell r="K22">
            <v>0.16</v>
          </cell>
          <cell r="Q22">
            <v>1</v>
          </cell>
          <cell r="R22">
            <v>94</v>
          </cell>
          <cell r="S22">
            <v>95</v>
          </cell>
        </row>
        <row r="23">
          <cell r="K23">
            <v>0.16</v>
          </cell>
          <cell r="Q23">
            <v>0</v>
          </cell>
          <cell r="R23">
            <v>51</v>
          </cell>
          <cell r="S23">
            <v>51</v>
          </cell>
        </row>
        <row r="24">
          <cell r="K24">
            <v>0.16</v>
          </cell>
          <cell r="Q24">
            <v>0</v>
          </cell>
          <cell r="R24">
            <v>32</v>
          </cell>
          <cell r="S24">
            <v>32</v>
          </cell>
        </row>
        <row r="25">
          <cell r="K25">
            <v>0.16</v>
          </cell>
          <cell r="Q25">
            <v>0</v>
          </cell>
          <cell r="R25">
            <v>20</v>
          </cell>
          <cell r="S25">
            <v>20</v>
          </cell>
        </row>
        <row r="26">
          <cell r="K26">
            <v>0.16</v>
          </cell>
          <cell r="Q26">
            <v>1</v>
          </cell>
          <cell r="R26">
            <v>28</v>
          </cell>
          <cell r="S26">
            <v>29</v>
          </cell>
        </row>
        <row r="27">
          <cell r="K27">
            <v>0.16</v>
          </cell>
          <cell r="Q27">
            <v>1</v>
          </cell>
          <cell r="R27">
            <v>18</v>
          </cell>
          <cell r="S27">
            <v>19</v>
          </cell>
        </row>
        <row r="28">
          <cell r="K28">
            <v>0.16</v>
          </cell>
          <cell r="Q28">
            <v>0</v>
          </cell>
          <cell r="R28">
            <v>7</v>
          </cell>
          <cell r="S28">
            <v>7</v>
          </cell>
        </row>
        <row r="29">
          <cell r="K29">
            <v>0.16</v>
          </cell>
          <cell r="Q29">
            <v>0</v>
          </cell>
          <cell r="R29">
            <v>6</v>
          </cell>
          <cell r="S29">
            <v>6</v>
          </cell>
        </row>
        <row r="30">
          <cell r="K30">
            <v>0.14000000000000001</v>
          </cell>
          <cell r="Q30">
            <v>0</v>
          </cell>
          <cell r="R30">
            <v>1</v>
          </cell>
          <cell r="S30">
            <v>1</v>
          </cell>
        </row>
        <row r="31">
          <cell r="K31">
            <v>0.14000000000000001</v>
          </cell>
          <cell r="Q31">
            <v>0</v>
          </cell>
          <cell r="R31">
            <v>5</v>
          </cell>
          <cell r="S31">
            <v>5</v>
          </cell>
        </row>
        <row r="32">
          <cell r="K32">
            <v>0.12</v>
          </cell>
          <cell r="Q32">
            <v>0</v>
          </cell>
          <cell r="R32">
            <v>16</v>
          </cell>
          <cell r="S32">
            <v>16</v>
          </cell>
        </row>
        <row r="33">
          <cell r="K33">
            <v>0.14000000000000001</v>
          </cell>
          <cell r="Q33">
            <v>0</v>
          </cell>
          <cell r="R33">
            <v>13</v>
          </cell>
          <cell r="S33">
            <v>13</v>
          </cell>
        </row>
        <row r="34">
          <cell r="K34">
            <v>0.16</v>
          </cell>
          <cell r="Q34">
            <v>1</v>
          </cell>
          <cell r="R34">
            <v>3</v>
          </cell>
          <cell r="S34">
            <v>4</v>
          </cell>
        </row>
        <row r="35">
          <cell r="K35">
            <v>0.2</v>
          </cell>
          <cell r="Q35">
            <v>0</v>
          </cell>
          <cell r="R35">
            <v>3</v>
          </cell>
          <cell r="S35">
            <v>3</v>
          </cell>
        </row>
        <row r="36">
          <cell r="K36">
            <v>0.2</v>
          </cell>
          <cell r="Q36">
            <v>0</v>
          </cell>
          <cell r="R36">
            <v>22</v>
          </cell>
          <cell r="S36">
            <v>22</v>
          </cell>
        </row>
        <row r="37">
          <cell r="K37">
            <v>0.22</v>
          </cell>
          <cell r="Q37">
            <v>3</v>
          </cell>
          <cell r="R37">
            <v>32</v>
          </cell>
          <cell r="S37">
            <v>35</v>
          </cell>
        </row>
        <row r="38">
          <cell r="K38">
            <v>0.22</v>
          </cell>
          <cell r="Q38">
            <v>0</v>
          </cell>
          <cell r="R38">
            <v>61</v>
          </cell>
          <cell r="S38">
            <v>61</v>
          </cell>
        </row>
        <row r="39">
          <cell r="K39">
            <v>0.22</v>
          </cell>
          <cell r="Q39">
            <v>1</v>
          </cell>
          <cell r="R39">
            <v>124</v>
          </cell>
          <cell r="S39">
            <v>125</v>
          </cell>
        </row>
        <row r="40">
          <cell r="K40">
            <v>0.22</v>
          </cell>
          <cell r="Q40">
            <v>0</v>
          </cell>
          <cell r="R40">
            <v>83</v>
          </cell>
          <cell r="S40">
            <v>83</v>
          </cell>
        </row>
        <row r="41">
          <cell r="K41">
            <v>0.22</v>
          </cell>
          <cell r="Q41">
            <v>0</v>
          </cell>
          <cell r="R41">
            <v>41</v>
          </cell>
          <cell r="S41">
            <v>41</v>
          </cell>
        </row>
        <row r="42">
          <cell r="K42">
            <v>0.22</v>
          </cell>
          <cell r="Q42">
            <v>0</v>
          </cell>
          <cell r="R42">
            <v>33</v>
          </cell>
          <cell r="S42">
            <v>33</v>
          </cell>
        </row>
        <row r="43">
          <cell r="K43">
            <v>0.22</v>
          </cell>
          <cell r="Q43">
            <v>1</v>
          </cell>
          <cell r="R43">
            <v>19</v>
          </cell>
          <cell r="S43">
            <v>20</v>
          </cell>
        </row>
        <row r="44">
          <cell r="K44">
            <v>0.22</v>
          </cell>
          <cell r="Q44">
            <v>0</v>
          </cell>
          <cell r="R44">
            <v>3</v>
          </cell>
          <cell r="S44">
            <v>3</v>
          </cell>
        </row>
        <row r="45">
          <cell r="K45">
            <v>0.22</v>
          </cell>
          <cell r="Q45">
            <v>1</v>
          </cell>
          <cell r="R45">
            <v>6</v>
          </cell>
          <cell r="S45">
            <v>7</v>
          </cell>
        </row>
        <row r="46">
          <cell r="K46">
            <v>0.22</v>
          </cell>
          <cell r="Q46">
            <v>0</v>
          </cell>
          <cell r="R46">
            <v>3</v>
          </cell>
          <cell r="S46">
            <v>3</v>
          </cell>
        </row>
        <row r="47">
          <cell r="K47">
            <v>0.22</v>
          </cell>
          <cell r="Q47">
            <v>1</v>
          </cell>
          <cell r="R47">
            <v>1</v>
          </cell>
          <cell r="S47">
            <v>2</v>
          </cell>
        </row>
        <row r="48">
          <cell r="K48">
            <v>0.22</v>
          </cell>
          <cell r="Q48">
            <v>0</v>
          </cell>
          <cell r="R48">
            <v>7</v>
          </cell>
          <cell r="S48">
            <v>7</v>
          </cell>
        </row>
        <row r="49">
          <cell r="K49">
            <v>0.22</v>
          </cell>
          <cell r="Q49">
            <v>0</v>
          </cell>
          <cell r="R49">
            <v>32</v>
          </cell>
          <cell r="S49">
            <v>32</v>
          </cell>
        </row>
        <row r="50">
          <cell r="K50">
            <v>0.24</v>
          </cell>
          <cell r="Q50">
            <v>1</v>
          </cell>
          <cell r="R50">
            <v>89</v>
          </cell>
          <cell r="S50">
            <v>90</v>
          </cell>
        </row>
        <row r="51">
          <cell r="K51">
            <v>0.24</v>
          </cell>
          <cell r="Q51">
            <v>1</v>
          </cell>
          <cell r="R51">
            <v>196</v>
          </cell>
          <cell r="S51">
            <v>197</v>
          </cell>
        </row>
        <row r="52">
          <cell r="K52">
            <v>0.24</v>
          </cell>
          <cell r="Q52">
            <v>2</v>
          </cell>
          <cell r="R52">
            <v>107</v>
          </cell>
          <cell r="S52">
            <v>109</v>
          </cell>
        </row>
        <row r="53">
          <cell r="K53">
            <v>0.26</v>
          </cell>
          <cell r="Q53">
            <v>1</v>
          </cell>
          <cell r="R53">
            <v>46</v>
          </cell>
          <cell r="S53">
            <v>47</v>
          </cell>
        </row>
        <row r="54">
          <cell r="K54">
            <v>0.28000000000000003</v>
          </cell>
          <cell r="Q54">
            <v>5</v>
          </cell>
          <cell r="R54">
            <v>47</v>
          </cell>
          <cell r="S54">
            <v>52</v>
          </cell>
        </row>
        <row r="55">
          <cell r="K55">
            <v>0.3</v>
          </cell>
          <cell r="Q55">
            <v>5</v>
          </cell>
          <cell r="R55">
            <v>65</v>
          </cell>
          <cell r="S55">
            <v>70</v>
          </cell>
        </row>
        <row r="56">
          <cell r="K56">
            <v>0.22</v>
          </cell>
          <cell r="Q56">
            <v>0</v>
          </cell>
          <cell r="R56">
            <v>1</v>
          </cell>
          <cell r="S56">
            <v>1</v>
          </cell>
        </row>
        <row r="57">
          <cell r="K57">
            <v>0.2</v>
          </cell>
          <cell r="Q57">
            <v>0</v>
          </cell>
          <cell r="R57">
            <v>1</v>
          </cell>
          <cell r="S57">
            <v>1</v>
          </cell>
        </row>
        <row r="58">
          <cell r="K58">
            <v>0.2</v>
          </cell>
          <cell r="Q58">
            <v>0</v>
          </cell>
          <cell r="R58">
            <v>8</v>
          </cell>
          <cell r="S58">
            <v>8</v>
          </cell>
        </row>
        <row r="59">
          <cell r="K59">
            <v>0.22</v>
          </cell>
          <cell r="Q59">
            <v>1</v>
          </cell>
          <cell r="R59">
            <v>29</v>
          </cell>
          <cell r="S59">
            <v>30</v>
          </cell>
        </row>
        <row r="60">
          <cell r="K60">
            <v>0.22</v>
          </cell>
          <cell r="Q60">
            <v>3</v>
          </cell>
          <cell r="R60">
            <v>69</v>
          </cell>
          <cell r="S60">
            <v>72</v>
          </cell>
        </row>
        <row r="61">
          <cell r="K61">
            <v>0.22</v>
          </cell>
          <cell r="Q61">
            <v>3</v>
          </cell>
          <cell r="R61">
            <v>55</v>
          </cell>
          <cell r="S61">
            <v>58</v>
          </cell>
        </row>
        <row r="62">
          <cell r="K62">
            <v>0.22</v>
          </cell>
          <cell r="Q62">
            <v>2</v>
          </cell>
          <cell r="R62">
            <v>26</v>
          </cell>
          <cell r="S62">
            <v>28</v>
          </cell>
        </row>
        <row r="63">
          <cell r="K63">
            <v>0.22</v>
          </cell>
          <cell r="Q63">
            <v>6</v>
          </cell>
          <cell r="R63">
            <v>35</v>
          </cell>
          <cell r="S63">
            <v>41</v>
          </cell>
        </row>
        <row r="64">
          <cell r="K64">
            <v>0.22</v>
          </cell>
          <cell r="Q64">
            <v>7</v>
          </cell>
          <cell r="R64">
            <v>41</v>
          </cell>
          <cell r="S64">
            <v>48</v>
          </cell>
        </row>
        <row r="65">
          <cell r="K65">
            <v>0.22</v>
          </cell>
          <cell r="Q65">
            <v>4</v>
          </cell>
          <cell r="R65">
            <v>43</v>
          </cell>
          <cell r="S65">
            <v>47</v>
          </cell>
        </row>
        <row r="66">
          <cell r="K66">
            <v>0.22</v>
          </cell>
          <cell r="Q66">
            <v>0</v>
          </cell>
          <cell r="R66">
            <v>36</v>
          </cell>
          <cell r="S66">
            <v>36</v>
          </cell>
        </row>
        <row r="67">
          <cell r="K67">
            <v>0.22</v>
          </cell>
          <cell r="Q67">
            <v>1</v>
          </cell>
          <cell r="R67">
            <v>42</v>
          </cell>
          <cell r="S67">
            <v>43</v>
          </cell>
        </row>
        <row r="68">
          <cell r="K68">
            <v>0.22</v>
          </cell>
          <cell r="Q68">
            <v>1</v>
          </cell>
          <cell r="R68">
            <v>35</v>
          </cell>
          <cell r="S68">
            <v>36</v>
          </cell>
        </row>
        <row r="69">
          <cell r="K69">
            <v>0.2</v>
          </cell>
          <cell r="Q69">
            <v>0</v>
          </cell>
          <cell r="R69">
            <v>26</v>
          </cell>
          <cell r="S69">
            <v>26</v>
          </cell>
        </row>
        <row r="70">
          <cell r="K70">
            <v>0.16</v>
          </cell>
          <cell r="Q70">
            <v>2</v>
          </cell>
          <cell r="R70">
            <v>58</v>
          </cell>
          <cell r="S70">
            <v>60</v>
          </cell>
        </row>
        <row r="71">
          <cell r="K71">
            <v>0.16</v>
          </cell>
          <cell r="Q71">
            <v>2</v>
          </cell>
          <cell r="R71">
            <v>155</v>
          </cell>
          <cell r="S71">
            <v>157</v>
          </cell>
        </row>
        <row r="72">
          <cell r="K72">
            <v>0.18</v>
          </cell>
          <cell r="Q72">
            <v>6</v>
          </cell>
          <cell r="R72">
            <v>95</v>
          </cell>
          <cell r="S72">
            <v>101</v>
          </cell>
        </row>
        <row r="73">
          <cell r="K73">
            <v>0.18</v>
          </cell>
          <cell r="Q73">
            <v>0</v>
          </cell>
          <cell r="R73">
            <v>49</v>
          </cell>
          <cell r="S73">
            <v>49</v>
          </cell>
        </row>
        <row r="74">
          <cell r="K74">
            <v>0.18</v>
          </cell>
          <cell r="Q74">
            <v>0</v>
          </cell>
          <cell r="R74">
            <v>30</v>
          </cell>
          <cell r="S74">
            <v>30</v>
          </cell>
        </row>
        <row r="75">
          <cell r="K75">
            <v>0.18</v>
          </cell>
          <cell r="Q75">
            <v>1</v>
          </cell>
          <cell r="R75">
            <v>28</v>
          </cell>
          <cell r="S75">
            <v>29</v>
          </cell>
        </row>
        <row r="76">
          <cell r="K76">
            <v>0.18</v>
          </cell>
          <cell r="Q76">
            <v>0</v>
          </cell>
          <cell r="R76">
            <v>31</v>
          </cell>
          <cell r="S76">
            <v>31</v>
          </cell>
        </row>
        <row r="77">
          <cell r="K77">
            <v>0.2</v>
          </cell>
          <cell r="Q77">
            <v>1</v>
          </cell>
          <cell r="R77">
            <v>40</v>
          </cell>
          <cell r="S77">
            <v>41</v>
          </cell>
        </row>
        <row r="78">
          <cell r="K78">
            <v>0.24</v>
          </cell>
          <cell r="Q78">
            <v>3</v>
          </cell>
          <cell r="R78">
            <v>13</v>
          </cell>
          <cell r="S78">
            <v>16</v>
          </cell>
        </row>
        <row r="79">
          <cell r="K79">
            <v>0.2</v>
          </cell>
          <cell r="Q79">
            <v>1</v>
          </cell>
          <cell r="R79">
            <v>2</v>
          </cell>
          <cell r="S79">
            <v>3</v>
          </cell>
        </row>
        <row r="80">
          <cell r="K80">
            <v>0.36</v>
          </cell>
          <cell r="Q80">
            <v>26</v>
          </cell>
          <cell r="R80">
            <v>30</v>
          </cell>
          <cell r="S80">
            <v>56</v>
          </cell>
        </row>
        <row r="81">
          <cell r="K81">
            <v>0.42</v>
          </cell>
          <cell r="Q81">
            <v>41</v>
          </cell>
          <cell r="R81">
            <v>52</v>
          </cell>
          <cell r="S81">
            <v>93</v>
          </cell>
        </row>
        <row r="82">
          <cell r="K82">
            <v>0.42</v>
          </cell>
          <cell r="Q82">
            <v>9</v>
          </cell>
          <cell r="R82">
            <v>26</v>
          </cell>
          <cell r="S82">
            <v>35</v>
          </cell>
        </row>
        <row r="83">
          <cell r="K83">
            <v>0.42</v>
          </cell>
          <cell r="Q83">
            <v>6</v>
          </cell>
          <cell r="R83">
            <v>31</v>
          </cell>
          <cell r="S83">
            <v>37</v>
          </cell>
        </row>
        <row r="84">
          <cell r="K84">
            <v>0.4</v>
          </cell>
          <cell r="Q84">
            <v>11</v>
          </cell>
          <cell r="R84">
            <v>25</v>
          </cell>
          <cell r="S84">
            <v>36</v>
          </cell>
        </row>
        <row r="85">
          <cell r="K85">
            <v>0.4</v>
          </cell>
          <cell r="Q85">
            <v>3</v>
          </cell>
          <cell r="R85">
            <v>31</v>
          </cell>
          <cell r="S85">
            <v>34</v>
          </cell>
        </row>
        <row r="86">
          <cell r="K86">
            <v>0.4</v>
          </cell>
          <cell r="Q86">
            <v>11</v>
          </cell>
          <cell r="R86">
            <v>17</v>
          </cell>
          <cell r="S86">
            <v>28</v>
          </cell>
        </row>
        <row r="87">
          <cell r="K87">
            <v>0.46</v>
          </cell>
          <cell r="Q87">
            <v>4</v>
          </cell>
          <cell r="R87">
            <v>13</v>
          </cell>
          <cell r="S87">
            <v>17</v>
          </cell>
        </row>
        <row r="88">
          <cell r="K88">
            <v>0.44</v>
          </cell>
          <cell r="Q88">
            <v>1</v>
          </cell>
          <cell r="R88">
            <v>16</v>
          </cell>
          <cell r="S88">
            <v>17</v>
          </cell>
        </row>
        <row r="89">
          <cell r="K89">
            <v>0.42</v>
          </cell>
          <cell r="Q89">
            <v>1</v>
          </cell>
          <cell r="R89">
            <v>8</v>
          </cell>
          <cell r="S89">
            <v>9</v>
          </cell>
        </row>
        <row r="90">
          <cell r="K90">
            <v>0.46</v>
          </cell>
          <cell r="Q90">
            <v>2</v>
          </cell>
          <cell r="R90">
            <v>4</v>
          </cell>
          <cell r="S90">
            <v>6</v>
          </cell>
        </row>
        <row r="91">
          <cell r="K91">
            <v>0.36</v>
          </cell>
          <cell r="Q91">
            <v>7</v>
          </cell>
          <cell r="R91">
            <v>46</v>
          </cell>
          <cell r="S91">
            <v>53</v>
          </cell>
        </row>
        <row r="92">
          <cell r="K92">
            <v>0.34</v>
          </cell>
          <cell r="Q92">
            <v>19</v>
          </cell>
          <cell r="R92">
            <v>55</v>
          </cell>
          <cell r="S92">
            <v>74</v>
          </cell>
        </row>
        <row r="93">
          <cell r="K93">
            <v>0.16</v>
          </cell>
          <cell r="Q93">
            <v>0</v>
          </cell>
          <cell r="R93">
            <v>15</v>
          </cell>
          <cell r="S93">
            <v>15</v>
          </cell>
        </row>
        <row r="94">
          <cell r="K94">
            <v>0.16</v>
          </cell>
          <cell r="Q94">
            <v>0</v>
          </cell>
          <cell r="R94">
            <v>20</v>
          </cell>
          <cell r="S94">
            <v>20</v>
          </cell>
        </row>
        <row r="95">
          <cell r="K95">
            <v>0.16</v>
          </cell>
          <cell r="Q95">
            <v>4</v>
          </cell>
          <cell r="R95">
            <v>72</v>
          </cell>
          <cell r="S95">
            <v>76</v>
          </cell>
        </row>
        <row r="96">
          <cell r="K96">
            <v>0.16</v>
          </cell>
          <cell r="Q96">
            <v>6</v>
          </cell>
          <cell r="R96">
            <v>130</v>
          </cell>
          <cell r="S96">
            <v>136</v>
          </cell>
        </row>
        <row r="97">
          <cell r="K97">
            <v>0.16</v>
          </cell>
          <cell r="Q97">
            <v>1</v>
          </cell>
          <cell r="R97">
            <v>94</v>
          </cell>
          <cell r="S97">
            <v>95</v>
          </cell>
        </row>
        <row r="98">
          <cell r="K98">
            <v>0.16</v>
          </cell>
          <cell r="Q98">
            <v>0</v>
          </cell>
          <cell r="R98">
            <v>51</v>
          </cell>
          <cell r="S98">
            <v>51</v>
          </cell>
        </row>
        <row r="99">
          <cell r="K99">
            <v>0.16</v>
          </cell>
          <cell r="Q99">
            <v>0</v>
          </cell>
          <cell r="R99">
            <v>32</v>
          </cell>
          <cell r="S99">
            <v>32</v>
          </cell>
        </row>
        <row r="100">
          <cell r="K100">
            <v>0.16</v>
          </cell>
          <cell r="Q100">
            <v>0</v>
          </cell>
          <cell r="R100">
            <v>20</v>
          </cell>
          <cell r="S100">
            <v>20</v>
          </cell>
        </row>
        <row r="101">
          <cell r="K101">
            <v>0.16</v>
          </cell>
          <cell r="Q101">
            <v>1</v>
          </cell>
          <cell r="R101">
            <v>28</v>
          </cell>
          <cell r="S101">
            <v>29</v>
          </cell>
        </row>
        <row r="102">
          <cell r="K102">
            <v>0.16</v>
          </cell>
          <cell r="Q102">
            <v>1</v>
          </cell>
          <cell r="R102">
            <v>18</v>
          </cell>
          <cell r="S102">
            <v>19</v>
          </cell>
        </row>
        <row r="103">
          <cell r="K103">
            <v>0.16</v>
          </cell>
          <cell r="Q103">
            <v>0</v>
          </cell>
          <cell r="R103">
            <v>7</v>
          </cell>
          <cell r="S103">
            <v>7</v>
          </cell>
        </row>
        <row r="104">
          <cell r="K104">
            <v>0.16</v>
          </cell>
          <cell r="Q104">
            <v>0</v>
          </cell>
          <cell r="R104">
            <v>6</v>
          </cell>
          <cell r="S104">
            <v>6</v>
          </cell>
        </row>
        <row r="105">
          <cell r="K105">
            <v>0.14000000000000001</v>
          </cell>
          <cell r="Q105">
            <v>0</v>
          </cell>
          <cell r="R105">
            <v>1</v>
          </cell>
          <cell r="S105">
            <v>1</v>
          </cell>
        </row>
        <row r="106">
          <cell r="K106">
            <v>0.14000000000000001</v>
          </cell>
          <cell r="Q106">
            <v>0</v>
          </cell>
          <cell r="R106">
            <v>5</v>
          </cell>
          <cell r="S106">
            <v>5</v>
          </cell>
        </row>
        <row r="107">
          <cell r="K107">
            <v>0.12</v>
          </cell>
          <cell r="Q107">
            <v>0</v>
          </cell>
          <cell r="R107">
            <v>16</v>
          </cell>
          <cell r="S107">
            <v>16</v>
          </cell>
        </row>
        <row r="108">
          <cell r="K108">
            <v>0.14000000000000001</v>
          </cell>
          <cell r="Q108">
            <v>0</v>
          </cell>
          <cell r="R108">
            <v>13</v>
          </cell>
          <cell r="S108">
            <v>13</v>
          </cell>
        </row>
        <row r="109">
          <cell r="K109">
            <v>0.16</v>
          </cell>
          <cell r="Q109">
            <v>1</v>
          </cell>
          <cell r="R109">
            <v>3</v>
          </cell>
          <cell r="S109">
            <v>4</v>
          </cell>
        </row>
        <row r="110">
          <cell r="K110">
            <v>0.2</v>
          </cell>
          <cell r="Q110">
            <v>0</v>
          </cell>
          <cell r="R110">
            <v>3</v>
          </cell>
          <cell r="S110">
            <v>3</v>
          </cell>
        </row>
        <row r="111">
          <cell r="K111">
            <v>0.2</v>
          </cell>
          <cell r="Q111">
            <v>0</v>
          </cell>
          <cell r="R111">
            <v>22</v>
          </cell>
          <cell r="S111">
            <v>22</v>
          </cell>
        </row>
        <row r="112">
          <cell r="K112">
            <v>0.22</v>
          </cell>
          <cell r="Q112">
            <v>3</v>
          </cell>
          <cell r="R112">
            <v>32</v>
          </cell>
          <cell r="S112">
            <v>35</v>
          </cell>
        </row>
        <row r="113">
          <cell r="K113">
            <v>0.22</v>
          </cell>
          <cell r="Q113">
            <v>0</v>
          </cell>
          <cell r="R113">
            <v>61</v>
          </cell>
          <cell r="S113">
            <v>61</v>
          </cell>
        </row>
        <row r="114">
          <cell r="K114">
            <v>0.22</v>
          </cell>
          <cell r="Q114">
            <v>1</v>
          </cell>
          <cell r="R114">
            <v>124</v>
          </cell>
          <cell r="S114">
            <v>125</v>
          </cell>
        </row>
        <row r="115">
          <cell r="K115">
            <v>0.22</v>
          </cell>
          <cell r="Q115">
            <v>0</v>
          </cell>
          <cell r="R115">
            <v>83</v>
          </cell>
          <cell r="S115">
            <v>83</v>
          </cell>
        </row>
        <row r="116">
          <cell r="K116">
            <v>0.22</v>
          </cell>
          <cell r="Q116">
            <v>0</v>
          </cell>
          <cell r="R116">
            <v>41</v>
          </cell>
          <cell r="S116">
            <v>41</v>
          </cell>
        </row>
        <row r="117">
          <cell r="K117">
            <v>0.22</v>
          </cell>
          <cell r="Q117">
            <v>0</v>
          </cell>
          <cell r="R117">
            <v>33</v>
          </cell>
          <cell r="S117">
            <v>33</v>
          </cell>
        </row>
        <row r="118">
          <cell r="K118">
            <v>0.22</v>
          </cell>
          <cell r="Q118">
            <v>1</v>
          </cell>
          <cell r="R118">
            <v>19</v>
          </cell>
          <cell r="S118">
            <v>20</v>
          </cell>
        </row>
        <row r="119">
          <cell r="K119">
            <v>0.22</v>
          </cell>
          <cell r="Q119">
            <v>0</v>
          </cell>
          <cell r="R119">
            <v>3</v>
          </cell>
          <cell r="S119">
            <v>3</v>
          </cell>
        </row>
        <row r="120">
          <cell r="K120">
            <v>0.22</v>
          </cell>
          <cell r="Q120">
            <v>1</v>
          </cell>
          <cell r="R120">
            <v>6</v>
          </cell>
          <cell r="S120">
            <v>7</v>
          </cell>
        </row>
        <row r="121">
          <cell r="K121">
            <v>0.22</v>
          </cell>
          <cell r="Q121">
            <v>0</v>
          </cell>
          <cell r="R121">
            <v>3</v>
          </cell>
          <cell r="S121">
            <v>3</v>
          </cell>
        </row>
        <row r="122">
          <cell r="K122">
            <v>0.22</v>
          </cell>
          <cell r="Q122">
            <v>1</v>
          </cell>
          <cell r="R122">
            <v>1</v>
          </cell>
          <cell r="S122">
            <v>2</v>
          </cell>
        </row>
        <row r="123">
          <cell r="K123">
            <v>0.22</v>
          </cell>
          <cell r="Q123">
            <v>0</v>
          </cell>
          <cell r="R123">
            <v>7</v>
          </cell>
          <cell r="S123">
            <v>7</v>
          </cell>
        </row>
        <row r="124">
          <cell r="K124">
            <v>0.22</v>
          </cell>
          <cell r="Q124">
            <v>0</v>
          </cell>
          <cell r="R124">
            <v>32</v>
          </cell>
          <cell r="S124">
            <v>32</v>
          </cell>
        </row>
        <row r="125">
          <cell r="K125">
            <v>0.24</v>
          </cell>
          <cell r="Q125">
            <v>1</v>
          </cell>
          <cell r="R125">
            <v>89</v>
          </cell>
          <cell r="S125">
            <v>90</v>
          </cell>
        </row>
        <row r="126">
          <cell r="K126">
            <v>0.24</v>
          </cell>
          <cell r="Q126">
            <v>1</v>
          </cell>
          <cell r="R126">
            <v>196</v>
          </cell>
          <cell r="S126">
            <v>197</v>
          </cell>
        </row>
        <row r="127">
          <cell r="K127">
            <v>0.24</v>
          </cell>
          <cell r="Q127">
            <v>2</v>
          </cell>
          <cell r="R127">
            <v>107</v>
          </cell>
          <cell r="S127">
            <v>109</v>
          </cell>
        </row>
        <row r="128">
          <cell r="K128">
            <v>0.26</v>
          </cell>
          <cell r="Q128">
            <v>1</v>
          </cell>
          <cell r="R128">
            <v>46</v>
          </cell>
          <cell r="S128">
            <v>47</v>
          </cell>
        </row>
        <row r="129">
          <cell r="K129">
            <v>0.28000000000000003</v>
          </cell>
          <cell r="Q129">
            <v>5</v>
          </cell>
          <cell r="R129">
            <v>47</v>
          </cell>
          <cell r="S129">
            <v>52</v>
          </cell>
        </row>
        <row r="130">
          <cell r="K130">
            <v>0.3</v>
          </cell>
          <cell r="Q130">
            <v>5</v>
          </cell>
          <cell r="R130">
            <v>65</v>
          </cell>
          <cell r="S130">
            <v>70</v>
          </cell>
        </row>
        <row r="131">
          <cell r="K131">
            <v>0.22</v>
          </cell>
          <cell r="Q131">
            <v>0</v>
          </cell>
          <cell r="R131">
            <v>1</v>
          </cell>
          <cell r="S131">
            <v>1</v>
          </cell>
        </row>
        <row r="132">
          <cell r="K132">
            <v>0.2</v>
          </cell>
          <cell r="Q132">
            <v>0</v>
          </cell>
          <cell r="R132">
            <v>1</v>
          </cell>
          <cell r="S132">
            <v>1</v>
          </cell>
        </row>
        <row r="133">
          <cell r="K133">
            <v>0.2</v>
          </cell>
          <cell r="Q133">
            <v>0</v>
          </cell>
          <cell r="R133">
            <v>8</v>
          </cell>
          <cell r="S133">
            <v>8</v>
          </cell>
        </row>
        <row r="134">
          <cell r="K134">
            <v>0.22</v>
          </cell>
          <cell r="Q134">
            <v>1</v>
          </cell>
          <cell r="R134">
            <v>29</v>
          </cell>
          <cell r="S134">
            <v>30</v>
          </cell>
        </row>
        <row r="135">
          <cell r="K135">
            <v>0.22</v>
          </cell>
          <cell r="Q135">
            <v>3</v>
          </cell>
          <cell r="R135">
            <v>69</v>
          </cell>
          <cell r="S135">
            <v>72</v>
          </cell>
        </row>
        <row r="136">
          <cell r="K136">
            <v>0.22</v>
          </cell>
          <cell r="Q136">
            <v>3</v>
          </cell>
          <cell r="R136">
            <v>55</v>
          </cell>
          <cell r="S136">
            <v>58</v>
          </cell>
        </row>
        <row r="137">
          <cell r="K137">
            <v>0.22</v>
          </cell>
          <cell r="Q137">
            <v>2</v>
          </cell>
          <cell r="R137">
            <v>26</v>
          </cell>
          <cell r="S137">
            <v>28</v>
          </cell>
        </row>
        <row r="138">
          <cell r="K138">
            <v>0.22</v>
          </cell>
          <cell r="Q138">
            <v>6</v>
          </cell>
          <cell r="R138">
            <v>35</v>
          </cell>
          <cell r="S138">
            <v>41</v>
          </cell>
        </row>
        <row r="139">
          <cell r="K139">
            <v>0.22</v>
          </cell>
          <cell r="Q139">
            <v>7</v>
          </cell>
          <cell r="R139">
            <v>41</v>
          </cell>
          <cell r="S139">
            <v>48</v>
          </cell>
        </row>
        <row r="140">
          <cell r="K140">
            <v>0.22</v>
          </cell>
          <cell r="Q140">
            <v>4</v>
          </cell>
          <cell r="R140">
            <v>43</v>
          </cell>
          <cell r="S140">
            <v>47</v>
          </cell>
        </row>
        <row r="141">
          <cell r="K141">
            <v>0.22</v>
          </cell>
          <cell r="Q141">
            <v>0</v>
          </cell>
          <cell r="R141">
            <v>36</v>
          </cell>
          <cell r="S141">
            <v>36</v>
          </cell>
        </row>
        <row r="142">
          <cell r="K142">
            <v>0.22</v>
          </cell>
          <cell r="Q142">
            <v>1</v>
          </cell>
          <cell r="R142">
            <v>42</v>
          </cell>
          <cell r="S142">
            <v>43</v>
          </cell>
        </row>
        <row r="143">
          <cell r="K143">
            <v>0.22</v>
          </cell>
          <cell r="Q143">
            <v>1</v>
          </cell>
          <cell r="R143">
            <v>35</v>
          </cell>
          <cell r="S143">
            <v>36</v>
          </cell>
        </row>
        <row r="144">
          <cell r="K144">
            <v>0.2</v>
          </cell>
          <cell r="Q144">
            <v>0</v>
          </cell>
          <cell r="R144">
            <v>26</v>
          </cell>
          <cell r="S144">
            <v>26</v>
          </cell>
        </row>
        <row r="145">
          <cell r="K145">
            <v>0.16</v>
          </cell>
          <cell r="Q145">
            <v>2</v>
          </cell>
          <cell r="R145">
            <v>58</v>
          </cell>
          <cell r="S145">
            <v>60</v>
          </cell>
        </row>
        <row r="146">
          <cell r="K146">
            <v>0.16</v>
          </cell>
          <cell r="Q146">
            <v>2</v>
          </cell>
          <cell r="R146">
            <v>155</v>
          </cell>
          <cell r="S146">
            <v>157</v>
          </cell>
        </row>
        <row r="147">
          <cell r="K147">
            <v>0.18</v>
          </cell>
          <cell r="Q147">
            <v>6</v>
          </cell>
          <cell r="R147">
            <v>95</v>
          </cell>
          <cell r="S147">
            <v>101</v>
          </cell>
        </row>
        <row r="148">
          <cell r="K148">
            <v>0.18</v>
          </cell>
          <cell r="Q148">
            <v>0</v>
          </cell>
          <cell r="R148">
            <v>49</v>
          </cell>
          <cell r="S148">
            <v>49</v>
          </cell>
        </row>
        <row r="149">
          <cell r="K149">
            <v>0.18</v>
          </cell>
          <cell r="Q149">
            <v>0</v>
          </cell>
          <cell r="R149">
            <v>30</v>
          </cell>
          <cell r="S149">
            <v>30</v>
          </cell>
        </row>
        <row r="150">
          <cell r="K150">
            <v>0.18</v>
          </cell>
          <cell r="Q150">
            <v>1</v>
          </cell>
          <cell r="R150">
            <v>28</v>
          </cell>
          <cell r="S150">
            <v>29</v>
          </cell>
        </row>
        <row r="151">
          <cell r="K151">
            <v>0.18</v>
          </cell>
          <cell r="Q151">
            <v>0</v>
          </cell>
          <cell r="R151">
            <v>31</v>
          </cell>
          <cell r="S151">
            <v>31</v>
          </cell>
        </row>
        <row r="152">
          <cell r="K152">
            <v>0.2</v>
          </cell>
          <cell r="Q152">
            <v>1</v>
          </cell>
          <cell r="R152">
            <v>40</v>
          </cell>
          <cell r="S152">
            <v>41</v>
          </cell>
        </row>
        <row r="153">
          <cell r="K153">
            <v>0.22</v>
          </cell>
          <cell r="Q153">
            <v>8</v>
          </cell>
          <cell r="R153">
            <v>32</v>
          </cell>
          <cell r="S153">
            <v>40</v>
          </cell>
        </row>
        <row r="154">
          <cell r="K154">
            <v>0.22</v>
          </cell>
          <cell r="Q154">
            <v>2</v>
          </cell>
          <cell r="R154">
            <v>0</v>
          </cell>
          <cell r="S154">
            <v>2</v>
          </cell>
        </row>
        <row r="155">
          <cell r="K155">
            <v>0.18</v>
          </cell>
          <cell r="Q155">
            <v>5</v>
          </cell>
          <cell r="R155">
            <v>56</v>
          </cell>
          <cell r="S155">
            <v>61</v>
          </cell>
        </row>
        <row r="156">
          <cell r="K156">
            <v>0.16</v>
          </cell>
          <cell r="Q156">
            <v>2</v>
          </cell>
          <cell r="R156">
            <v>45</v>
          </cell>
          <cell r="S156">
            <v>47</v>
          </cell>
        </row>
        <row r="157">
          <cell r="K157">
            <v>0.16</v>
          </cell>
          <cell r="Q157">
            <v>4</v>
          </cell>
          <cell r="R157">
            <v>29</v>
          </cell>
          <cell r="S157">
            <v>33</v>
          </cell>
        </row>
        <row r="158">
          <cell r="K158">
            <v>0.16</v>
          </cell>
          <cell r="Q158">
            <v>3</v>
          </cell>
          <cell r="R158">
            <v>24</v>
          </cell>
          <cell r="S158">
            <v>27</v>
          </cell>
        </row>
        <row r="159">
          <cell r="K159">
            <v>0.22</v>
          </cell>
          <cell r="Q159">
            <v>2</v>
          </cell>
          <cell r="R159">
            <v>26</v>
          </cell>
          <cell r="S159">
            <v>28</v>
          </cell>
        </row>
        <row r="160">
          <cell r="K160">
            <v>0.22</v>
          </cell>
          <cell r="Q160">
            <v>1</v>
          </cell>
          <cell r="R160">
            <v>132</v>
          </cell>
          <cell r="S160">
            <v>133</v>
          </cell>
        </row>
        <row r="161">
          <cell r="K161">
            <v>0.22</v>
          </cell>
          <cell r="Q161">
            <v>1</v>
          </cell>
          <cell r="R161">
            <v>98</v>
          </cell>
          <cell r="S161">
            <v>99</v>
          </cell>
        </row>
        <row r="162">
          <cell r="K162">
            <v>0.22</v>
          </cell>
          <cell r="Q162">
            <v>0</v>
          </cell>
          <cell r="R162">
            <v>1</v>
          </cell>
          <cell r="S162">
            <v>1</v>
          </cell>
        </row>
        <row r="163">
          <cell r="K163">
            <v>0.18</v>
          </cell>
          <cell r="Q163">
            <v>0</v>
          </cell>
          <cell r="R163">
            <v>16</v>
          </cell>
          <cell r="S163">
            <v>16</v>
          </cell>
        </row>
        <row r="164">
          <cell r="K164">
            <v>0.18</v>
          </cell>
          <cell r="Q164">
            <v>0</v>
          </cell>
          <cell r="R164">
            <v>4</v>
          </cell>
          <cell r="S164">
            <v>4</v>
          </cell>
        </row>
        <row r="165">
          <cell r="K165">
            <v>0.18</v>
          </cell>
          <cell r="Q165">
            <v>0</v>
          </cell>
          <cell r="R165">
            <v>16</v>
          </cell>
          <cell r="S165">
            <v>16</v>
          </cell>
        </row>
        <row r="166">
          <cell r="K166">
            <v>0.22</v>
          </cell>
          <cell r="Q166">
            <v>2</v>
          </cell>
          <cell r="R166">
            <v>36</v>
          </cell>
          <cell r="S166">
            <v>38</v>
          </cell>
        </row>
        <row r="167">
          <cell r="K167">
            <v>0.22</v>
          </cell>
          <cell r="Q167">
            <v>8</v>
          </cell>
          <cell r="R167">
            <v>32</v>
          </cell>
          <cell r="S167">
            <v>40</v>
          </cell>
        </row>
        <row r="168">
          <cell r="K168">
            <v>0.22</v>
          </cell>
          <cell r="Q168">
            <v>5</v>
          </cell>
          <cell r="R168">
            <v>27</v>
          </cell>
          <cell r="S168">
            <v>32</v>
          </cell>
        </row>
        <row r="169">
          <cell r="K169">
            <v>0.22</v>
          </cell>
          <cell r="Q169">
            <v>2</v>
          </cell>
          <cell r="R169">
            <v>0</v>
          </cell>
          <cell r="S169">
            <v>2</v>
          </cell>
        </row>
        <row r="170">
          <cell r="K170">
            <v>0.18</v>
          </cell>
          <cell r="Q170">
            <v>5</v>
          </cell>
          <cell r="R170">
            <v>56</v>
          </cell>
          <cell r="S170">
            <v>61</v>
          </cell>
        </row>
        <row r="171">
          <cell r="K171">
            <v>0.16</v>
          </cell>
          <cell r="Q171">
            <v>2</v>
          </cell>
          <cell r="R171">
            <v>45</v>
          </cell>
          <cell r="S171">
            <v>47</v>
          </cell>
        </row>
        <row r="172">
          <cell r="K172">
            <v>0.16</v>
          </cell>
          <cell r="Q172">
            <v>4</v>
          </cell>
          <cell r="R172">
            <v>29</v>
          </cell>
          <cell r="S172">
            <v>33</v>
          </cell>
        </row>
        <row r="173">
          <cell r="K173">
            <v>0.16</v>
          </cell>
          <cell r="Q173">
            <v>3</v>
          </cell>
          <cell r="R173">
            <v>24</v>
          </cell>
          <cell r="S173">
            <v>27</v>
          </cell>
        </row>
        <row r="174">
          <cell r="K174">
            <v>0.22</v>
          </cell>
          <cell r="Q174">
            <v>2</v>
          </cell>
          <cell r="R174">
            <v>26</v>
          </cell>
          <cell r="S174">
            <v>28</v>
          </cell>
        </row>
        <row r="175">
          <cell r="K175">
            <v>0.22</v>
          </cell>
          <cell r="Q175">
            <v>1</v>
          </cell>
          <cell r="R175">
            <v>132</v>
          </cell>
          <cell r="S175">
            <v>133</v>
          </cell>
        </row>
        <row r="176">
          <cell r="K176">
            <v>0.22</v>
          </cell>
          <cell r="Q176">
            <v>1</v>
          </cell>
          <cell r="R176">
            <v>98</v>
          </cell>
          <cell r="S176">
            <v>99</v>
          </cell>
        </row>
        <row r="177">
          <cell r="K177">
            <v>0.22</v>
          </cell>
          <cell r="Q177">
            <v>0</v>
          </cell>
          <cell r="R177">
            <v>1</v>
          </cell>
          <cell r="S177">
            <v>1</v>
          </cell>
        </row>
        <row r="178">
          <cell r="K178">
            <v>0.18</v>
          </cell>
          <cell r="Q178">
            <v>0</v>
          </cell>
          <cell r="R178">
            <v>16</v>
          </cell>
          <cell r="S178">
            <v>16</v>
          </cell>
        </row>
        <row r="179">
          <cell r="K179">
            <v>0.18</v>
          </cell>
          <cell r="Q179">
            <v>0</v>
          </cell>
          <cell r="R179">
            <v>4</v>
          </cell>
          <cell r="S179">
            <v>4</v>
          </cell>
        </row>
        <row r="180">
          <cell r="K180">
            <v>0.18</v>
          </cell>
          <cell r="Q180">
            <v>0</v>
          </cell>
          <cell r="R180">
            <v>16</v>
          </cell>
          <cell r="S180">
            <v>16</v>
          </cell>
        </row>
        <row r="181">
          <cell r="K181">
            <v>0.22</v>
          </cell>
          <cell r="Q181">
            <v>2</v>
          </cell>
          <cell r="R181">
            <v>36</v>
          </cell>
          <cell r="S181">
            <v>38</v>
          </cell>
        </row>
        <row r="182">
          <cell r="K182">
            <v>0.24</v>
          </cell>
          <cell r="Q182">
            <v>3</v>
          </cell>
          <cell r="R182">
            <v>10</v>
          </cell>
          <cell r="S182">
            <v>13</v>
          </cell>
        </row>
        <row r="183">
          <cell r="K183">
            <v>0.24</v>
          </cell>
          <cell r="Q183">
            <v>0</v>
          </cell>
          <cell r="R183">
            <v>1</v>
          </cell>
          <cell r="S183">
            <v>1</v>
          </cell>
        </row>
        <row r="184">
          <cell r="K184">
            <v>0.24</v>
          </cell>
          <cell r="Q184">
            <v>0</v>
          </cell>
          <cell r="R184">
            <v>1</v>
          </cell>
          <cell r="S184">
            <v>1</v>
          </cell>
        </row>
        <row r="185">
          <cell r="K185">
            <v>0.32</v>
          </cell>
          <cell r="Q185">
            <v>8</v>
          </cell>
          <cell r="R185">
            <v>6</v>
          </cell>
          <cell r="S185">
            <v>14</v>
          </cell>
        </row>
        <row r="186">
          <cell r="K186">
            <v>0.38</v>
          </cell>
          <cell r="Q186">
            <v>12</v>
          </cell>
          <cell r="R186">
            <v>24</v>
          </cell>
          <cell r="S186">
            <v>36</v>
          </cell>
        </row>
        <row r="187">
          <cell r="K187">
            <v>0.42</v>
          </cell>
          <cell r="Q187">
            <v>29</v>
          </cell>
          <cell r="R187">
            <v>55</v>
          </cell>
          <cell r="S187">
            <v>84</v>
          </cell>
        </row>
        <row r="188">
          <cell r="K188">
            <v>0.46</v>
          </cell>
          <cell r="Q188">
            <v>47</v>
          </cell>
          <cell r="R188">
            <v>47</v>
          </cell>
          <cell r="S188">
            <v>94</v>
          </cell>
        </row>
        <row r="189">
          <cell r="K189">
            <v>0.46</v>
          </cell>
          <cell r="Q189">
            <v>35</v>
          </cell>
          <cell r="R189">
            <v>71</v>
          </cell>
          <cell r="S189">
            <v>106</v>
          </cell>
        </row>
        <row r="190">
          <cell r="K190">
            <v>0.44</v>
          </cell>
          <cell r="Q190">
            <v>40</v>
          </cell>
          <cell r="R190">
            <v>70</v>
          </cell>
          <cell r="S190">
            <v>110</v>
          </cell>
        </row>
        <row r="191">
          <cell r="K191">
            <v>0.42</v>
          </cell>
          <cell r="Q191">
            <v>0</v>
          </cell>
          <cell r="R191">
            <v>2</v>
          </cell>
          <cell r="S191">
            <v>2</v>
          </cell>
        </row>
        <row r="192">
          <cell r="K192">
            <v>0.4</v>
          </cell>
          <cell r="Q192">
            <v>0</v>
          </cell>
          <cell r="R192">
            <v>1</v>
          </cell>
          <cell r="S192">
            <v>1</v>
          </cell>
        </row>
        <row r="193">
          <cell r="K193">
            <v>0.4</v>
          </cell>
          <cell r="Q193">
            <v>0</v>
          </cell>
          <cell r="R193">
            <v>8</v>
          </cell>
          <cell r="S193">
            <v>8</v>
          </cell>
        </row>
        <row r="194">
          <cell r="K194">
            <v>0.36</v>
          </cell>
          <cell r="Q194">
            <v>16</v>
          </cell>
          <cell r="R194">
            <v>54</v>
          </cell>
          <cell r="S194">
            <v>70</v>
          </cell>
        </row>
        <row r="195">
          <cell r="K195">
            <v>0.36</v>
          </cell>
          <cell r="Q195">
            <v>20</v>
          </cell>
          <cell r="R195">
            <v>73</v>
          </cell>
          <cell r="S195">
            <v>93</v>
          </cell>
        </row>
        <row r="196">
          <cell r="K196">
            <v>0.36</v>
          </cell>
          <cell r="Q196">
            <v>11</v>
          </cell>
          <cell r="R196">
            <v>64</v>
          </cell>
          <cell r="S196">
            <v>75</v>
          </cell>
        </row>
        <row r="197">
          <cell r="K197">
            <v>0.34</v>
          </cell>
          <cell r="Q197">
            <v>9</v>
          </cell>
          <cell r="R197">
            <v>67</v>
          </cell>
          <cell r="S197">
            <v>76</v>
          </cell>
        </row>
        <row r="198">
          <cell r="K198">
            <v>0.34</v>
          </cell>
          <cell r="Q198">
            <v>7</v>
          </cell>
          <cell r="R198">
            <v>58</v>
          </cell>
          <cell r="S198">
            <v>65</v>
          </cell>
        </row>
        <row r="199">
          <cell r="K199">
            <v>0.36</v>
          </cell>
          <cell r="Q199">
            <v>10</v>
          </cell>
          <cell r="R199">
            <v>43</v>
          </cell>
          <cell r="S199">
            <v>53</v>
          </cell>
        </row>
        <row r="200">
          <cell r="K200">
            <v>0.32</v>
          </cell>
          <cell r="Q200">
            <v>1</v>
          </cell>
          <cell r="R200">
            <v>29</v>
          </cell>
          <cell r="S200">
            <v>30</v>
          </cell>
        </row>
        <row r="201">
          <cell r="K201">
            <v>0.26</v>
          </cell>
          <cell r="Q201">
            <v>11</v>
          </cell>
          <cell r="R201">
            <v>20</v>
          </cell>
          <cell r="S201">
            <v>31</v>
          </cell>
        </row>
        <row r="202">
          <cell r="K202">
            <v>0.24</v>
          </cell>
          <cell r="Q202">
            <v>0</v>
          </cell>
          <cell r="R202">
            <v>9</v>
          </cell>
          <cell r="S202">
            <v>9</v>
          </cell>
        </row>
        <row r="203">
          <cell r="K203">
            <v>0.22</v>
          </cell>
          <cell r="Q203">
            <v>0</v>
          </cell>
          <cell r="R203">
            <v>8</v>
          </cell>
          <cell r="S203">
            <v>8</v>
          </cell>
        </row>
        <row r="204">
          <cell r="K204">
            <v>0.22</v>
          </cell>
          <cell r="Q204">
            <v>0</v>
          </cell>
          <cell r="R204">
            <v>5</v>
          </cell>
          <cell r="S204">
            <v>5</v>
          </cell>
        </row>
        <row r="205">
          <cell r="K205">
            <v>0.16</v>
          </cell>
          <cell r="Q205">
            <v>0</v>
          </cell>
          <cell r="R205">
            <v>1</v>
          </cell>
          <cell r="S205">
            <v>1</v>
          </cell>
        </row>
        <row r="206">
          <cell r="K206">
            <v>0.16</v>
          </cell>
          <cell r="Q206">
            <v>0</v>
          </cell>
          <cell r="R206">
            <v>3</v>
          </cell>
          <cell r="S206">
            <v>3</v>
          </cell>
        </row>
        <row r="207">
          <cell r="K207">
            <v>0.14000000000000001</v>
          </cell>
          <cell r="Q207">
            <v>0</v>
          </cell>
          <cell r="R207">
            <v>30</v>
          </cell>
          <cell r="S207">
            <v>30</v>
          </cell>
        </row>
        <row r="208">
          <cell r="K208">
            <v>0.14000000000000001</v>
          </cell>
          <cell r="Q208">
            <v>1</v>
          </cell>
          <cell r="R208">
            <v>63</v>
          </cell>
          <cell r="S208">
            <v>64</v>
          </cell>
        </row>
        <row r="209">
          <cell r="K209">
            <v>0.14000000000000001</v>
          </cell>
          <cell r="Q209">
            <v>1</v>
          </cell>
          <cell r="R209">
            <v>153</v>
          </cell>
          <cell r="S209">
            <v>154</v>
          </cell>
        </row>
        <row r="210">
          <cell r="K210">
            <v>0.16</v>
          </cell>
          <cell r="Q210">
            <v>7</v>
          </cell>
          <cell r="R210">
            <v>81</v>
          </cell>
          <cell r="S210">
            <v>88</v>
          </cell>
        </row>
        <row r="211">
          <cell r="K211">
            <v>0.18</v>
          </cell>
          <cell r="Q211">
            <v>11</v>
          </cell>
          <cell r="R211">
            <v>33</v>
          </cell>
          <cell r="S211">
            <v>44</v>
          </cell>
        </row>
        <row r="212">
          <cell r="K212">
            <v>0.2</v>
          </cell>
          <cell r="Q212">
            <v>10</v>
          </cell>
          <cell r="R212">
            <v>41</v>
          </cell>
          <cell r="S212">
            <v>51</v>
          </cell>
        </row>
        <row r="213">
          <cell r="K213">
            <v>0.22</v>
          </cell>
          <cell r="Q213">
            <v>13</v>
          </cell>
          <cell r="R213">
            <v>48</v>
          </cell>
          <cell r="S213">
            <v>61</v>
          </cell>
        </row>
        <row r="214">
          <cell r="K214">
            <v>0.26</v>
          </cell>
          <cell r="Q214">
            <v>11</v>
          </cell>
          <cell r="R214">
            <v>66</v>
          </cell>
          <cell r="S214">
            <v>77</v>
          </cell>
        </row>
        <row r="215">
          <cell r="K215">
            <v>0.26</v>
          </cell>
          <cell r="Q215">
            <v>14</v>
          </cell>
          <cell r="R215">
            <v>58</v>
          </cell>
          <cell r="S215">
            <v>72</v>
          </cell>
        </row>
        <row r="216">
          <cell r="K216">
            <v>0.26</v>
          </cell>
          <cell r="Q216">
            <v>9</v>
          </cell>
          <cell r="R216">
            <v>67</v>
          </cell>
          <cell r="S216">
            <v>76</v>
          </cell>
        </row>
        <row r="217">
          <cell r="K217">
            <v>0.24</v>
          </cell>
          <cell r="Q217">
            <v>11</v>
          </cell>
          <cell r="R217">
            <v>146</v>
          </cell>
          <cell r="S217">
            <v>157</v>
          </cell>
        </row>
        <row r="218">
          <cell r="K218">
            <v>0.24</v>
          </cell>
          <cell r="Q218">
            <v>9</v>
          </cell>
          <cell r="R218">
            <v>148</v>
          </cell>
          <cell r="S218">
            <v>157</v>
          </cell>
        </row>
        <row r="219">
          <cell r="K219">
            <v>0.2</v>
          </cell>
          <cell r="Q219">
            <v>8</v>
          </cell>
          <cell r="R219">
            <v>102</v>
          </cell>
          <cell r="S219">
            <v>110</v>
          </cell>
        </row>
        <row r="220">
          <cell r="K220">
            <v>0.18</v>
          </cell>
          <cell r="Q220">
            <v>3</v>
          </cell>
          <cell r="R220">
            <v>49</v>
          </cell>
          <cell r="S220">
            <v>52</v>
          </cell>
        </row>
        <row r="221">
          <cell r="K221">
            <v>0.14000000000000001</v>
          </cell>
          <cell r="Q221">
            <v>0</v>
          </cell>
          <cell r="R221">
            <v>20</v>
          </cell>
          <cell r="S221">
            <v>20</v>
          </cell>
        </row>
        <row r="222">
          <cell r="K222">
            <v>0.18</v>
          </cell>
          <cell r="Q222">
            <v>1</v>
          </cell>
          <cell r="R222">
            <v>11</v>
          </cell>
          <cell r="S222">
            <v>12</v>
          </cell>
        </row>
        <row r="223">
          <cell r="K223">
            <v>0.16</v>
          </cell>
          <cell r="Q223">
            <v>0</v>
          </cell>
          <cell r="R223">
            <v>2</v>
          </cell>
          <cell r="S223">
            <v>2</v>
          </cell>
        </row>
        <row r="224">
          <cell r="K224">
            <v>0.14000000000000001</v>
          </cell>
          <cell r="Q224">
            <v>0</v>
          </cell>
          <cell r="R224">
            <v>1</v>
          </cell>
          <cell r="S224">
            <v>1</v>
          </cell>
        </row>
        <row r="225">
          <cell r="K225">
            <v>0.14000000000000001</v>
          </cell>
          <cell r="Q225">
            <v>0</v>
          </cell>
          <cell r="R225">
            <v>2</v>
          </cell>
          <cell r="S225">
            <v>2</v>
          </cell>
        </row>
        <row r="226">
          <cell r="K226">
            <v>0.12</v>
          </cell>
          <cell r="Q226">
            <v>0</v>
          </cell>
          <cell r="R226">
            <v>4</v>
          </cell>
          <cell r="S226">
            <v>4</v>
          </cell>
        </row>
        <row r="227">
          <cell r="K227">
            <v>0.12</v>
          </cell>
          <cell r="Q227">
            <v>0</v>
          </cell>
          <cell r="R227">
            <v>36</v>
          </cell>
          <cell r="S227">
            <v>36</v>
          </cell>
        </row>
        <row r="228">
          <cell r="K228">
            <v>0.12</v>
          </cell>
          <cell r="Q228">
            <v>2</v>
          </cell>
          <cell r="R228">
            <v>92</v>
          </cell>
          <cell r="S228">
            <v>94</v>
          </cell>
        </row>
        <row r="229">
          <cell r="K229">
            <v>0.14000000000000001</v>
          </cell>
          <cell r="Q229">
            <v>2</v>
          </cell>
          <cell r="R229">
            <v>177</v>
          </cell>
          <cell r="S229">
            <v>179</v>
          </cell>
        </row>
        <row r="230">
          <cell r="K230">
            <v>0.16</v>
          </cell>
          <cell r="Q230">
            <v>2</v>
          </cell>
          <cell r="R230">
            <v>98</v>
          </cell>
          <cell r="S230">
            <v>100</v>
          </cell>
        </row>
        <row r="231">
          <cell r="K231">
            <v>0.16</v>
          </cell>
          <cell r="Q231">
            <v>5</v>
          </cell>
          <cell r="R231">
            <v>37</v>
          </cell>
          <cell r="S231">
            <v>42</v>
          </cell>
        </row>
        <row r="232">
          <cell r="K232">
            <v>0.22</v>
          </cell>
          <cell r="Q232">
            <v>7</v>
          </cell>
          <cell r="R232">
            <v>50</v>
          </cell>
          <cell r="S232">
            <v>57</v>
          </cell>
        </row>
        <row r="233">
          <cell r="K233">
            <v>0.22</v>
          </cell>
          <cell r="Q233">
            <v>12</v>
          </cell>
          <cell r="R233">
            <v>66</v>
          </cell>
          <cell r="S233">
            <v>78</v>
          </cell>
        </row>
        <row r="234">
          <cell r="K234">
            <v>0.24</v>
          </cell>
          <cell r="Q234">
            <v>18</v>
          </cell>
          <cell r="R234">
            <v>79</v>
          </cell>
          <cell r="S234">
            <v>97</v>
          </cell>
        </row>
        <row r="235">
          <cell r="K235">
            <v>0.26</v>
          </cell>
          <cell r="Q235">
            <v>9</v>
          </cell>
          <cell r="R235">
            <v>54</v>
          </cell>
          <cell r="S235">
            <v>63</v>
          </cell>
        </row>
        <row r="236">
          <cell r="K236">
            <v>0.28000000000000003</v>
          </cell>
          <cell r="Q236">
            <v>17</v>
          </cell>
          <cell r="R236">
            <v>48</v>
          </cell>
          <cell r="S236">
            <v>65</v>
          </cell>
        </row>
        <row r="237">
          <cell r="K237">
            <v>0.3</v>
          </cell>
          <cell r="Q237">
            <v>15</v>
          </cell>
          <cell r="R237">
            <v>68</v>
          </cell>
          <cell r="S237">
            <v>83</v>
          </cell>
        </row>
        <row r="238">
          <cell r="K238">
            <v>0.28000000000000003</v>
          </cell>
          <cell r="Q238">
            <v>10</v>
          </cell>
          <cell r="R238">
            <v>202</v>
          </cell>
          <cell r="S238">
            <v>212</v>
          </cell>
        </row>
        <row r="239">
          <cell r="K239">
            <v>0.26</v>
          </cell>
          <cell r="Q239">
            <v>3</v>
          </cell>
          <cell r="R239">
            <v>179</v>
          </cell>
          <cell r="S239">
            <v>182</v>
          </cell>
        </row>
        <row r="240">
          <cell r="K240">
            <v>0.24</v>
          </cell>
          <cell r="Q240">
            <v>2</v>
          </cell>
          <cell r="R240">
            <v>110</v>
          </cell>
          <cell r="S240">
            <v>112</v>
          </cell>
        </row>
        <row r="241">
          <cell r="K241">
            <v>0.24</v>
          </cell>
          <cell r="Q241">
            <v>1</v>
          </cell>
          <cell r="R241">
            <v>53</v>
          </cell>
          <cell r="S241">
            <v>54</v>
          </cell>
        </row>
        <row r="242">
          <cell r="K242">
            <v>0.22</v>
          </cell>
          <cell r="Q242">
            <v>0</v>
          </cell>
          <cell r="R242">
            <v>48</v>
          </cell>
          <cell r="S242">
            <v>48</v>
          </cell>
        </row>
        <row r="243">
          <cell r="K243">
            <v>0.22</v>
          </cell>
          <cell r="Q243">
            <v>1</v>
          </cell>
          <cell r="R243">
            <v>34</v>
          </cell>
          <cell r="S243">
            <v>35</v>
          </cell>
        </row>
        <row r="244">
          <cell r="K244">
            <v>0.2</v>
          </cell>
          <cell r="Q244">
            <v>2</v>
          </cell>
          <cell r="R244">
            <v>9</v>
          </cell>
          <cell r="S244">
            <v>11</v>
          </cell>
        </row>
        <row r="245">
          <cell r="K245">
            <v>0.2</v>
          </cell>
          <cell r="Q245">
            <v>0</v>
          </cell>
          <cell r="R245">
            <v>6</v>
          </cell>
          <cell r="S245">
            <v>6</v>
          </cell>
        </row>
        <row r="246">
          <cell r="K246">
            <v>0.16</v>
          </cell>
          <cell r="Q246">
            <v>0</v>
          </cell>
          <cell r="R246">
            <v>6</v>
          </cell>
          <cell r="S246">
            <v>6</v>
          </cell>
        </row>
        <row r="247">
          <cell r="K247">
            <v>0.16</v>
          </cell>
          <cell r="Q247">
            <v>0</v>
          </cell>
          <cell r="R247">
            <v>2</v>
          </cell>
          <cell r="S247">
            <v>2</v>
          </cell>
        </row>
        <row r="248">
          <cell r="K248">
            <v>0.24</v>
          </cell>
          <cell r="Q248">
            <v>0</v>
          </cell>
          <cell r="R248">
            <v>2</v>
          </cell>
          <cell r="S248">
            <v>2</v>
          </cell>
        </row>
        <row r="249">
          <cell r="K249">
            <v>0.22</v>
          </cell>
          <cell r="Q249">
            <v>0</v>
          </cell>
          <cell r="R249">
            <v>3</v>
          </cell>
          <cell r="S249">
            <v>3</v>
          </cell>
        </row>
        <row r="250">
          <cell r="K250">
            <v>0.2</v>
          </cell>
          <cell r="Q250">
            <v>0</v>
          </cell>
          <cell r="R250">
            <v>33</v>
          </cell>
          <cell r="S250">
            <v>33</v>
          </cell>
        </row>
        <row r="251">
          <cell r="K251">
            <v>0.18</v>
          </cell>
          <cell r="Q251">
            <v>1</v>
          </cell>
          <cell r="R251">
            <v>87</v>
          </cell>
          <cell r="S251">
            <v>88</v>
          </cell>
        </row>
        <row r="252">
          <cell r="K252">
            <v>0.2</v>
          </cell>
          <cell r="Q252">
            <v>3</v>
          </cell>
          <cell r="R252">
            <v>192</v>
          </cell>
          <cell r="S252">
            <v>195</v>
          </cell>
        </row>
        <row r="253">
          <cell r="K253">
            <v>0.22</v>
          </cell>
          <cell r="Q253">
            <v>6</v>
          </cell>
          <cell r="R253">
            <v>109</v>
          </cell>
          <cell r="S253">
            <v>115</v>
          </cell>
        </row>
        <row r="254">
          <cell r="K254">
            <v>0.22</v>
          </cell>
          <cell r="Q254">
            <v>4</v>
          </cell>
          <cell r="R254">
            <v>53</v>
          </cell>
          <cell r="S254">
            <v>57</v>
          </cell>
        </row>
        <row r="255">
          <cell r="K255">
            <v>0.26</v>
          </cell>
          <cell r="Q255">
            <v>12</v>
          </cell>
          <cell r="R255">
            <v>34</v>
          </cell>
          <cell r="S255">
            <v>46</v>
          </cell>
        </row>
        <row r="256">
          <cell r="K256">
            <v>0.26</v>
          </cell>
          <cell r="Q256">
            <v>5</v>
          </cell>
          <cell r="R256">
            <v>74</v>
          </cell>
          <cell r="S256">
            <v>79</v>
          </cell>
        </row>
        <row r="257">
          <cell r="K257">
            <v>0.28000000000000003</v>
          </cell>
          <cell r="Q257">
            <v>6</v>
          </cell>
          <cell r="R257">
            <v>65</v>
          </cell>
          <cell r="S257">
            <v>71</v>
          </cell>
        </row>
        <row r="258">
          <cell r="K258">
            <v>0.3</v>
          </cell>
          <cell r="Q258">
            <v>10</v>
          </cell>
          <cell r="R258">
            <v>52</v>
          </cell>
          <cell r="S258">
            <v>62</v>
          </cell>
        </row>
        <row r="259">
          <cell r="K259">
            <v>0.3</v>
          </cell>
          <cell r="Q259">
            <v>7</v>
          </cell>
          <cell r="R259">
            <v>55</v>
          </cell>
          <cell r="S259">
            <v>62</v>
          </cell>
        </row>
        <row r="260">
          <cell r="K260">
            <v>0.3</v>
          </cell>
          <cell r="Q260">
            <v>4</v>
          </cell>
          <cell r="R260">
            <v>85</v>
          </cell>
          <cell r="S260">
            <v>89</v>
          </cell>
        </row>
        <row r="261">
          <cell r="K261">
            <v>0.24</v>
          </cell>
          <cell r="Q261">
            <v>4</v>
          </cell>
          <cell r="R261">
            <v>186</v>
          </cell>
          <cell r="S261">
            <v>190</v>
          </cell>
        </row>
        <row r="262">
          <cell r="K262">
            <v>0.24</v>
          </cell>
          <cell r="Q262">
            <v>3</v>
          </cell>
          <cell r="R262">
            <v>166</v>
          </cell>
          <cell r="S262">
            <v>169</v>
          </cell>
        </row>
        <row r="263">
          <cell r="K263">
            <v>0.24</v>
          </cell>
          <cell r="Q263">
            <v>5</v>
          </cell>
          <cell r="R263">
            <v>127</v>
          </cell>
          <cell r="S263">
            <v>132</v>
          </cell>
        </row>
        <row r="264">
          <cell r="K264">
            <v>0.22</v>
          </cell>
          <cell r="Q264">
            <v>7</v>
          </cell>
          <cell r="R264">
            <v>82</v>
          </cell>
          <cell r="S264">
            <v>89</v>
          </cell>
        </row>
        <row r="265">
          <cell r="K265">
            <v>0.2</v>
          </cell>
          <cell r="Q265">
            <v>3</v>
          </cell>
          <cell r="R265">
            <v>40</v>
          </cell>
          <cell r="S265">
            <v>43</v>
          </cell>
        </row>
        <row r="266">
          <cell r="K266">
            <v>0.18</v>
          </cell>
          <cell r="Q266">
            <v>1</v>
          </cell>
          <cell r="R266">
            <v>41</v>
          </cell>
          <cell r="S266">
            <v>42</v>
          </cell>
        </row>
        <row r="267">
          <cell r="K267">
            <v>0.2</v>
          </cell>
          <cell r="Q267">
            <v>1</v>
          </cell>
          <cell r="R267">
            <v>18</v>
          </cell>
          <cell r="S267">
            <v>19</v>
          </cell>
        </row>
        <row r="268">
          <cell r="K268">
            <v>0.18</v>
          </cell>
          <cell r="Q268">
            <v>0</v>
          </cell>
          <cell r="R268">
            <v>11</v>
          </cell>
          <cell r="S268">
            <v>11</v>
          </cell>
        </row>
        <row r="269">
          <cell r="K269">
            <v>0.16</v>
          </cell>
          <cell r="Q269">
            <v>0</v>
          </cell>
          <cell r="R269">
            <v>4</v>
          </cell>
          <cell r="S269">
            <v>4</v>
          </cell>
        </row>
        <row r="270">
          <cell r="K270">
            <v>0.16</v>
          </cell>
          <cell r="Q270">
            <v>0</v>
          </cell>
          <cell r="R270">
            <v>2</v>
          </cell>
          <cell r="S270">
            <v>2</v>
          </cell>
        </row>
        <row r="271">
          <cell r="K271">
            <v>0.16</v>
          </cell>
          <cell r="Q271">
            <v>0</v>
          </cell>
          <cell r="R271">
            <v>1</v>
          </cell>
          <cell r="S271">
            <v>1</v>
          </cell>
        </row>
        <row r="272">
          <cell r="K272">
            <v>0.14000000000000001</v>
          </cell>
          <cell r="Q272">
            <v>0</v>
          </cell>
          <cell r="R272">
            <v>4</v>
          </cell>
          <cell r="S272">
            <v>4</v>
          </cell>
        </row>
        <row r="273">
          <cell r="K273">
            <v>0.14000000000000001</v>
          </cell>
          <cell r="Q273">
            <v>0</v>
          </cell>
          <cell r="R273">
            <v>36</v>
          </cell>
          <cell r="S273">
            <v>36</v>
          </cell>
        </row>
        <row r="274">
          <cell r="K274">
            <v>0.16</v>
          </cell>
          <cell r="Q274">
            <v>0</v>
          </cell>
          <cell r="R274">
            <v>95</v>
          </cell>
          <cell r="S274">
            <v>95</v>
          </cell>
        </row>
        <row r="275">
          <cell r="K275">
            <v>0.16</v>
          </cell>
          <cell r="Q275">
            <v>3</v>
          </cell>
          <cell r="R275">
            <v>216</v>
          </cell>
          <cell r="S275">
            <v>219</v>
          </cell>
        </row>
        <row r="276">
          <cell r="K276">
            <v>0.18</v>
          </cell>
          <cell r="Q276">
            <v>6</v>
          </cell>
          <cell r="R276">
            <v>116</v>
          </cell>
          <cell r="S276">
            <v>122</v>
          </cell>
        </row>
        <row r="277">
          <cell r="K277">
            <v>0.2</v>
          </cell>
          <cell r="Q277">
            <v>3</v>
          </cell>
          <cell r="R277">
            <v>42</v>
          </cell>
          <cell r="S277">
            <v>45</v>
          </cell>
        </row>
        <row r="278">
          <cell r="K278">
            <v>0.22</v>
          </cell>
          <cell r="Q278">
            <v>2</v>
          </cell>
          <cell r="R278">
            <v>57</v>
          </cell>
          <cell r="S278">
            <v>59</v>
          </cell>
        </row>
        <row r="279">
          <cell r="K279">
            <v>0.26</v>
          </cell>
          <cell r="Q279">
            <v>6</v>
          </cell>
          <cell r="R279">
            <v>78</v>
          </cell>
          <cell r="S279">
            <v>84</v>
          </cell>
        </row>
        <row r="280">
          <cell r="K280">
            <v>0.26</v>
          </cell>
          <cell r="Q280">
            <v>12</v>
          </cell>
          <cell r="R280">
            <v>55</v>
          </cell>
          <cell r="S280">
            <v>67</v>
          </cell>
        </row>
        <row r="281">
          <cell r="K281">
            <v>0.28000000000000003</v>
          </cell>
          <cell r="Q281">
            <v>11</v>
          </cell>
          <cell r="R281">
            <v>59</v>
          </cell>
          <cell r="S281">
            <v>70</v>
          </cell>
        </row>
        <row r="282">
          <cell r="K282">
            <v>0.28000000000000003</v>
          </cell>
          <cell r="Q282">
            <v>8</v>
          </cell>
          <cell r="R282">
            <v>54</v>
          </cell>
          <cell r="S282">
            <v>62</v>
          </cell>
        </row>
        <row r="283">
          <cell r="K283">
            <v>0.26</v>
          </cell>
          <cell r="Q283">
            <v>12</v>
          </cell>
          <cell r="R283">
            <v>74</v>
          </cell>
          <cell r="S283">
            <v>86</v>
          </cell>
        </row>
        <row r="284">
          <cell r="K284">
            <v>0.22</v>
          </cell>
          <cell r="Q284">
            <v>9</v>
          </cell>
          <cell r="R284">
            <v>163</v>
          </cell>
          <cell r="S284">
            <v>172</v>
          </cell>
        </row>
        <row r="285">
          <cell r="K285">
            <v>0.22</v>
          </cell>
          <cell r="Q285">
            <v>5</v>
          </cell>
          <cell r="R285">
            <v>158</v>
          </cell>
          <cell r="S285">
            <v>163</v>
          </cell>
        </row>
        <row r="286">
          <cell r="K286">
            <v>0.22</v>
          </cell>
          <cell r="Q286">
            <v>3</v>
          </cell>
          <cell r="R286">
            <v>109</v>
          </cell>
          <cell r="S286">
            <v>112</v>
          </cell>
        </row>
        <row r="287">
          <cell r="K287">
            <v>0.2</v>
          </cell>
          <cell r="Q287">
            <v>3</v>
          </cell>
          <cell r="R287">
            <v>66</v>
          </cell>
          <cell r="S287">
            <v>69</v>
          </cell>
        </row>
        <row r="288">
          <cell r="K288">
            <v>0.22</v>
          </cell>
          <cell r="Q288">
            <v>0</v>
          </cell>
          <cell r="R288">
            <v>48</v>
          </cell>
          <cell r="S288">
            <v>48</v>
          </cell>
        </row>
        <row r="289">
          <cell r="K289">
            <v>0.22</v>
          </cell>
          <cell r="Q289">
            <v>1</v>
          </cell>
          <cell r="R289">
            <v>51</v>
          </cell>
          <cell r="S289">
            <v>52</v>
          </cell>
        </row>
        <row r="290">
          <cell r="K290">
            <v>0.2</v>
          </cell>
          <cell r="Q290">
            <v>4</v>
          </cell>
          <cell r="R290">
            <v>19</v>
          </cell>
          <cell r="S290">
            <v>23</v>
          </cell>
        </row>
        <row r="291">
          <cell r="K291">
            <v>0.2</v>
          </cell>
          <cell r="Q291">
            <v>4</v>
          </cell>
          <cell r="R291">
            <v>13</v>
          </cell>
          <cell r="S291">
            <v>17</v>
          </cell>
        </row>
        <row r="292">
          <cell r="K292">
            <v>0.2</v>
          </cell>
          <cell r="Q292">
            <v>2</v>
          </cell>
          <cell r="R292">
            <v>5</v>
          </cell>
          <cell r="S292">
            <v>7</v>
          </cell>
        </row>
        <row r="293">
          <cell r="K293">
            <v>0.2</v>
          </cell>
          <cell r="Q293">
            <v>0</v>
          </cell>
          <cell r="R293">
            <v>1</v>
          </cell>
          <cell r="S293">
            <v>1</v>
          </cell>
        </row>
        <row r="294">
          <cell r="K294">
            <v>0.2</v>
          </cell>
          <cell r="Q294">
            <v>0</v>
          </cell>
          <cell r="R294">
            <v>1</v>
          </cell>
          <cell r="S294">
            <v>1</v>
          </cell>
        </row>
        <row r="295">
          <cell r="K295">
            <v>0.22</v>
          </cell>
          <cell r="Q295">
            <v>0</v>
          </cell>
          <cell r="R295">
            <v>5</v>
          </cell>
          <cell r="S295">
            <v>5</v>
          </cell>
        </row>
        <row r="296">
          <cell r="K296">
            <v>0.2</v>
          </cell>
          <cell r="Q296">
            <v>8</v>
          </cell>
          <cell r="R296">
            <v>26</v>
          </cell>
          <cell r="S296">
            <v>34</v>
          </cell>
        </row>
        <row r="297">
          <cell r="K297">
            <v>0.2</v>
          </cell>
          <cell r="Q297">
            <v>8</v>
          </cell>
          <cell r="R297">
            <v>76</v>
          </cell>
          <cell r="S297">
            <v>84</v>
          </cell>
        </row>
        <row r="298">
          <cell r="K298">
            <v>0.2</v>
          </cell>
          <cell r="Q298">
            <v>20</v>
          </cell>
          <cell r="R298">
            <v>190</v>
          </cell>
          <cell r="S298">
            <v>210</v>
          </cell>
        </row>
        <row r="299">
          <cell r="K299">
            <v>0.2</v>
          </cell>
          <cell r="Q299">
            <v>9</v>
          </cell>
          <cell r="R299">
            <v>125</v>
          </cell>
          <cell r="S299">
            <v>134</v>
          </cell>
        </row>
        <row r="300">
          <cell r="K300">
            <v>0.22</v>
          </cell>
          <cell r="Q300">
            <v>16</v>
          </cell>
          <cell r="R300">
            <v>47</v>
          </cell>
          <cell r="S300">
            <v>63</v>
          </cell>
        </row>
        <row r="301">
          <cell r="K301">
            <v>0.2</v>
          </cell>
          <cell r="Q301">
            <v>19</v>
          </cell>
          <cell r="R301">
            <v>48</v>
          </cell>
          <cell r="S301">
            <v>67</v>
          </cell>
        </row>
        <row r="302">
          <cell r="K302">
            <v>0.2</v>
          </cell>
          <cell r="Q302">
            <v>9</v>
          </cell>
          <cell r="R302">
            <v>50</v>
          </cell>
          <cell r="S302">
            <v>59</v>
          </cell>
        </row>
        <row r="303">
          <cell r="K303">
            <v>0.2</v>
          </cell>
          <cell r="Q303">
            <v>9</v>
          </cell>
          <cell r="R303">
            <v>64</v>
          </cell>
          <cell r="S303">
            <v>73</v>
          </cell>
        </row>
        <row r="304">
          <cell r="K304">
            <v>0.2</v>
          </cell>
          <cell r="Q304">
            <v>7</v>
          </cell>
          <cell r="R304">
            <v>43</v>
          </cell>
          <cell r="S304">
            <v>50</v>
          </cell>
        </row>
        <row r="305">
          <cell r="K305">
            <v>0.2</v>
          </cell>
          <cell r="Q305">
            <v>9</v>
          </cell>
          <cell r="R305">
            <v>63</v>
          </cell>
          <cell r="S305">
            <v>72</v>
          </cell>
        </row>
        <row r="306">
          <cell r="K306">
            <v>0.2</v>
          </cell>
          <cell r="Q306">
            <v>5</v>
          </cell>
          <cell r="R306">
            <v>82</v>
          </cell>
          <cell r="S306">
            <v>87</v>
          </cell>
        </row>
        <row r="307">
          <cell r="K307">
            <v>0.2</v>
          </cell>
          <cell r="Q307">
            <v>9</v>
          </cell>
          <cell r="R307">
            <v>178</v>
          </cell>
          <cell r="S307">
            <v>187</v>
          </cell>
        </row>
        <row r="308">
          <cell r="K308">
            <v>0.2</v>
          </cell>
          <cell r="Q308">
            <v>7</v>
          </cell>
          <cell r="R308">
            <v>116</v>
          </cell>
          <cell r="S308">
            <v>123</v>
          </cell>
        </row>
        <row r="309">
          <cell r="K309">
            <v>0.16</v>
          </cell>
          <cell r="Q309">
            <v>3</v>
          </cell>
          <cell r="R309">
            <v>92</v>
          </cell>
          <cell r="S309">
            <v>95</v>
          </cell>
        </row>
        <row r="310">
          <cell r="K310">
            <v>0.18</v>
          </cell>
          <cell r="Q310">
            <v>1</v>
          </cell>
          <cell r="R310">
            <v>50</v>
          </cell>
          <cell r="S310">
            <v>51</v>
          </cell>
        </row>
        <row r="311">
          <cell r="K311">
            <v>0.18</v>
          </cell>
          <cell r="Q311">
            <v>0</v>
          </cell>
          <cell r="R311">
            <v>39</v>
          </cell>
          <cell r="S311">
            <v>39</v>
          </cell>
        </row>
        <row r="312">
          <cell r="K312">
            <v>0.18</v>
          </cell>
          <cell r="Q312">
            <v>2</v>
          </cell>
          <cell r="R312">
            <v>34</v>
          </cell>
          <cell r="S312">
            <v>36</v>
          </cell>
        </row>
        <row r="313">
          <cell r="K313">
            <v>0.18</v>
          </cell>
          <cell r="Q313">
            <v>1</v>
          </cell>
          <cell r="R313">
            <v>14</v>
          </cell>
          <cell r="S313">
            <v>15</v>
          </cell>
        </row>
        <row r="314">
          <cell r="K314">
            <v>0.18</v>
          </cell>
          <cell r="Q314">
            <v>1</v>
          </cell>
          <cell r="R314">
            <v>24</v>
          </cell>
          <cell r="S314">
            <v>25</v>
          </cell>
        </row>
        <row r="315">
          <cell r="K315">
            <v>0.18</v>
          </cell>
          <cell r="Q315">
            <v>1</v>
          </cell>
          <cell r="R315">
            <v>15</v>
          </cell>
          <cell r="S315">
            <v>16</v>
          </cell>
        </row>
        <row r="316">
          <cell r="K316">
            <v>0.18</v>
          </cell>
          <cell r="Q316">
            <v>3</v>
          </cell>
          <cell r="R316">
            <v>13</v>
          </cell>
          <cell r="S316">
            <v>16</v>
          </cell>
        </row>
        <row r="317">
          <cell r="K317">
            <v>0.18</v>
          </cell>
          <cell r="Q317">
            <v>0</v>
          </cell>
          <cell r="R317">
            <v>7</v>
          </cell>
          <cell r="S317">
            <v>7</v>
          </cell>
        </row>
        <row r="318">
          <cell r="K318">
            <v>0.18</v>
          </cell>
          <cell r="Q318">
            <v>0</v>
          </cell>
          <cell r="R318">
            <v>1</v>
          </cell>
          <cell r="S318">
            <v>1</v>
          </cell>
        </row>
        <row r="319">
          <cell r="K319">
            <v>0.16</v>
          </cell>
          <cell r="Q319">
            <v>0</v>
          </cell>
          <cell r="R319">
            <v>5</v>
          </cell>
          <cell r="S319">
            <v>5</v>
          </cell>
        </row>
        <row r="320">
          <cell r="K320">
            <v>0.16</v>
          </cell>
          <cell r="Q320">
            <v>0</v>
          </cell>
          <cell r="R320">
            <v>2</v>
          </cell>
          <cell r="S320">
            <v>2</v>
          </cell>
        </row>
        <row r="321">
          <cell r="K321">
            <v>0.16</v>
          </cell>
          <cell r="Q321">
            <v>1</v>
          </cell>
          <cell r="R321">
            <v>8</v>
          </cell>
          <cell r="S321">
            <v>9</v>
          </cell>
        </row>
        <row r="322">
          <cell r="K322">
            <v>0.2</v>
          </cell>
          <cell r="Q322">
            <v>2</v>
          </cell>
          <cell r="R322">
            <v>60</v>
          </cell>
          <cell r="S322">
            <v>62</v>
          </cell>
        </row>
        <row r="323">
          <cell r="K323">
            <v>0.2</v>
          </cell>
          <cell r="Q323">
            <v>8</v>
          </cell>
          <cell r="R323">
            <v>90</v>
          </cell>
          <cell r="S323">
            <v>98</v>
          </cell>
        </row>
        <row r="324">
          <cell r="K324">
            <v>0.2</v>
          </cell>
          <cell r="Q324">
            <v>7</v>
          </cell>
          <cell r="R324">
            <v>95</v>
          </cell>
          <cell r="S324">
            <v>102</v>
          </cell>
        </row>
        <row r="325">
          <cell r="K325">
            <v>0.2</v>
          </cell>
          <cell r="Q325">
            <v>12</v>
          </cell>
          <cell r="R325">
            <v>83</v>
          </cell>
          <cell r="S325">
            <v>95</v>
          </cell>
        </row>
        <row r="326">
          <cell r="K326">
            <v>0.2</v>
          </cell>
          <cell r="Q326">
            <v>5</v>
          </cell>
          <cell r="R326">
            <v>69</v>
          </cell>
          <cell r="S326">
            <v>74</v>
          </cell>
        </row>
        <row r="327">
          <cell r="K327">
            <v>0.18</v>
          </cell>
          <cell r="Q327">
            <v>8</v>
          </cell>
          <cell r="R327">
            <v>68</v>
          </cell>
          <cell r="S327">
            <v>76</v>
          </cell>
        </row>
        <row r="328">
          <cell r="K328">
            <v>0.16</v>
          </cell>
          <cell r="Q328">
            <v>5</v>
          </cell>
          <cell r="R328">
            <v>64</v>
          </cell>
          <cell r="S328">
            <v>69</v>
          </cell>
        </row>
        <row r="329">
          <cell r="K329">
            <v>0.14000000000000001</v>
          </cell>
          <cell r="Q329">
            <v>3</v>
          </cell>
          <cell r="R329">
            <v>52</v>
          </cell>
          <cell r="S329">
            <v>55</v>
          </cell>
        </row>
        <row r="330">
          <cell r="K330">
            <v>0.14000000000000001</v>
          </cell>
          <cell r="Q330">
            <v>4</v>
          </cell>
          <cell r="R330">
            <v>26</v>
          </cell>
          <cell r="S330">
            <v>30</v>
          </cell>
        </row>
        <row r="331">
          <cell r="K331">
            <v>0.12</v>
          </cell>
          <cell r="Q331">
            <v>0</v>
          </cell>
          <cell r="R331">
            <v>28</v>
          </cell>
          <cell r="S331">
            <v>28</v>
          </cell>
        </row>
        <row r="332">
          <cell r="K332">
            <v>0.12</v>
          </cell>
          <cell r="Q332">
            <v>2</v>
          </cell>
          <cell r="R332">
            <v>35</v>
          </cell>
          <cell r="S332">
            <v>37</v>
          </cell>
        </row>
        <row r="333">
          <cell r="K333">
            <v>0.12</v>
          </cell>
          <cell r="Q333">
            <v>1</v>
          </cell>
          <cell r="R333">
            <v>33</v>
          </cell>
          <cell r="S333">
            <v>34</v>
          </cell>
        </row>
        <row r="334">
          <cell r="K334">
            <v>0.1</v>
          </cell>
          <cell r="Q334">
            <v>0</v>
          </cell>
          <cell r="R334">
            <v>22</v>
          </cell>
          <cell r="S334">
            <v>22</v>
          </cell>
        </row>
        <row r="335">
          <cell r="K335">
            <v>0.1</v>
          </cell>
          <cell r="Q335">
            <v>1</v>
          </cell>
          <cell r="R335">
            <v>24</v>
          </cell>
          <cell r="S335">
            <v>25</v>
          </cell>
        </row>
        <row r="336">
          <cell r="K336">
            <v>0.1</v>
          </cell>
          <cell r="Q336">
            <v>0</v>
          </cell>
          <cell r="R336">
            <v>12</v>
          </cell>
          <cell r="S336">
            <v>12</v>
          </cell>
        </row>
        <row r="337">
          <cell r="K337">
            <v>0.1</v>
          </cell>
          <cell r="Q337">
            <v>0</v>
          </cell>
          <cell r="R337">
            <v>11</v>
          </cell>
          <cell r="S337">
            <v>11</v>
          </cell>
        </row>
        <row r="338">
          <cell r="K338">
            <v>0.1</v>
          </cell>
          <cell r="Q338">
            <v>0</v>
          </cell>
          <cell r="R338">
            <v>4</v>
          </cell>
          <cell r="S338">
            <v>4</v>
          </cell>
        </row>
        <row r="339">
          <cell r="K339">
            <v>0.08</v>
          </cell>
          <cell r="Q339">
            <v>0</v>
          </cell>
          <cell r="R339">
            <v>1</v>
          </cell>
          <cell r="S339">
            <v>1</v>
          </cell>
        </row>
        <row r="340">
          <cell r="K340">
            <v>0.08</v>
          </cell>
          <cell r="Q340">
            <v>0</v>
          </cell>
          <cell r="R340">
            <v>1</v>
          </cell>
          <cell r="S340">
            <v>1</v>
          </cell>
        </row>
        <row r="341">
          <cell r="K341">
            <v>0.1</v>
          </cell>
          <cell r="Q341">
            <v>0</v>
          </cell>
          <cell r="R341">
            <v>1</v>
          </cell>
          <cell r="S341">
            <v>1</v>
          </cell>
        </row>
        <row r="342">
          <cell r="K342">
            <v>0.08</v>
          </cell>
          <cell r="Q342">
            <v>1</v>
          </cell>
          <cell r="R342">
            <v>5</v>
          </cell>
          <cell r="S342">
            <v>6</v>
          </cell>
        </row>
        <row r="343">
          <cell r="K343">
            <v>0.1</v>
          </cell>
          <cell r="Q343">
            <v>0</v>
          </cell>
          <cell r="R343">
            <v>10</v>
          </cell>
          <cell r="S343">
            <v>10</v>
          </cell>
        </row>
        <row r="344">
          <cell r="K344">
            <v>0.12</v>
          </cell>
          <cell r="Q344">
            <v>0</v>
          </cell>
          <cell r="R344">
            <v>19</v>
          </cell>
          <cell r="S344">
            <v>19</v>
          </cell>
        </row>
        <row r="345">
          <cell r="K345">
            <v>0.14000000000000001</v>
          </cell>
          <cell r="Q345">
            <v>0</v>
          </cell>
          <cell r="R345">
            <v>49</v>
          </cell>
          <cell r="S345">
            <v>49</v>
          </cell>
        </row>
        <row r="346">
          <cell r="K346">
            <v>0.16</v>
          </cell>
          <cell r="Q346">
            <v>2</v>
          </cell>
          <cell r="R346">
            <v>47</v>
          </cell>
          <cell r="S346">
            <v>49</v>
          </cell>
        </row>
        <row r="347">
          <cell r="K347">
            <v>0.18</v>
          </cell>
          <cell r="Q347">
            <v>4</v>
          </cell>
          <cell r="R347">
            <v>79</v>
          </cell>
          <cell r="S347">
            <v>83</v>
          </cell>
        </row>
        <row r="348">
          <cell r="K348">
            <v>0.2</v>
          </cell>
          <cell r="Q348">
            <v>6</v>
          </cell>
          <cell r="R348">
            <v>69</v>
          </cell>
          <cell r="S348">
            <v>75</v>
          </cell>
        </row>
        <row r="349">
          <cell r="K349">
            <v>0.22</v>
          </cell>
          <cell r="Q349">
            <v>8</v>
          </cell>
          <cell r="R349">
            <v>64</v>
          </cell>
          <cell r="S349">
            <v>72</v>
          </cell>
        </row>
        <row r="350">
          <cell r="K350">
            <v>0.22</v>
          </cell>
          <cell r="Q350">
            <v>5</v>
          </cell>
          <cell r="R350">
            <v>77</v>
          </cell>
          <cell r="S350">
            <v>82</v>
          </cell>
        </row>
        <row r="351">
          <cell r="K351">
            <v>0.2</v>
          </cell>
          <cell r="Q351">
            <v>13</v>
          </cell>
          <cell r="R351">
            <v>79</v>
          </cell>
          <cell r="S351">
            <v>92</v>
          </cell>
        </row>
        <row r="352">
          <cell r="K352">
            <v>0.18</v>
          </cell>
          <cell r="Q352">
            <v>3</v>
          </cell>
          <cell r="R352">
            <v>59</v>
          </cell>
          <cell r="S352">
            <v>62</v>
          </cell>
        </row>
        <row r="353">
          <cell r="K353">
            <v>0.16</v>
          </cell>
          <cell r="Q353">
            <v>4</v>
          </cell>
          <cell r="R353">
            <v>44</v>
          </cell>
          <cell r="S353">
            <v>48</v>
          </cell>
        </row>
        <row r="354">
          <cell r="K354">
            <v>0.16</v>
          </cell>
          <cell r="Q354">
            <v>1</v>
          </cell>
          <cell r="R354">
            <v>40</v>
          </cell>
          <cell r="S354">
            <v>41</v>
          </cell>
        </row>
        <row r="355">
          <cell r="K355">
            <v>0.14000000000000001</v>
          </cell>
          <cell r="Q355">
            <v>0</v>
          </cell>
          <cell r="R355">
            <v>38</v>
          </cell>
          <cell r="S355">
            <v>38</v>
          </cell>
        </row>
        <row r="356">
          <cell r="K356">
            <v>0.14000000000000001</v>
          </cell>
          <cell r="Q356">
            <v>1</v>
          </cell>
          <cell r="R356">
            <v>19</v>
          </cell>
          <cell r="S356">
            <v>20</v>
          </cell>
        </row>
        <row r="357">
          <cell r="K357">
            <v>0.14000000000000001</v>
          </cell>
          <cell r="Q357">
            <v>5</v>
          </cell>
          <cell r="R357">
            <v>10</v>
          </cell>
          <cell r="S357">
            <v>15</v>
          </cell>
        </row>
        <row r="358">
          <cell r="K358">
            <v>0.12</v>
          </cell>
          <cell r="Q358">
            <v>0</v>
          </cell>
          <cell r="R358">
            <v>6</v>
          </cell>
          <cell r="S358">
            <v>6</v>
          </cell>
        </row>
        <row r="359">
          <cell r="K359">
            <v>0.12</v>
          </cell>
          <cell r="Q359">
            <v>2</v>
          </cell>
          <cell r="R359">
            <v>3</v>
          </cell>
          <cell r="S359">
            <v>5</v>
          </cell>
        </row>
        <row r="360">
          <cell r="K360">
            <v>0.12</v>
          </cell>
          <cell r="Q360">
            <v>1</v>
          </cell>
          <cell r="R360">
            <v>0</v>
          </cell>
          <cell r="S360">
            <v>1</v>
          </cell>
        </row>
        <row r="361">
          <cell r="K361">
            <v>0.12</v>
          </cell>
          <cell r="Q361">
            <v>0</v>
          </cell>
          <cell r="R361">
            <v>3</v>
          </cell>
          <cell r="S361">
            <v>3</v>
          </cell>
        </row>
        <row r="362">
          <cell r="K362">
            <v>0.12</v>
          </cell>
          <cell r="Q362">
            <v>0</v>
          </cell>
          <cell r="R362">
            <v>1</v>
          </cell>
          <cell r="S362">
            <v>1</v>
          </cell>
        </row>
        <row r="363">
          <cell r="K363">
            <v>0.1</v>
          </cell>
          <cell r="Q363">
            <v>1</v>
          </cell>
          <cell r="R363">
            <v>2</v>
          </cell>
          <cell r="S363">
            <v>3</v>
          </cell>
        </row>
        <row r="364">
          <cell r="K364">
            <v>0.1</v>
          </cell>
          <cell r="Q364">
            <v>0</v>
          </cell>
          <cell r="R364">
            <v>3</v>
          </cell>
          <cell r="S364">
            <v>3</v>
          </cell>
        </row>
        <row r="365">
          <cell r="K365">
            <v>0.12</v>
          </cell>
          <cell r="Q365">
            <v>0</v>
          </cell>
          <cell r="R365">
            <v>31</v>
          </cell>
          <cell r="S365">
            <v>31</v>
          </cell>
        </row>
        <row r="366">
          <cell r="K366">
            <v>0.12</v>
          </cell>
          <cell r="Q366">
            <v>2</v>
          </cell>
          <cell r="R366">
            <v>75</v>
          </cell>
          <cell r="S366">
            <v>77</v>
          </cell>
        </row>
        <row r="367">
          <cell r="K367">
            <v>0.12</v>
          </cell>
          <cell r="Q367">
            <v>4</v>
          </cell>
          <cell r="R367">
            <v>184</v>
          </cell>
          <cell r="S367">
            <v>188</v>
          </cell>
        </row>
        <row r="368">
          <cell r="K368">
            <v>0.14000000000000001</v>
          </cell>
          <cell r="Q368">
            <v>2</v>
          </cell>
          <cell r="R368">
            <v>92</v>
          </cell>
          <cell r="S368">
            <v>94</v>
          </cell>
        </row>
        <row r="369">
          <cell r="K369">
            <v>0.14000000000000001</v>
          </cell>
          <cell r="Q369">
            <v>0</v>
          </cell>
          <cell r="R369">
            <v>31</v>
          </cell>
          <cell r="S369">
            <v>31</v>
          </cell>
        </row>
        <row r="370">
          <cell r="K370">
            <v>0.16</v>
          </cell>
          <cell r="Q370">
            <v>2</v>
          </cell>
          <cell r="R370">
            <v>28</v>
          </cell>
          <cell r="S370">
            <v>30</v>
          </cell>
        </row>
        <row r="371">
          <cell r="K371">
            <v>0.2</v>
          </cell>
          <cell r="Q371">
            <v>5</v>
          </cell>
          <cell r="R371">
            <v>47</v>
          </cell>
          <cell r="S371">
            <v>52</v>
          </cell>
        </row>
        <row r="372">
          <cell r="K372">
            <v>0.2</v>
          </cell>
          <cell r="Q372">
            <v>4</v>
          </cell>
          <cell r="R372">
            <v>50</v>
          </cell>
          <cell r="S372">
            <v>54</v>
          </cell>
        </row>
        <row r="373">
          <cell r="K373">
            <v>0.2</v>
          </cell>
          <cell r="Q373">
            <v>0</v>
          </cell>
          <cell r="R373">
            <v>47</v>
          </cell>
          <cell r="S373">
            <v>47</v>
          </cell>
        </row>
        <row r="374">
          <cell r="K374">
            <v>0.2</v>
          </cell>
          <cell r="Q374">
            <v>2</v>
          </cell>
          <cell r="R374">
            <v>43</v>
          </cell>
          <cell r="S374">
            <v>45</v>
          </cell>
        </row>
        <row r="375">
          <cell r="K375">
            <v>0.2</v>
          </cell>
          <cell r="Q375">
            <v>4</v>
          </cell>
          <cell r="R375">
            <v>70</v>
          </cell>
          <cell r="S375">
            <v>74</v>
          </cell>
        </row>
        <row r="376">
          <cell r="K376">
            <v>0.2</v>
          </cell>
          <cell r="Q376">
            <v>4</v>
          </cell>
          <cell r="R376">
            <v>174</v>
          </cell>
          <cell r="S376">
            <v>178</v>
          </cell>
        </row>
        <row r="377">
          <cell r="K377">
            <v>0.2</v>
          </cell>
          <cell r="Q377">
            <v>1</v>
          </cell>
          <cell r="R377">
            <v>154</v>
          </cell>
          <cell r="S377">
            <v>155</v>
          </cell>
        </row>
        <row r="378">
          <cell r="K378">
            <v>0.16</v>
          </cell>
          <cell r="Q378">
            <v>3</v>
          </cell>
          <cell r="R378">
            <v>92</v>
          </cell>
          <cell r="S378">
            <v>95</v>
          </cell>
        </row>
        <row r="379">
          <cell r="K379">
            <v>0.16</v>
          </cell>
          <cell r="Q379">
            <v>1</v>
          </cell>
          <cell r="R379">
            <v>73</v>
          </cell>
          <cell r="S379">
            <v>74</v>
          </cell>
        </row>
        <row r="380">
          <cell r="K380">
            <v>0.14000000000000001</v>
          </cell>
          <cell r="Q380">
            <v>1</v>
          </cell>
          <cell r="R380">
            <v>37</v>
          </cell>
          <cell r="S380">
            <v>38</v>
          </cell>
        </row>
        <row r="381">
          <cell r="K381">
            <v>0.14000000000000001</v>
          </cell>
          <cell r="Q381">
            <v>2</v>
          </cell>
          <cell r="R381">
            <v>22</v>
          </cell>
          <cell r="S381">
            <v>24</v>
          </cell>
        </row>
        <row r="382">
          <cell r="K382">
            <v>0.14000000000000001</v>
          </cell>
          <cell r="Q382">
            <v>0</v>
          </cell>
          <cell r="R382">
            <v>18</v>
          </cell>
          <cell r="S382">
            <v>18</v>
          </cell>
        </row>
        <row r="383">
          <cell r="K383">
            <v>0.14000000000000001</v>
          </cell>
          <cell r="Q383">
            <v>2</v>
          </cell>
          <cell r="R383">
            <v>10</v>
          </cell>
          <cell r="S383">
            <v>12</v>
          </cell>
        </row>
        <row r="384">
          <cell r="K384">
            <v>0.14000000000000001</v>
          </cell>
          <cell r="Q384">
            <v>0</v>
          </cell>
          <cell r="R384">
            <v>3</v>
          </cell>
          <cell r="S384">
            <v>3</v>
          </cell>
        </row>
        <row r="385">
          <cell r="K385">
            <v>0.16</v>
          </cell>
          <cell r="Q385">
            <v>0</v>
          </cell>
          <cell r="R385">
            <v>3</v>
          </cell>
          <cell r="S385">
            <v>3</v>
          </cell>
        </row>
        <row r="386">
          <cell r="K386">
            <v>0.16</v>
          </cell>
          <cell r="Q386">
            <v>0</v>
          </cell>
          <cell r="R386">
            <v>6</v>
          </cell>
          <cell r="S386">
            <v>6</v>
          </cell>
        </row>
        <row r="387">
          <cell r="K387">
            <v>0.16</v>
          </cell>
          <cell r="Q387">
            <v>0</v>
          </cell>
          <cell r="R387">
            <v>27</v>
          </cell>
          <cell r="S387">
            <v>27</v>
          </cell>
        </row>
        <row r="388">
          <cell r="K388">
            <v>0.16</v>
          </cell>
          <cell r="Q388">
            <v>2</v>
          </cell>
          <cell r="R388">
            <v>97</v>
          </cell>
          <cell r="S388">
            <v>99</v>
          </cell>
        </row>
        <row r="389">
          <cell r="K389">
            <v>0.18</v>
          </cell>
          <cell r="Q389">
            <v>3</v>
          </cell>
          <cell r="R389">
            <v>214</v>
          </cell>
          <cell r="S389">
            <v>217</v>
          </cell>
        </row>
        <row r="390">
          <cell r="K390">
            <v>0.18</v>
          </cell>
          <cell r="Q390">
            <v>3</v>
          </cell>
          <cell r="R390">
            <v>127</v>
          </cell>
          <cell r="S390">
            <v>130</v>
          </cell>
        </row>
        <row r="391">
          <cell r="K391">
            <v>0.2</v>
          </cell>
          <cell r="Q391">
            <v>3</v>
          </cell>
          <cell r="R391">
            <v>51</v>
          </cell>
          <cell r="S391">
            <v>54</v>
          </cell>
        </row>
        <row r="392">
          <cell r="K392">
            <v>0.2</v>
          </cell>
          <cell r="Q392">
            <v>4</v>
          </cell>
          <cell r="R392">
            <v>31</v>
          </cell>
          <cell r="S392">
            <v>35</v>
          </cell>
        </row>
        <row r="393">
          <cell r="K393">
            <v>0.2</v>
          </cell>
          <cell r="Q393">
            <v>2</v>
          </cell>
          <cell r="R393">
            <v>55</v>
          </cell>
          <cell r="S393">
            <v>57</v>
          </cell>
        </row>
        <row r="394">
          <cell r="K394">
            <v>0.2</v>
          </cell>
          <cell r="Q394">
            <v>6</v>
          </cell>
          <cell r="R394">
            <v>46</v>
          </cell>
          <cell r="S394">
            <v>52</v>
          </cell>
        </row>
        <row r="395">
          <cell r="K395">
            <v>0.2</v>
          </cell>
          <cell r="Q395">
            <v>3</v>
          </cell>
          <cell r="R395">
            <v>60</v>
          </cell>
          <cell r="S395">
            <v>63</v>
          </cell>
        </row>
        <row r="396">
          <cell r="K396">
            <v>0.14000000000000001</v>
          </cell>
          <cell r="Q396">
            <v>0</v>
          </cell>
          <cell r="R396">
            <v>54</v>
          </cell>
          <cell r="S396">
            <v>54</v>
          </cell>
        </row>
        <row r="397">
          <cell r="K397">
            <v>0.16</v>
          </cell>
          <cell r="Q397">
            <v>3</v>
          </cell>
          <cell r="R397">
            <v>125</v>
          </cell>
          <cell r="S397">
            <v>128</v>
          </cell>
        </row>
        <row r="398">
          <cell r="K398">
            <v>0.16</v>
          </cell>
          <cell r="Q398">
            <v>3</v>
          </cell>
          <cell r="R398">
            <v>78</v>
          </cell>
          <cell r="S398">
            <v>81</v>
          </cell>
        </row>
        <row r="399">
          <cell r="K399">
            <v>0.18</v>
          </cell>
          <cell r="Q399">
            <v>0</v>
          </cell>
          <cell r="R399">
            <v>39</v>
          </cell>
          <cell r="S399">
            <v>39</v>
          </cell>
        </row>
        <row r="400">
          <cell r="K400">
            <v>0.2</v>
          </cell>
          <cell r="Q400">
            <v>3</v>
          </cell>
          <cell r="R400">
            <v>32</v>
          </cell>
          <cell r="S400">
            <v>35</v>
          </cell>
        </row>
        <row r="401">
          <cell r="K401">
            <v>0.2</v>
          </cell>
          <cell r="Q401">
            <v>3</v>
          </cell>
          <cell r="R401">
            <v>52</v>
          </cell>
          <cell r="S401">
            <v>55</v>
          </cell>
        </row>
        <row r="402">
          <cell r="K402">
            <v>0.22</v>
          </cell>
          <cell r="Q402">
            <v>0</v>
          </cell>
          <cell r="R402">
            <v>49</v>
          </cell>
          <cell r="S402">
            <v>49</v>
          </cell>
        </row>
        <row r="403">
          <cell r="K403">
            <v>0.2</v>
          </cell>
          <cell r="Q403">
            <v>0</v>
          </cell>
          <cell r="R403">
            <v>44</v>
          </cell>
          <cell r="S403">
            <v>44</v>
          </cell>
        </row>
        <row r="404">
          <cell r="K404">
            <v>0.2</v>
          </cell>
          <cell r="Q404">
            <v>1</v>
          </cell>
          <cell r="R404">
            <v>48</v>
          </cell>
          <cell r="S404">
            <v>49</v>
          </cell>
        </row>
        <row r="405">
          <cell r="K405">
            <v>0.22</v>
          </cell>
          <cell r="Q405">
            <v>5</v>
          </cell>
          <cell r="R405">
            <v>63</v>
          </cell>
          <cell r="S405">
            <v>68</v>
          </cell>
        </row>
        <row r="406">
          <cell r="K406">
            <v>0.2</v>
          </cell>
          <cell r="Q406">
            <v>0</v>
          </cell>
          <cell r="R406">
            <v>139</v>
          </cell>
          <cell r="S406">
            <v>139</v>
          </cell>
        </row>
        <row r="407">
          <cell r="K407">
            <v>0.2</v>
          </cell>
          <cell r="Q407">
            <v>2</v>
          </cell>
          <cell r="R407">
            <v>135</v>
          </cell>
          <cell r="S407">
            <v>137</v>
          </cell>
        </row>
        <row r="408">
          <cell r="K408">
            <v>0.18</v>
          </cell>
          <cell r="Q408">
            <v>1</v>
          </cell>
          <cell r="R408">
            <v>82</v>
          </cell>
          <cell r="S408">
            <v>83</v>
          </cell>
        </row>
        <row r="409">
          <cell r="K409">
            <v>0.16</v>
          </cell>
          <cell r="Q409">
            <v>2</v>
          </cell>
          <cell r="R409">
            <v>54</v>
          </cell>
          <cell r="S409">
            <v>56</v>
          </cell>
        </row>
        <row r="410">
          <cell r="K410">
            <v>0.16</v>
          </cell>
          <cell r="Q410">
            <v>0</v>
          </cell>
          <cell r="R410">
            <v>57</v>
          </cell>
          <cell r="S410">
            <v>57</v>
          </cell>
        </row>
        <row r="411">
          <cell r="K411">
            <v>0.16</v>
          </cell>
          <cell r="Q411">
            <v>1</v>
          </cell>
          <cell r="R411">
            <v>32</v>
          </cell>
          <cell r="S411">
            <v>33</v>
          </cell>
        </row>
        <row r="412">
          <cell r="K412">
            <v>0.14000000000000001</v>
          </cell>
          <cell r="Q412">
            <v>1</v>
          </cell>
          <cell r="R412">
            <v>19</v>
          </cell>
          <cell r="S412">
            <v>20</v>
          </cell>
        </row>
        <row r="413">
          <cell r="K413">
            <v>0.14000000000000001</v>
          </cell>
          <cell r="Q413">
            <v>1</v>
          </cell>
          <cell r="R413">
            <v>6</v>
          </cell>
          <cell r="S413">
            <v>7</v>
          </cell>
        </row>
        <row r="414">
          <cell r="K414">
            <v>0.14000000000000001</v>
          </cell>
          <cell r="Q414">
            <v>0</v>
          </cell>
          <cell r="R414">
            <v>2</v>
          </cell>
          <cell r="S414">
            <v>2</v>
          </cell>
        </row>
        <row r="415">
          <cell r="K415">
            <v>0.14000000000000001</v>
          </cell>
          <cell r="Q415">
            <v>0</v>
          </cell>
          <cell r="R415">
            <v>2</v>
          </cell>
          <cell r="S415">
            <v>2</v>
          </cell>
        </row>
        <row r="416">
          <cell r="K416">
            <v>0.14000000000000001</v>
          </cell>
          <cell r="Q416">
            <v>0</v>
          </cell>
          <cell r="R416">
            <v>3</v>
          </cell>
          <cell r="S416">
            <v>3</v>
          </cell>
        </row>
        <row r="417">
          <cell r="K417">
            <v>0.14000000000000001</v>
          </cell>
          <cell r="Q417">
            <v>0</v>
          </cell>
          <cell r="R417">
            <v>4</v>
          </cell>
          <cell r="S417">
            <v>4</v>
          </cell>
        </row>
        <row r="418">
          <cell r="K418">
            <v>0.14000000000000001</v>
          </cell>
          <cell r="Q418">
            <v>0</v>
          </cell>
          <cell r="R418">
            <v>3</v>
          </cell>
          <cell r="S418">
            <v>3</v>
          </cell>
        </row>
        <row r="419">
          <cell r="K419">
            <v>0.12</v>
          </cell>
          <cell r="Q419">
            <v>0</v>
          </cell>
          <cell r="R419">
            <v>28</v>
          </cell>
          <cell r="S419">
            <v>28</v>
          </cell>
        </row>
        <row r="420">
          <cell r="K420">
            <v>0.12</v>
          </cell>
          <cell r="Q420">
            <v>0</v>
          </cell>
          <cell r="R420">
            <v>72</v>
          </cell>
          <cell r="S420">
            <v>72</v>
          </cell>
        </row>
        <row r="421">
          <cell r="K421">
            <v>0.14000000000000001</v>
          </cell>
          <cell r="Q421">
            <v>5</v>
          </cell>
          <cell r="R421">
            <v>197</v>
          </cell>
          <cell r="S421">
            <v>202</v>
          </cell>
        </row>
        <row r="422">
          <cell r="K422">
            <v>0.14000000000000001</v>
          </cell>
          <cell r="Q422">
            <v>2</v>
          </cell>
          <cell r="R422">
            <v>137</v>
          </cell>
          <cell r="S422">
            <v>139</v>
          </cell>
        </row>
        <row r="423">
          <cell r="K423">
            <v>0.16</v>
          </cell>
          <cell r="Q423">
            <v>2</v>
          </cell>
          <cell r="R423">
            <v>36</v>
          </cell>
          <cell r="S423">
            <v>38</v>
          </cell>
        </row>
        <row r="424">
          <cell r="K424">
            <v>0.2</v>
          </cell>
          <cell r="Q424">
            <v>4</v>
          </cell>
          <cell r="R424">
            <v>33</v>
          </cell>
          <cell r="S424">
            <v>37</v>
          </cell>
        </row>
        <row r="425">
          <cell r="K425">
            <v>0.2</v>
          </cell>
          <cell r="Q425">
            <v>3</v>
          </cell>
          <cell r="R425">
            <v>49</v>
          </cell>
          <cell r="S425">
            <v>52</v>
          </cell>
        </row>
        <row r="426">
          <cell r="K426">
            <v>0.22</v>
          </cell>
          <cell r="Q426">
            <v>2</v>
          </cell>
          <cell r="R426">
            <v>81</v>
          </cell>
          <cell r="S426">
            <v>83</v>
          </cell>
        </row>
        <row r="427">
          <cell r="K427">
            <v>0.22</v>
          </cell>
          <cell r="Q427">
            <v>3</v>
          </cell>
          <cell r="R427">
            <v>39</v>
          </cell>
          <cell r="S427">
            <v>42</v>
          </cell>
        </row>
        <row r="428">
          <cell r="K428">
            <v>0.24</v>
          </cell>
          <cell r="Q428">
            <v>5</v>
          </cell>
          <cell r="R428">
            <v>55</v>
          </cell>
          <cell r="S428">
            <v>60</v>
          </cell>
        </row>
        <row r="429">
          <cell r="K429">
            <v>0.24</v>
          </cell>
          <cell r="Q429">
            <v>2</v>
          </cell>
          <cell r="R429">
            <v>76</v>
          </cell>
          <cell r="S429">
            <v>78</v>
          </cell>
        </row>
        <row r="430">
          <cell r="K430">
            <v>0.2</v>
          </cell>
          <cell r="Q430">
            <v>4</v>
          </cell>
          <cell r="R430">
            <v>158</v>
          </cell>
          <cell r="S430">
            <v>162</v>
          </cell>
        </row>
        <row r="431">
          <cell r="K431">
            <v>0.2</v>
          </cell>
          <cell r="Q431">
            <v>3</v>
          </cell>
          <cell r="R431">
            <v>141</v>
          </cell>
          <cell r="S431">
            <v>144</v>
          </cell>
        </row>
        <row r="432">
          <cell r="K432">
            <v>0.16</v>
          </cell>
          <cell r="Q432">
            <v>1</v>
          </cell>
          <cell r="R432">
            <v>98</v>
          </cell>
          <cell r="S432">
            <v>99</v>
          </cell>
        </row>
        <row r="433">
          <cell r="K433">
            <v>0.16</v>
          </cell>
          <cell r="Q433">
            <v>0</v>
          </cell>
          <cell r="R433">
            <v>64</v>
          </cell>
          <cell r="S433">
            <v>64</v>
          </cell>
        </row>
        <row r="434">
          <cell r="K434">
            <v>0.14000000000000001</v>
          </cell>
          <cell r="Q434">
            <v>0</v>
          </cell>
          <cell r="R434">
            <v>40</v>
          </cell>
          <cell r="S434">
            <v>40</v>
          </cell>
        </row>
        <row r="435">
          <cell r="K435">
            <v>0.14000000000000001</v>
          </cell>
          <cell r="Q435">
            <v>0</v>
          </cell>
          <cell r="R435">
            <v>30</v>
          </cell>
          <cell r="S435">
            <v>30</v>
          </cell>
        </row>
        <row r="436">
          <cell r="K436">
            <v>0.12</v>
          </cell>
          <cell r="Q436">
            <v>1</v>
          </cell>
          <cell r="R436">
            <v>14</v>
          </cell>
          <cell r="S436">
            <v>15</v>
          </cell>
        </row>
        <row r="437">
          <cell r="K437">
            <v>0.12</v>
          </cell>
          <cell r="Q437">
            <v>0</v>
          </cell>
          <cell r="R437">
            <v>14</v>
          </cell>
          <cell r="S437">
            <v>14</v>
          </cell>
        </row>
        <row r="438">
          <cell r="K438">
            <v>0.1</v>
          </cell>
          <cell r="Q438">
            <v>0</v>
          </cell>
          <cell r="R438">
            <v>5</v>
          </cell>
          <cell r="S438">
            <v>5</v>
          </cell>
        </row>
        <row r="439">
          <cell r="K439">
            <v>0.1</v>
          </cell>
          <cell r="Q439">
            <v>0</v>
          </cell>
          <cell r="R439">
            <v>1</v>
          </cell>
          <cell r="S439">
            <v>1</v>
          </cell>
        </row>
        <row r="440">
          <cell r="K440">
            <v>0.1</v>
          </cell>
          <cell r="Q440">
            <v>0</v>
          </cell>
          <cell r="R440">
            <v>1</v>
          </cell>
          <cell r="S440">
            <v>1</v>
          </cell>
        </row>
        <row r="441">
          <cell r="K441">
            <v>0.1</v>
          </cell>
          <cell r="Q441">
            <v>0</v>
          </cell>
          <cell r="R441">
            <v>8</v>
          </cell>
          <cell r="S441">
            <v>8</v>
          </cell>
        </row>
        <row r="442">
          <cell r="K442">
            <v>0.1</v>
          </cell>
          <cell r="Q442">
            <v>0</v>
          </cell>
          <cell r="R442">
            <v>17</v>
          </cell>
          <cell r="S442">
            <v>17</v>
          </cell>
        </row>
        <row r="443">
          <cell r="K443">
            <v>0.1</v>
          </cell>
          <cell r="Q443">
            <v>0</v>
          </cell>
          <cell r="R443">
            <v>70</v>
          </cell>
          <cell r="S443">
            <v>70</v>
          </cell>
        </row>
        <row r="444">
          <cell r="K444">
            <v>0.12</v>
          </cell>
          <cell r="Q444">
            <v>2</v>
          </cell>
          <cell r="R444">
            <v>156</v>
          </cell>
          <cell r="S444">
            <v>158</v>
          </cell>
        </row>
        <row r="445">
          <cell r="K445">
            <v>0.14000000000000001</v>
          </cell>
          <cell r="Q445">
            <v>0</v>
          </cell>
          <cell r="R445">
            <v>117</v>
          </cell>
          <cell r="S445">
            <v>117</v>
          </cell>
        </row>
        <row r="446">
          <cell r="K446">
            <v>0.18</v>
          </cell>
          <cell r="Q446">
            <v>4</v>
          </cell>
          <cell r="R446">
            <v>40</v>
          </cell>
          <cell r="S446">
            <v>44</v>
          </cell>
        </row>
        <row r="447">
          <cell r="K447">
            <v>0.18</v>
          </cell>
          <cell r="Q447">
            <v>6</v>
          </cell>
          <cell r="R447">
            <v>47</v>
          </cell>
          <cell r="S447">
            <v>53</v>
          </cell>
        </row>
        <row r="448">
          <cell r="K448">
            <v>0.2</v>
          </cell>
          <cell r="Q448">
            <v>2</v>
          </cell>
          <cell r="R448">
            <v>59</v>
          </cell>
          <cell r="S448">
            <v>61</v>
          </cell>
        </row>
        <row r="449">
          <cell r="K449">
            <v>0.22</v>
          </cell>
          <cell r="Q449">
            <v>4</v>
          </cell>
          <cell r="R449">
            <v>73</v>
          </cell>
          <cell r="S449">
            <v>77</v>
          </cell>
        </row>
        <row r="450">
          <cell r="K450">
            <v>0.22</v>
          </cell>
          <cell r="Q450">
            <v>5</v>
          </cell>
          <cell r="R450">
            <v>59</v>
          </cell>
          <cell r="S450">
            <v>64</v>
          </cell>
        </row>
        <row r="451">
          <cell r="K451">
            <v>0.24</v>
          </cell>
          <cell r="Q451">
            <v>9</v>
          </cell>
          <cell r="R451">
            <v>59</v>
          </cell>
          <cell r="S451">
            <v>68</v>
          </cell>
        </row>
        <row r="452">
          <cell r="K452">
            <v>0.22</v>
          </cell>
          <cell r="Q452">
            <v>3</v>
          </cell>
          <cell r="R452">
            <v>87</v>
          </cell>
          <cell r="S452">
            <v>90</v>
          </cell>
        </row>
        <row r="453">
          <cell r="K453">
            <v>0.22</v>
          </cell>
          <cell r="Q453">
            <v>4</v>
          </cell>
          <cell r="R453">
            <v>155</v>
          </cell>
          <cell r="S453">
            <v>159</v>
          </cell>
        </row>
        <row r="454">
          <cell r="K454">
            <v>0.2</v>
          </cell>
          <cell r="Q454">
            <v>5</v>
          </cell>
          <cell r="R454">
            <v>134</v>
          </cell>
          <cell r="S454">
            <v>139</v>
          </cell>
        </row>
        <row r="455">
          <cell r="K455">
            <v>0.16</v>
          </cell>
          <cell r="Q455">
            <v>3</v>
          </cell>
          <cell r="R455">
            <v>89</v>
          </cell>
          <cell r="S455">
            <v>92</v>
          </cell>
        </row>
        <row r="456">
          <cell r="K456">
            <v>0.18</v>
          </cell>
          <cell r="Q456">
            <v>0</v>
          </cell>
          <cell r="R456">
            <v>68</v>
          </cell>
          <cell r="S456">
            <v>68</v>
          </cell>
        </row>
        <row r="457">
          <cell r="K457">
            <v>0.16</v>
          </cell>
          <cell r="Q457">
            <v>4</v>
          </cell>
          <cell r="R457">
            <v>48</v>
          </cell>
          <cell r="S457">
            <v>52</v>
          </cell>
        </row>
        <row r="458">
          <cell r="K458">
            <v>0.16</v>
          </cell>
          <cell r="Q458">
            <v>2</v>
          </cell>
          <cell r="R458">
            <v>34</v>
          </cell>
          <cell r="S458">
            <v>36</v>
          </cell>
        </row>
        <row r="459">
          <cell r="K459">
            <v>0.18</v>
          </cell>
          <cell r="Q459">
            <v>1</v>
          </cell>
          <cell r="R459">
            <v>26</v>
          </cell>
          <cell r="S459">
            <v>27</v>
          </cell>
        </row>
        <row r="460">
          <cell r="K460">
            <v>0.18</v>
          </cell>
          <cell r="Q460">
            <v>3</v>
          </cell>
          <cell r="R460">
            <v>25</v>
          </cell>
          <cell r="S460">
            <v>28</v>
          </cell>
        </row>
        <row r="461">
          <cell r="K461">
            <v>0.16</v>
          </cell>
          <cell r="Q461">
            <v>2</v>
          </cell>
          <cell r="R461">
            <v>18</v>
          </cell>
          <cell r="S461">
            <v>20</v>
          </cell>
        </row>
        <row r="462">
          <cell r="K462">
            <v>0.16</v>
          </cell>
          <cell r="Q462">
            <v>0</v>
          </cell>
          <cell r="R462">
            <v>12</v>
          </cell>
          <cell r="S462">
            <v>12</v>
          </cell>
        </row>
        <row r="463">
          <cell r="K463">
            <v>0.16</v>
          </cell>
          <cell r="Q463">
            <v>1</v>
          </cell>
          <cell r="R463">
            <v>7</v>
          </cell>
          <cell r="S463">
            <v>8</v>
          </cell>
        </row>
        <row r="464">
          <cell r="K464">
            <v>0.16</v>
          </cell>
          <cell r="Q464">
            <v>0</v>
          </cell>
          <cell r="R464">
            <v>5</v>
          </cell>
          <cell r="S464">
            <v>5</v>
          </cell>
        </row>
        <row r="465">
          <cell r="K465">
            <v>0.16</v>
          </cell>
          <cell r="Q465">
            <v>0</v>
          </cell>
          <cell r="R465">
            <v>1</v>
          </cell>
          <cell r="S465">
            <v>1</v>
          </cell>
        </row>
        <row r="466">
          <cell r="K466">
            <v>0.14000000000000001</v>
          </cell>
          <cell r="Q466">
            <v>1</v>
          </cell>
          <cell r="R466">
            <v>2</v>
          </cell>
          <cell r="S466">
            <v>3</v>
          </cell>
        </row>
        <row r="467">
          <cell r="K467">
            <v>0.14000000000000001</v>
          </cell>
          <cell r="Q467">
            <v>1</v>
          </cell>
          <cell r="R467">
            <v>9</v>
          </cell>
          <cell r="S467">
            <v>10</v>
          </cell>
        </row>
        <row r="468">
          <cell r="K468">
            <v>0.14000000000000001</v>
          </cell>
          <cell r="Q468">
            <v>1</v>
          </cell>
          <cell r="R468">
            <v>22</v>
          </cell>
          <cell r="S468">
            <v>23</v>
          </cell>
        </row>
        <row r="469">
          <cell r="K469">
            <v>0.16</v>
          </cell>
          <cell r="Q469">
            <v>2</v>
          </cell>
          <cell r="R469">
            <v>31</v>
          </cell>
          <cell r="S469">
            <v>33</v>
          </cell>
        </row>
        <row r="470">
          <cell r="K470">
            <v>0.18</v>
          </cell>
          <cell r="Q470">
            <v>2</v>
          </cell>
          <cell r="R470">
            <v>57</v>
          </cell>
          <cell r="S470">
            <v>59</v>
          </cell>
        </row>
        <row r="471">
          <cell r="K471">
            <v>0.2</v>
          </cell>
          <cell r="Q471">
            <v>18</v>
          </cell>
          <cell r="R471">
            <v>54</v>
          </cell>
          <cell r="S471">
            <v>72</v>
          </cell>
        </row>
        <row r="472">
          <cell r="K472">
            <v>0.24</v>
          </cell>
          <cell r="Q472">
            <v>15</v>
          </cell>
          <cell r="R472">
            <v>74</v>
          </cell>
          <cell r="S472">
            <v>89</v>
          </cell>
        </row>
        <row r="473">
          <cell r="K473">
            <v>0.28000000000000003</v>
          </cell>
          <cell r="Q473">
            <v>21</v>
          </cell>
          <cell r="R473">
            <v>80</v>
          </cell>
          <cell r="S473">
            <v>101</v>
          </cell>
        </row>
        <row r="474">
          <cell r="K474">
            <v>0.3</v>
          </cell>
          <cell r="Q474">
            <v>26</v>
          </cell>
          <cell r="R474">
            <v>92</v>
          </cell>
          <cell r="S474">
            <v>118</v>
          </cell>
        </row>
        <row r="475">
          <cell r="K475">
            <v>0.32</v>
          </cell>
          <cell r="Q475">
            <v>21</v>
          </cell>
          <cell r="R475">
            <v>108</v>
          </cell>
          <cell r="S475">
            <v>129</v>
          </cell>
        </row>
        <row r="476">
          <cell r="K476">
            <v>0.34</v>
          </cell>
          <cell r="Q476">
            <v>33</v>
          </cell>
          <cell r="R476">
            <v>95</v>
          </cell>
          <cell r="S476">
            <v>128</v>
          </cell>
        </row>
        <row r="477">
          <cell r="K477">
            <v>0.32</v>
          </cell>
          <cell r="Q477">
            <v>29</v>
          </cell>
          <cell r="R477">
            <v>54</v>
          </cell>
          <cell r="S477">
            <v>83</v>
          </cell>
        </row>
        <row r="478">
          <cell r="K478">
            <v>0.3</v>
          </cell>
          <cell r="Q478">
            <v>15</v>
          </cell>
          <cell r="R478">
            <v>69</v>
          </cell>
          <cell r="S478">
            <v>84</v>
          </cell>
        </row>
        <row r="479">
          <cell r="K479">
            <v>0.32</v>
          </cell>
          <cell r="Q479">
            <v>14</v>
          </cell>
          <cell r="R479">
            <v>60</v>
          </cell>
          <cell r="S479">
            <v>74</v>
          </cell>
        </row>
        <row r="480">
          <cell r="K480">
            <v>0.32</v>
          </cell>
          <cell r="Q480">
            <v>6</v>
          </cell>
          <cell r="R480">
            <v>35</v>
          </cell>
          <cell r="S480">
            <v>41</v>
          </cell>
        </row>
        <row r="481">
          <cell r="K481">
            <v>0.32</v>
          </cell>
          <cell r="Q481">
            <v>6</v>
          </cell>
          <cell r="R481">
            <v>51</v>
          </cell>
          <cell r="S481">
            <v>57</v>
          </cell>
        </row>
        <row r="482">
          <cell r="K482">
            <v>0.3</v>
          </cell>
          <cell r="Q482">
            <v>0</v>
          </cell>
          <cell r="R482">
            <v>26</v>
          </cell>
          <cell r="S482">
            <v>26</v>
          </cell>
        </row>
        <row r="483">
          <cell r="K483">
            <v>0.3</v>
          </cell>
          <cell r="Q483">
            <v>5</v>
          </cell>
          <cell r="R483">
            <v>39</v>
          </cell>
          <cell r="S483">
            <v>44</v>
          </cell>
        </row>
        <row r="484">
          <cell r="K484">
            <v>0.26</v>
          </cell>
          <cell r="Q484">
            <v>6</v>
          </cell>
          <cell r="R484">
            <v>33</v>
          </cell>
          <cell r="S484">
            <v>39</v>
          </cell>
        </row>
        <row r="485">
          <cell r="K485">
            <v>0.26</v>
          </cell>
          <cell r="Q485">
            <v>4</v>
          </cell>
          <cell r="R485">
            <v>19</v>
          </cell>
          <cell r="S485">
            <v>23</v>
          </cell>
        </row>
        <row r="486">
          <cell r="K486">
            <v>0.26</v>
          </cell>
          <cell r="Q486">
            <v>3</v>
          </cell>
          <cell r="R486">
            <v>13</v>
          </cell>
          <cell r="S486">
            <v>16</v>
          </cell>
        </row>
        <row r="487">
          <cell r="K487">
            <v>0.22</v>
          </cell>
          <cell r="Q487">
            <v>9</v>
          </cell>
          <cell r="R487">
            <v>6</v>
          </cell>
          <cell r="S487">
            <v>15</v>
          </cell>
        </row>
        <row r="488">
          <cell r="K488">
            <v>0.26</v>
          </cell>
          <cell r="Q488">
            <v>0</v>
          </cell>
          <cell r="R488">
            <v>1</v>
          </cell>
          <cell r="S488">
            <v>1</v>
          </cell>
        </row>
        <row r="489">
          <cell r="K489">
            <v>0.26</v>
          </cell>
          <cell r="Q489">
            <v>1</v>
          </cell>
          <cell r="R489">
            <v>1</v>
          </cell>
          <cell r="S489">
            <v>2</v>
          </cell>
        </row>
        <row r="490">
          <cell r="K490">
            <v>0.26</v>
          </cell>
          <cell r="Q490">
            <v>0</v>
          </cell>
          <cell r="R490">
            <v>1</v>
          </cell>
          <cell r="S490">
            <v>1</v>
          </cell>
        </row>
        <row r="491">
          <cell r="K491">
            <v>0.24</v>
          </cell>
          <cell r="Q491">
            <v>0</v>
          </cell>
          <cell r="R491">
            <v>3</v>
          </cell>
          <cell r="S491">
            <v>3</v>
          </cell>
        </row>
        <row r="492">
          <cell r="K492">
            <v>0.22</v>
          </cell>
          <cell r="Q492">
            <v>0</v>
          </cell>
          <cell r="R492">
            <v>18</v>
          </cell>
          <cell r="S492">
            <v>18</v>
          </cell>
        </row>
        <row r="493">
          <cell r="K493">
            <v>0.22</v>
          </cell>
          <cell r="Q493">
            <v>3</v>
          </cell>
          <cell r="R493">
            <v>29</v>
          </cell>
          <cell r="S493">
            <v>32</v>
          </cell>
        </row>
        <row r="494">
          <cell r="K494">
            <v>0.22</v>
          </cell>
          <cell r="Q494">
            <v>8</v>
          </cell>
          <cell r="R494">
            <v>71</v>
          </cell>
          <cell r="S494">
            <v>79</v>
          </cell>
        </row>
        <row r="495">
          <cell r="K495">
            <v>0.24</v>
          </cell>
          <cell r="Q495">
            <v>23</v>
          </cell>
          <cell r="R495">
            <v>70</v>
          </cell>
          <cell r="S495">
            <v>93</v>
          </cell>
        </row>
        <row r="496">
          <cell r="K496">
            <v>0.24</v>
          </cell>
          <cell r="Q496">
            <v>29</v>
          </cell>
          <cell r="R496">
            <v>75</v>
          </cell>
          <cell r="S496">
            <v>104</v>
          </cell>
        </row>
        <row r="497">
          <cell r="K497">
            <v>0.26</v>
          </cell>
          <cell r="Q497">
            <v>23</v>
          </cell>
          <cell r="R497">
            <v>95</v>
          </cell>
          <cell r="S497">
            <v>118</v>
          </cell>
        </row>
        <row r="498">
          <cell r="K498">
            <v>0.28000000000000003</v>
          </cell>
          <cell r="Q498">
            <v>22</v>
          </cell>
          <cell r="R498">
            <v>69</v>
          </cell>
          <cell r="S498">
            <v>91</v>
          </cell>
        </row>
        <row r="499">
          <cell r="K499">
            <v>0.26</v>
          </cell>
          <cell r="Q499">
            <v>35</v>
          </cell>
          <cell r="R499">
            <v>78</v>
          </cell>
          <cell r="S499">
            <v>113</v>
          </cell>
        </row>
        <row r="500">
          <cell r="K500">
            <v>0.24</v>
          </cell>
          <cell r="Q500">
            <v>22</v>
          </cell>
          <cell r="R500">
            <v>77</v>
          </cell>
          <cell r="S500">
            <v>99</v>
          </cell>
        </row>
        <row r="501">
          <cell r="K501">
            <v>0.22</v>
          </cell>
          <cell r="Q501">
            <v>23</v>
          </cell>
          <cell r="R501">
            <v>82</v>
          </cell>
          <cell r="S501">
            <v>105</v>
          </cell>
        </row>
        <row r="502">
          <cell r="K502">
            <v>0.2</v>
          </cell>
          <cell r="Q502">
            <v>11</v>
          </cell>
          <cell r="R502">
            <v>56</v>
          </cell>
          <cell r="S502">
            <v>67</v>
          </cell>
        </row>
        <row r="503">
          <cell r="K503">
            <v>0.18</v>
          </cell>
          <cell r="Q503">
            <v>14</v>
          </cell>
          <cell r="R503">
            <v>47</v>
          </cell>
          <cell r="S503">
            <v>61</v>
          </cell>
        </row>
        <row r="504">
          <cell r="K504">
            <v>0.18</v>
          </cell>
          <cell r="Q504">
            <v>7</v>
          </cell>
          <cell r="R504">
            <v>50</v>
          </cell>
          <cell r="S504">
            <v>57</v>
          </cell>
        </row>
        <row r="505">
          <cell r="K505">
            <v>0.18</v>
          </cell>
          <cell r="Q505">
            <v>6</v>
          </cell>
          <cell r="R505">
            <v>22</v>
          </cell>
          <cell r="S505">
            <v>28</v>
          </cell>
        </row>
        <row r="506">
          <cell r="K506">
            <v>0.2</v>
          </cell>
          <cell r="Q506">
            <v>2</v>
          </cell>
          <cell r="R506">
            <v>19</v>
          </cell>
          <cell r="S506">
            <v>21</v>
          </cell>
        </row>
        <row r="507">
          <cell r="K507">
            <v>0.2</v>
          </cell>
          <cell r="Q507">
            <v>0</v>
          </cell>
          <cell r="R507">
            <v>18</v>
          </cell>
          <cell r="S507">
            <v>18</v>
          </cell>
        </row>
        <row r="508">
          <cell r="K508">
            <v>0.2</v>
          </cell>
          <cell r="Q508">
            <v>1</v>
          </cell>
          <cell r="R508">
            <v>16</v>
          </cell>
          <cell r="S508">
            <v>17</v>
          </cell>
        </row>
        <row r="509">
          <cell r="K509">
            <v>0.2</v>
          </cell>
          <cell r="Q509">
            <v>1</v>
          </cell>
          <cell r="R509">
            <v>15</v>
          </cell>
          <cell r="S509">
            <v>16</v>
          </cell>
        </row>
        <row r="510">
          <cell r="K510">
            <v>0.18</v>
          </cell>
          <cell r="Q510">
            <v>0</v>
          </cell>
          <cell r="R510">
            <v>8</v>
          </cell>
          <cell r="S510">
            <v>8</v>
          </cell>
        </row>
        <row r="511">
          <cell r="K511">
            <v>0.18</v>
          </cell>
          <cell r="Q511">
            <v>0</v>
          </cell>
          <cell r="R511">
            <v>2</v>
          </cell>
          <cell r="S511">
            <v>2</v>
          </cell>
        </row>
        <row r="512">
          <cell r="K512">
            <v>0.18</v>
          </cell>
          <cell r="Q512">
            <v>1</v>
          </cell>
          <cell r="R512">
            <v>2</v>
          </cell>
          <cell r="S512">
            <v>3</v>
          </cell>
        </row>
        <row r="513">
          <cell r="K513">
            <v>0.18</v>
          </cell>
          <cell r="Q513">
            <v>0</v>
          </cell>
          <cell r="R513">
            <v>1</v>
          </cell>
          <cell r="S513">
            <v>1</v>
          </cell>
        </row>
        <row r="514">
          <cell r="K514">
            <v>0.18</v>
          </cell>
          <cell r="Q514">
            <v>0</v>
          </cell>
          <cell r="R514">
            <v>5</v>
          </cell>
          <cell r="S514">
            <v>5</v>
          </cell>
        </row>
        <row r="515">
          <cell r="K515">
            <v>0.16</v>
          </cell>
          <cell r="Q515">
            <v>4</v>
          </cell>
          <cell r="R515">
            <v>9</v>
          </cell>
          <cell r="S515">
            <v>13</v>
          </cell>
        </row>
        <row r="516">
          <cell r="K516">
            <v>0.16</v>
          </cell>
          <cell r="Q516">
            <v>3</v>
          </cell>
          <cell r="R516">
            <v>30</v>
          </cell>
          <cell r="S516">
            <v>33</v>
          </cell>
        </row>
        <row r="517">
          <cell r="K517">
            <v>0.16</v>
          </cell>
          <cell r="Q517">
            <v>8</v>
          </cell>
          <cell r="R517">
            <v>39</v>
          </cell>
          <cell r="S517">
            <v>47</v>
          </cell>
        </row>
        <row r="518">
          <cell r="K518">
            <v>0.16</v>
          </cell>
          <cell r="Q518">
            <v>7</v>
          </cell>
          <cell r="R518">
            <v>50</v>
          </cell>
          <cell r="S518">
            <v>57</v>
          </cell>
        </row>
        <row r="519">
          <cell r="K519">
            <v>0.16</v>
          </cell>
          <cell r="Q519">
            <v>9</v>
          </cell>
          <cell r="R519">
            <v>55</v>
          </cell>
          <cell r="S519">
            <v>64</v>
          </cell>
        </row>
        <row r="520">
          <cell r="K520">
            <v>0.18</v>
          </cell>
          <cell r="Q520">
            <v>10</v>
          </cell>
          <cell r="R520">
            <v>70</v>
          </cell>
          <cell r="S520">
            <v>80</v>
          </cell>
        </row>
        <row r="521">
          <cell r="K521">
            <v>0.18</v>
          </cell>
          <cell r="Q521">
            <v>13</v>
          </cell>
          <cell r="R521">
            <v>80</v>
          </cell>
          <cell r="S521">
            <v>93</v>
          </cell>
        </row>
        <row r="522">
          <cell r="K522">
            <v>0.18</v>
          </cell>
          <cell r="Q522">
            <v>12</v>
          </cell>
          <cell r="R522">
            <v>74</v>
          </cell>
          <cell r="S522">
            <v>86</v>
          </cell>
        </row>
        <row r="523">
          <cell r="K523">
            <v>0.2</v>
          </cell>
          <cell r="Q523">
            <v>21</v>
          </cell>
          <cell r="R523">
            <v>72</v>
          </cell>
          <cell r="S523">
            <v>93</v>
          </cell>
        </row>
        <row r="524">
          <cell r="K524">
            <v>0.2</v>
          </cell>
          <cell r="Q524">
            <v>6</v>
          </cell>
          <cell r="R524">
            <v>76</v>
          </cell>
          <cell r="S524">
            <v>82</v>
          </cell>
        </row>
        <row r="525">
          <cell r="K525">
            <v>0.2</v>
          </cell>
          <cell r="Q525">
            <v>4</v>
          </cell>
          <cell r="R525">
            <v>67</v>
          </cell>
          <cell r="S525">
            <v>71</v>
          </cell>
        </row>
        <row r="526">
          <cell r="K526">
            <v>0.18</v>
          </cell>
          <cell r="Q526">
            <v>7</v>
          </cell>
          <cell r="R526">
            <v>85</v>
          </cell>
          <cell r="S526">
            <v>92</v>
          </cell>
        </row>
        <row r="527">
          <cell r="K527">
            <v>0.18</v>
          </cell>
          <cell r="Q527">
            <v>2</v>
          </cell>
          <cell r="R527">
            <v>58</v>
          </cell>
          <cell r="S527">
            <v>60</v>
          </cell>
        </row>
        <row r="528">
          <cell r="K528">
            <v>0.4</v>
          </cell>
          <cell r="Q528">
            <v>11</v>
          </cell>
          <cell r="R528">
            <v>67</v>
          </cell>
          <cell r="S528">
            <v>78</v>
          </cell>
        </row>
        <row r="529">
          <cell r="K529">
            <v>0.4</v>
          </cell>
          <cell r="Q529">
            <v>7</v>
          </cell>
          <cell r="R529">
            <v>68</v>
          </cell>
          <cell r="S529">
            <v>75</v>
          </cell>
        </row>
        <row r="530">
          <cell r="K530">
            <v>0.4</v>
          </cell>
          <cell r="Q530">
            <v>4</v>
          </cell>
          <cell r="R530">
            <v>78</v>
          </cell>
          <cell r="S530">
            <v>82</v>
          </cell>
        </row>
        <row r="531">
          <cell r="K531">
            <v>0.38</v>
          </cell>
          <cell r="Q531">
            <v>10</v>
          </cell>
          <cell r="R531">
            <v>94</v>
          </cell>
          <cell r="S531">
            <v>104</v>
          </cell>
        </row>
        <row r="532">
          <cell r="K532">
            <v>0.36</v>
          </cell>
          <cell r="Q532">
            <v>7</v>
          </cell>
          <cell r="R532">
            <v>190</v>
          </cell>
          <cell r="S532">
            <v>197</v>
          </cell>
        </row>
        <row r="533">
          <cell r="K533">
            <v>0.34</v>
          </cell>
          <cell r="Q533">
            <v>5</v>
          </cell>
          <cell r="R533">
            <v>156</v>
          </cell>
          <cell r="S533">
            <v>161</v>
          </cell>
        </row>
        <row r="534">
          <cell r="K534">
            <v>0.32</v>
          </cell>
          <cell r="Q534">
            <v>4</v>
          </cell>
          <cell r="R534">
            <v>108</v>
          </cell>
          <cell r="S534">
            <v>112</v>
          </cell>
        </row>
        <row r="535">
          <cell r="K535">
            <v>0.32</v>
          </cell>
          <cell r="Q535">
            <v>2</v>
          </cell>
          <cell r="R535">
            <v>74</v>
          </cell>
          <cell r="S535">
            <v>76</v>
          </cell>
        </row>
        <row r="536">
          <cell r="K536">
            <v>0.32</v>
          </cell>
          <cell r="Q536">
            <v>4</v>
          </cell>
          <cell r="R536">
            <v>55</v>
          </cell>
          <cell r="S536">
            <v>59</v>
          </cell>
        </row>
        <row r="537">
          <cell r="K537">
            <v>0.3</v>
          </cell>
          <cell r="Q537">
            <v>6</v>
          </cell>
          <cell r="R537">
            <v>53</v>
          </cell>
          <cell r="S537">
            <v>59</v>
          </cell>
        </row>
        <row r="538">
          <cell r="K538">
            <v>0.3</v>
          </cell>
          <cell r="Q538">
            <v>1</v>
          </cell>
          <cell r="R538">
            <v>27</v>
          </cell>
          <cell r="S538">
            <v>28</v>
          </cell>
        </row>
        <row r="539">
          <cell r="K539">
            <v>0.26</v>
          </cell>
          <cell r="Q539">
            <v>5</v>
          </cell>
          <cell r="R539">
            <v>8</v>
          </cell>
          <cell r="S539">
            <v>13</v>
          </cell>
        </row>
        <row r="540">
          <cell r="K540">
            <v>0.26</v>
          </cell>
          <cell r="Q540">
            <v>2</v>
          </cell>
          <cell r="R540">
            <v>3</v>
          </cell>
          <cell r="S540">
            <v>5</v>
          </cell>
        </row>
        <row r="541">
          <cell r="K541">
            <v>0.26</v>
          </cell>
          <cell r="Q541">
            <v>0</v>
          </cell>
          <cell r="R541">
            <v>2</v>
          </cell>
          <cell r="S541">
            <v>2</v>
          </cell>
        </row>
        <row r="542">
          <cell r="K542">
            <v>0.26</v>
          </cell>
          <cell r="Q542">
            <v>0</v>
          </cell>
          <cell r="R542">
            <v>1</v>
          </cell>
          <cell r="S542">
            <v>1</v>
          </cell>
        </row>
        <row r="543">
          <cell r="K543">
            <v>0.26</v>
          </cell>
          <cell r="Q543">
            <v>0</v>
          </cell>
          <cell r="R543">
            <v>1</v>
          </cell>
          <cell r="S543">
            <v>1</v>
          </cell>
        </row>
        <row r="544">
          <cell r="K544">
            <v>0.24</v>
          </cell>
          <cell r="Q544">
            <v>0</v>
          </cell>
          <cell r="R544">
            <v>6</v>
          </cell>
          <cell r="S544">
            <v>6</v>
          </cell>
        </row>
        <row r="545">
          <cell r="K545">
            <v>0.22</v>
          </cell>
          <cell r="Q545">
            <v>0</v>
          </cell>
          <cell r="R545">
            <v>35</v>
          </cell>
          <cell r="S545">
            <v>35</v>
          </cell>
        </row>
        <row r="546">
          <cell r="K546">
            <v>0.22</v>
          </cell>
          <cell r="Q546">
            <v>1</v>
          </cell>
          <cell r="R546">
            <v>100</v>
          </cell>
          <cell r="S546">
            <v>101</v>
          </cell>
        </row>
        <row r="547">
          <cell r="K547">
            <v>0.22</v>
          </cell>
          <cell r="Q547">
            <v>2</v>
          </cell>
          <cell r="R547">
            <v>247</v>
          </cell>
          <cell r="S547">
            <v>249</v>
          </cell>
        </row>
        <row r="548">
          <cell r="K548">
            <v>0.24</v>
          </cell>
          <cell r="Q548">
            <v>3</v>
          </cell>
          <cell r="R548">
            <v>140</v>
          </cell>
          <cell r="S548">
            <v>143</v>
          </cell>
        </row>
        <row r="549">
          <cell r="K549">
            <v>0.26</v>
          </cell>
          <cell r="Q549">
            <v>1</v>
          </cell>
          <cell r="R549">
            <v>56</v>
          </cell>
          <cell r="S549">
            <v>57</v>
          </cell>
        </row>
        <row r="550">
          <cell r="K550">
            <v>0.28000000000000003</v>
          </cell>
          <cell r="Q550">
            <v>5</v>
          </cell>
          <cell r="R550">
            <v>63</v>
          </cell>
          <cell r="S550">
            <v>68</v>
          </cell>
        </row>
        <row r="551">
          <cell r="K551">
            <v>0.3</v>
          </cell>
          <cell r="Q551">
            <v>7</v>
          </cell>
          <cell r="R551">
            <v>77</v>
          </cell>
          <cell r="S551">
            <v>84</v>
          </cell>
        </row>
        <row r="552">
          <cell r="K552">
            <v>0.28000000000000003</v>
          </cell>
          <cell r="Q552">
            <v>12</v>
          </cell>
          <cell r="R552">
            <v>86</v>
          </cell>
          <cell r="S552">
            <v>98</v>
          </cell>
        </row>
        <row r="553">
          <cell r="K553">
            <v>0.3</v>
          </cell>
          <cell r="Q553">
            <v>6</v>
          </cell>
          <cell r="R553">
            <v>75</v>
          </cell>
          <cell r="S553">
            <v>81</v>
          </cell>
        </row>
        <row r="554">
          <cell r="K554">
            <v>0.32</v>
          </cell>
          <cell r="Q554">
            <v>8</v>
          </cell>
          <cell r="R554">
            <v>62</v>
          </cell>
          <cell r="S554">
            <v>70</v>
          </cell>
        </row>
        <row r="555">
          <cell r="K555">
            <v>0.3</v>
          </cell>
          <cell r="Q555">
            <v>8</v>
          </cell>
          <cell r="R555">
            <v>83</v>
          </cell>
          <cell r="S555">
            <v>91</v>
          </cell>
        </row>
        <row r="556">
          <cell r="K556">
            <v>0.3</v>
          </cell>
          <cell r="Q556">
            <v>8</v>
          </cell>
          <cell r="R556">
            <v>207</v>
          </cell>
          <cell r="S556">
            <v>215</v>
          </cell>
        </row>
        <row r="557">
          <cell r="K557">
            <v>0.26</v>
          </cell>
          <cell r="Q557">
            <v>1</v>
          </cell>
          <cell r="R557">
            <v>184</v>
          </cell>
          <cell r="S557">
            <v>185</v>
          </cell>
        </row>
        <row r="558">
          <cell r="K558">
            <v>0.26</v>
          </cell>
          <cell r="Q558">
            <v>6</v>
          </cell>
          <cell r="R558">
            <v>146</v>
          </cell>
          <cell r="S558">
            <v>152</v>
          </cell>
        </row>
        <row r="559">
          <cell r="K559">
            <v>0.26</v>
          </cell>
          <cell r="Q559">
            <v>2</v>
          </cell>
          <cell r="R559">
            <v>124</v>
          </cell>
          <cell r="S559">
            <v>126</v>
          </cell>
        </row>
        <row r="560">
          <cell r="K560">
            <v>0.24</v>
          </cell>
          <cell r="Q560">
            <v>3</v>
          </cell>
          <cell r="R560">
            <v>54</v>
          </cell>
          <cell r="S560">
            <v>57</v>
          </cell>
        </row>
        <row r="561">
          <cell r="K561">
            <v>0.24</v>
          </cell>
          <cell r="Q561">
            <v>0</v>
          </cell>
          <cell r="R561">
            <v>56</v>
          </cell>
          <cell r="S561">
            <v>56</v>
          </cell>
        </row>
        <row r="562">
          <cell r="K562">
            <v>0.24</v>
          </cell>
          <cell r="Q562">
            <v>3</v>
          </cell>
          <cell r="R562">
            <v>28</v>
          </cell>
          <cell r="S562">
            <v>31</v>
          </cell>
        </row>
        <row r="563">
          <cell r="K563">
            <v>0.24</v>
          </cell>
          <cell r="Q563">
            <v>1</v>
          </cell>
          <cell r="R563">
            <v>20</v>
          </cell>
          <cell r="S563">
            <v>21</v>
          </cell>
        </row>
        <row r="564">
          <cell r="K564">
            <v>0.24</v>
          </cell>
          <cell r="Q564">
            <v>0</v>
          </cell>
          <cell r="R564">
            <v>6</v>
          </cell>
          <cell r="S564">
            <v>6</v>
          </cell>
        </row>
        <row r="565">
          <cell r="K565">
            <v>0.24</v>
          </cell>
          <cell r="Q565">
            <v>0</v>
          </cell>
          <cell r="R565">
            <v>2</v>
          </cell>
          <cell r="S565">
            <v>2</v>
          </cell>
        </row>
        <row r="566">
          <cell r="K566">
            <v>0.24</v>
          </cell>
          <cell r="Q566">
            <v>1</v>
          </cell>
          <cell r="R566">
            <v>4</v>
          </cell>
          <cell r="S566">
            <v>5</v>
          </cell>
        </row>
        <row r="567">
          <cell r="K567">
            <v>0.22</v>
          </cell>
          <cell r="Q567">
            <v>0</v>
          </cell>
          <cell r="R567">
            <v>27</v>
          </cell>
          <cell r="S567">
            <v>27</v>
          </cell>
        </row>
        <row r="568">
          <cell r="K568">
            <v>0.2</v>
          </cell>
          <cell r="Q568">
            <v>2</v>
          </cell>
          <cell r="R568">
            <v>66</v>
          </cell>
          <cell r="S568">
            <v>68</v>
          </cell>
        </row>
        <row r="569">
          <cell r="K569">
            <v>0.2</v>
          </cell>
          <cell r="Q569">
            <v>7</v>
          </cell>
          <cell r="R569">
            <v>210</v>
          </cell>
          <cell r="S569">
            <v>217</v>
          </cell>
        </row>
        <row r="570">
          <cell r="K570">
            <v>0.2</v>
          </cell>
          <cell r="Q570">
            <v>7</v>
          </cell>
          <cell r="R570">
            <v>159</v>
          </cell>
          <cell r="S570">
            <v>166</v>
          </cell>
        </row>
        <row r="571">
          <cell r="K571">
            <v>0.2</v>
          </cell>
          <cell r="Q571">
            <v>6</v>
          </cell>
          <cell r="R571">
            <v>57</v>
          </cell>
          <cell r="S571">
            <v>63</v>
          </cell>
        </row>
        <row r="572">
          <cell r="K572">
            <v>0.22</v>
          </cell>
          <cell r="Q572">
            <v>6</v>
          </cell>
          <cell r="R572">
            <v>53</v>
          </cell>
          <cell r="S572">
            <v>59</v>
          </cell>
        </row>
        <row r="573">
          <cell r="K573">
            <v>0.22</v>
          </cell>
          <cell r="Q573">
            <v>11</v>
          </cell>
          <cell r="R573">
            <v>67</v>
          </cell>
          <cell r="S573">
            <v>78</v>
          </cell>
        </row>
        <row r="574">
          <cell r="K574">
            <v>0.2</v>
          </cell>
          <cell r="Q574">
            <v>8</v>
          </cell>
          <cell r="R574">
            <v>65</v>
          </cell>
          <cell r="S574">
            <v>73</v>
          </cell>
        </row>
        <row r="575">
          <cell r="K575">
            <v>0.2</v>
          </cell>
          <cell r="Q575">
            <v>6</v>
          </cell>
          <cell r="R575">
            <v>56</v>
          </cell>
          <cell r="S575">
            <v>62</v>
          </cell>
        </row>
        <row r="576">
          <cell r="K576">
            <v>0.16</v>
          </cell>
          <cell r="Q576">
            <v>4</v>
          </cell>
          <cell r="R576">
            <v>61</v>
          </cell>
          <cell r="S576">
            <v>65</v>
          </cell>
        </row>
        <row r="577">
          <cell r="K577">
            <v>0.16</v>
          </cell>
          <cell r="Q577">
            <v>0</v>
          </cell>
          <cell r="R577">
            <v>97</v>
          </cell>
          <cell r="S577">
            <v>97</v>
          </cell>
        </row>
        <row r="578">
          <cell r="K578">
            <v>0.14000000000000001</v>
          </cell>
          <cell r="Q578">
            <v>10</v>
          </cell>
          <cell r="R578">
            <v>151</v>
          </cell>
          <cell r="S578">
            <v>161</v>
          </cell>
        </row>
        <row r="579">
          <cell r="K579">
            <v>0.12</v>
          </cell>
          <cell r="Q579">
            <v>1</v>
          </cell>
          <cell r="R579">
            <v>119</v>
          </cell>
          <cell r="S579">
            <v>120</v>
          </cell>
        </row>
        <row r="580">
          <cell r="K580">
            <v>0.12</v>
          </cell>
          <cell r="Q580">
            <v>3</v>
          </cell>
          <cell r="R580">
            <v>93</v>
          </cell>
          <cell r="S580">
            <v>96</v>
          </cell>
        </row>
        <row r="581">
          <cell r="K581">
            <v>0.1</v>
          </cell>
          <cell r="Q581">
            <v>1</v>
          </cell>
          <cell r="R581">
            <v>52</v>
          </cell>
          <cell r="S581">
            <v>53</v>
          </cell>
        </row>
        <row r="582">
          <cell r="K582">
            <v>0.08</v>
          </cell>
          <cell r="Q582">
            <v>0</v>
          </cell>
          <cell r="R582">
            <v>41</v>
          </cell>
          <cell r="S582">
            <v>41</v>
          </cell>
        </row>
        <row r="583">
          <cell r="K583">
            <v>0.06</v>
          </cell>
          <cell r="Q583">
            <v>1</v>
          </cell>
          <cell r="R583">
            <v>33</v>
          </cell>
          <cell r="S583">
            <v>34</v>
          </cell>
        </row>
        <row r="584">
          <cell r="K584">
            <v>0.06</v>
          </cell>
          <cell r="Q584">
            <v>0</v>
          </cell>
          <cell r="R584">
            <v>27</v>
          </cell>
          <cell r="S584">
            <v>27</v>
          </cell>
        </row>
        <row r="585">
          <cell r="K585">
            <v>0.04</v>
          </cell>
          <cell r="Q585">
            <v>0</v>
          </cell>
          <cell r="R585">
            <v>13</v>
          </cell>
          <cell r="S585">
            <v>13</v>
          </cell>
        </row>
        <row r="586">
          <cell r="K586">
            <v>0.04</v>
          </cell>
          <cell r="Q586">
            <v>0</v>
          </cell>
          <cell r="R586">
            <v>11</v>
          </cell>
          <cell r="S586">
            <v>11</v>
          </cell>
        </row>
        <row r="587">
          <cell r="K587">
            <v>0.04</v>
          </cell>
          <cell r="Q587">
            <v>1</v>
          </cell>
          <cell r="R587">
            <v>6</v>
          </cell>
          <cell r="S587">
            <v>7</v>
          </cell>
        </row>
        <row r="588">
          <cell r="K588">
            <v>0.02</v>
          </cell>
          <cell r="Q588">
            <v>0</v>
          </cell>
          <cell r="R588">
            <v>3</v>
          </cell>
          <cell r="S588">
            <v>3</v>
          </cell>
        </row>
        <row r="589">
          <cell r="K589">
            <v>0.02</v>
          </cell>
          <cell r="Q589">
            <v>0</v>
          </cell>
          <cell r="R589">
            <v>2</v>
          </cell>
          <cell r="S589">
            <v>2</v>
          </cell>
        </row>
        <row r="590">
          <cell r="K590">
            <v>0.02</v>
          </cell>
          <cell r="Q590">
            <v>0</v>
          </cell>
          <cell r="R590">
            <v>8</v>
          </cell>
          <cell r="S590">
            <v>8</v>
          </cell>
        </row>
        <row r="591">
          <cell r="K591">
            <v>0.04</v>
          </cell>
          <cell r="Q591">
            <v>3</v>
          </cell>
          <cell r="R591">
            <v>37</v>
          </cell>
          <cell r="S591">
            <v>40</v>
          </cell>
        </row>
        <row r="592">
          <cell r="K592">
            <v>0.04</v>
          </cell>
          <cell r="Q592">
            <v>3</v>
          </cell>
          <cell r="R592">
            <v>50</v>
          </cell>
          <cell r="S592">
            <v>53</v>
          </cell>
        </row>
        <row r="593">
          <cell r="K593">
            <v>0.06</v>
          </cell>
          <cell r="Q593">
            <v>4</v>
          </cell>
          <cell r="R593">
            <v>59</v>
          </cell>
          <cell r="S593">
            <v>63</v>
          </cell>
        </row>
        <row r="594">
          <cell r="K594">
            <v>0.06</v>
          </cell>
          <cell r="Q594">
            <v>10</v>
          </cell>
          <cell r="R594">
            <v>60</v>
          </cell>
          <cell r="S594">
            <v>70</v>
          </cell>
        </row>
        <row r="595">
          <cell r="K595">
            <v>0.08</v>
          </cell>
          <cell r="Q595">
            <v>12</v>
          </cell>
          <cell r="R595">
            <v>72</v>
          </cell>
          <cell r="S595">
            <v>84</v>
          </cell>
        </row>
        <row r="596">
          <cell r="K596">
            <v>0.1</v>
          </cell>
          <cell r="Q596">
            <v>11</v>
          </cell>
          <cell r="R596">
            <v>64</v>
          </cell>
          <cell r="S596">
            <v>75</v>
          </cell>
        </row>
        <row r="597">
          <cell r="K597">
            <v>0.12</v>
          </cell>
          <cell r="Q597">
            <v>10</v>
          </cell>
          <cell r="R597">
            <v>93</v>
          </cell>
          <cell r="S597">
            <v>103</v>
          </cell>
        </row>
        <row r="598">
          <cell r="K598">
            <v>0.12</v>
          </cell>
          <cell r="Q598">
            <v>11</v>
          </cell>
          <cell r="R598">
            <v>72</v>
          </cell>
          <cell r="S598">
            <v>83</v>
          </cell>
        </row>
        <row r="599">
          <cell r="K599">
            <v>0.12</v>
          </cell>
          <cell r="Q599">
            <v>8</v>
          </cell>
          <cell r="R599">
            <v>59</v>
          </cell>
          <cell r="S599">
            <v>67</v>
          </cell>
        </row>
        <row r="600">
          <cell r="K600">
            <v>0.08</v>
          </cell>
          <cell r="Q600">
            <v>0</v>
          </cell>
          <cell r="R600">
            <v>54</v>
          </cell>
          <cell r="S600">
            <v>54</v>
          </cell>
        </row>
        <row r="601">
          <cell r="K601">
            <v>0.08</v>
          </cell>
          <cell r="Q601">
            <v>6</v>
          </cell>
          <cell r="R601">
            <v>53</v>
          </cell>
          <cell r="S601">
            <v>59</v>
          </cell>
        </row>
        <row r="602">
          <cell r="K602">
            <v>0.06</v>
          </cell>
          <cell r="Q602">
            <v>1</v>
          </cell>
          <cell r="R602">
            <v>44</v>
          </cell>
          <cell r="S602">
            <v>45</v>
          </cell>
        </row>
        <row r="603">
          <cell r="K603">
            <v>0.06</v>
          </cell>
          <cell r="Q603">
            <v>0</v>
          </cell>
          <cell r="R603">
            <v>39</v>
          </cell>
          <cell r="S603">
            <v>39</v>
          </cell>
        </row>
        <row r="604">
          <cell r="K604">
            <v>0.06</v>
          </cell>
          <cell r="Q604">
            <v>7</v>
          </cell>
          <cell r="R604">
            <v>23</v>
          </cell>
          <cell r="S604">
            <v>30</v>
          </cell>
        </row>
        <row r="605">
          <cell r="K605">
            <v>0.04</v>
          </cell>
          <cell r="Q605">
            <v>2</v>
          </cell>
          <cell r="R605">
            <v>31</v>
          </cell>
          <cell r="S605">
            <v>33</v>
          </cell>
        </row>
        <row r="606">
          <cell r="K606">
            <v>0.04</v>
          </cell>
          <cell r="Q606">
            <v>2</v>
          </cell>
          <cell r="R606">
            <v>20</v>
          </cell>
          <cell r="S606">
            <v>22</v>
          </cell>
        </row>
        <row r="607">
          <cell r="K607">
            <v>0.04</v>
          </cell>
          <cell r="Q607">
            <v>1</v>
          </cell>
          <cell r="R607">
            <v>12</v>
          </cell>
          <cell r="S607">
            <v>13</v>
          </cell>
        </row>
        <row r="608">
          <cell r="K608">
            <v>0.02</v>
          </cell>
          <cell r="Q608">
            <v>3</v>
          </cell>
          <cell r="R608">
            <v>15</v>
          </cell>
          <cell r="S608">
            <v>18</v>
          </cell>
        </row>
        <row r="609">
          <cell r="K609">
            <v>0.02</v>
          </cell>
          <cell r="Q609">
            <v>1</v>
          </cell>
          <cell r="R609">
            <v>4</v>
          </cell>
          <cell r="S609">
            <v>5</v>
          </cell>
        </row>
        <row r="610">
          <cell r="K610">
            <v>0.04</v>
          </cell>
          <cell r="Q610">
            <v>0</v>
          </cell>
          <cell r="R610">
            <v>3</v>
          </cell>
          <cell r="S610">
            <v>3</v>
          </cell>
        </row>
        <row r="611">
          <cell r="K611">
            <v>0.04</v>
          </cell>
          <cell r="Q611">
            <v>0</v>
          </cell>
          <cell r="R611">
            <v>1</v>
          </cell>
          <cell r="S611">
            <v>1</v>
          </cell>
        </row>
        <row r="612">
          <cell r="K612">
            <v>0.08</v>
          </cell>
          <cell r="Q612">
            <v>1</v>
          </cell>
          <cell r="R612">
            <v>1</v>
          </cell>
          <cell r="S612">
            <v>2</v>
          </cell>
        </row>
        <row r="613">
          <cell r="K613">
            <v>0.06</v>
          </cell>
          <cell r="Q613">
            <v>2</v>
          </cell>
          <cell r="R613">
            <v>17</v>
          </cell>
          <cell r="S613">
            <v>19</v>
          </cell>
        </row>
        <row r="614">
          <cell r="K614">
            <v>0.1</v>
          </cell>
          <cell r="Q614">
            <v>3</v>
          </cell>
          <cell r="R614">
            <v>25</v>
          </cell>
          <cell r="S614">
            <v>28</v>
          </cell>
        </row>
        <row r="615">
          <cell r="K615">
            <v>0.14000000000000001</v>
          </cell>
          <cell r="Q615">
            <v>7</v>
          </cell>
          <cell r="R615">
            <v>51</v>
          </cell>
          <cell r="S615">
            <v>58</v>
          </cell>
        </row>
        <row r="616">
          <cell r="K616">
            <v>0.14000000000000001</v>
          </cell>
          <cell r="Q616">
            <v>22</v>
          </cell>
          <cell r="R616">
            <v>77</v>
          </cell>
          <cell r="S616">
            <v>99</v>
          </cell>
        </row>
        <row r="617">
          <cell r="K617">
            <v>0.16</v>
          </cell>
          <cell r="Q617">
            <v>24</v>
          </cell>
          <cell r="R617">
            <v>92</v>
          </cell>
          <cell r="S617">
            <v>116</v>
          </cell>
        </row>
        <row r="618">
          <cell r="K618">
            <v>0.14000000000000001</v>
          </cell>
          <cell r="Q618">
            <v>12</v>
          </cell>
          <cell r="R618">
            <v>75</v>
          </cell>
          <cell r="S618">
            <v>87</v>
          </cell>
        </row>
        <row r="619">
          <cell r="K619">
            <v>0.16</v>
          </cell>
          <cell r="Q619">
            <v>17</v>
          </cell>
          <cell r="R619">
            <v>93</v>
          </cell>
          <cell r="S619">
            <v>110</v>
          </cell>
        </row>
        <row r="620">
          <cell r="K620">
            <v>0.16</v>
          </cell>
          <cell r="Q620">
            <v>13</v>
          </cell>
          <cell r="R620">
            <v>64</v>
          </cell>
          <cell r="S620">
            <v>77</v>
          </cell>
        </row>
        <row r="621">
          <cell r="K621">
            <v>0.16</v>
          </cell>
          <cell r="Q621">
            <v>9</v>
          </cell>
          <cell r="R621">
            <v>56</v>
          </cell>
          <cell r="S621">
            <v>65</v>
          </cell>
        </row>
        <row r="622">
          <cell r="K622">
            <v>0.14000000000000001</v>
          </cell>
          <cell r="Q622">
            <v>5</v>
          </cell>
          <cell r="R622">
            <v>50</v>
          </cell>
          <cell r="S622">
            <v>55</v>
          </cell>
        </row>
        <row r="623">
          <cell r="K623">
            <v>0.12</v>
          </cell>
          <cell r="Q623">
            <v>5</v>
          </cell>
          <cell r="R623">
            <v>44</v>
          </cell>
          <cell r="S623">
            <v>49</v>
          </cell>
        </row>
        <row r="624">
          <cell r="K624">
            <v>0.12</v>
          </cell>
          <cell r="Q624">
            <v>5</v>
          </cell>
          <cell r="R624">
            <v>45</v>
          </cell>
          <cell r="S624">
            <v>50</v>
          </cell>
        </row>
        <row r="625">
          <cell r="K625">
            <v>0.1</v>
          </cell>
          <cell r="Q625">
            <v>4</v>
          </cell>
          <cell r="R625">
            <v>31</v>
          </cell>
          <cell r="S625">
            <v>35</v>
          </cell>
        </row>
        <row r="626">
          <cell r="K626">
            <v>0.1</v>
          </cell>
          <cell r="Q626">
            <v>5</v>
          </cell>
          <cell r="R626">
            <v>20</v>
          </cell>
          <cell r="S626">
            <v>25</v>
          </cell>
        </row>
        <row r="627">
          <cell r="K627">
            <v>0.08</v>
          </cell>
          <cell r="Q627">
            <v>5</v>
          </cell>
          <cell r="R627">
            <v>23</v>
          </cell>
          <cell r="S627">
            <v>28</v>
          </cell>
        </row>
        <row r="628">
          <cell r="K628">
            <v>0.06</v>
          </cell>
          <cell r="Q628">
            <v>4</v>
          </cell>
          <cell r="R628">
            <v>17</v>
          </cell>
          <cell r="S628">
            <v>21</v>
          </cell>
        </row>
        <row r="629">
          <cell r="K629">
            <v>0.06</v>
          </cell>
          <cell r="Q629">
            <v>0</v>
          </cell>
          <cell r="R629">
            <v>7</v>
          </cell>
          <cell r="S629">
            <v>7</v>
          </cell>
        </row>
        <row r="630">
          <cell r="K630">
            <v>0.04</v>
          </cell>
          <cell r="Q630">
            <v>0</v>
          </cell>
          <cell r="R630">
            <v>1</v>
          </cell>
          <cell r="S630">
            <v>1</v>
          </cell>
        </row>
        <row r="631">
          <cell r="K631">
            <v>0.04</v>
          </cell>
          <cell r="Q631">
            <v>0</v>
          </cell>
          <cell r="R631">
            <v>1</v>
          </cell>
          <cell r="S631">
            <v>1</v>
          </cell>
        </row>
        <row r="632">
          <cell r="K632">
            <v>0.02</v>
          </cell>
          <cell r="Q632">
            <v>0</v>
          </cell>
          <cell r="R632">
            <v>1</v>
          </cell>
          <cell r="S632">
            <v>1</v>
          </cell>
        </row>
        <row r="633">
          <cell r="K633">
            <v>0.02</v>
          </cell>
          <cell r="Q633">
            <v>0</v>
          </cell>
          <cell r="R633">
            <v>5</v>
          </cell>
          <cell r="S633">
            <v>5</v>
          </cell>
        </row>
        <row r="634">
          <cell r="K634">
            <v>0.02</v>
          </cell>
          <cell r="Q634">
            <v>0</v>
          </cell>
          <cell r="R634">
            <v>15</v>
          </cell>
          <cell r="S634">
            <v>15</v>
          </cell>
        </row>
        <row r="635">
          <cell r="K635">
            <v>0.02</v>
          </cell>
          <cell r="Q635">
            <v>5</v>
          </cell>
          <cell r="R635">
            <v>79</v>
          </cell>
          <cell r="S635">
            <v>84</v>
          </cell>
        </row>
        <row r="636">
          <cell r="K636">
            <v>0.04</v>
          </cell>
          <cell r="Q636">
            <v>6</v>
          </cell>
          <cell r="R636">
            <v>171</v>
          </cell>
          <cell r="S636">
            <v>177</v>
          </cell>
        </row>
        <row r="637">
          <cell r="K637">
            <v>0.06</v>
          </cell>
          <cell r="Q637">
            <v>4</v>
          </cell>
          <cell r="R637">
            <v>98</v>
          </cell>
          <cell r="S637">
            <v>102</v>
          </cell>
        </row>
        <row r="638">
          <cell r="K638">
            <v>0.1</v>
          </cell>
          <cell r="Q638">
            <v>6</v>
          </cell>
          <cell r="R638">
            <v>34</v>
          </cell>
          <cell r="S638">
            <v>40</v>
          </cell>
        </row>
        <row r="639">
          <cell r="K639">
            <v>0.1</v>
          </cell>
          <cell r="Q639">
            <v>3</v>
          </cell>
          <cell r="R639">
            <v>43</v>
          </cell>
          <cell r="S639">
            <v>46</v>
          </cell>
        </row>
        <row r="640">
          <cell r="K640">
            <v>0.12</v>
          </cell>
          <cell r="Q640">
            <v>11</v>
          </cell>
          <cell r="R640">
            <v>52</v>
          </cell>
          <cell r="S640">
            <v>63</v>
          </cell>
        </row>
        <row r="641">
          <cell r="K641">
            <v>0.14000000000000001</v>
          </cell>
          <cell r="Q641">
            <v>6</v>
          </cell>
          <cell r="R641">
            <v>54</v>
          </cell>
          <cell r="S641">
            <v>60</v>
          </cell>
        </row>
        <row r="642">
          <cell r="K642">
            <v>0.14000000000000001</v>
          </cell>
          <cell r="Q642">
            <v>2</v>
          </cell>
          <cell r="R642">
            <v>43</v>
          </cell>
          <cell r="S642">
            <v>45</v>
          </cell>
        </row>
        <row r="643">
          <cell r="K643">
            <v>0.16</v>
          </cell>
          <cell r="Q643">
            <v>7</v>
          </cell>
          <cell r="R643">
            <v>50</v>
          </cell>
          <cell r="S643">
            <v>57</v>
          </cell>
        </row>
        <row r="644">
          <cell r="K644">
            <v>0.16</v>
          </cell>
          <cell r="Q644">
            <v>4</v>
          </cell>
          <cell r="R644">
            <v>66</v>
          </cell>
          <cell r="S644">
            <v>70</v>
          </cell>
        </row>
        <row r="645">
          <cell r="K645">
            <v>0.14000000000000001</v>
          </cell>
          <cell r="Q645">
            <v>6</v>
          </cell>
          <cell r="R645">
            <v>178</v>
          </cell>
          <cell r="S645">
            <v>184</v>
          </cell>
        </row>
        <row r="646">
          <cell r="K646">
            <v>0.14000000000000001</v>
          </cell>
          <cell r="Q646">
            <v>8</v>
          </cell>
          <cell r="R646">
            <v>145</v>
          </cell>
          <cell r="S646">
            <v>153</v>
          </cell>
        </row>
        <row r="647">
          <cell r="K647">
            <v>0.14000000000000001</v>
          </cell>
          <cell r="Q647">
            <v>5</v>
          </cell>
          <cell r="R647">
            <v>101</v>
          </cell>
          <cell r="S647">
            <v>106</v>
          </cell>
        </row>
        <row r="648">
          <cell r="K648">
            <v>0.14000000000000001</v>
          </cell>
          <cell r="Q648">
            <v>1</v>
          </cell>
          <cell r="R648">
            <v>80</v>
          </cell>
          <cell r="S648">
            <v>81</v>
          </cell>
        </row>
        <row r="649">
          <cell r="K649">
            <v>0.14000000000000001</v>
          </cell>
          <cell r="Q649">
            <v>6</v>
          </cell>
          <cell r="R649">
            <v>53</v>
          </cell>
          <cell r="S649">
            <v>59</v>
          </cell>
        </row>
        <row r="650">
          <cell r="K650">
            <v>0.14000000000000001</v>
          </cell>
          <cell r="Q650">
            <v>3</v>
          </cell>
          <cell r="R650">
            <v>32</v>
          </cell>
          <cell r="S650">
            <v>35</v>
          </cell>
        </row>
        <row r="651">
          <cell r="K651">
            <v>0.16</v>
          </cell>
          <cell r="Q651">
            <v>3</v>
          </cell>
          <cell r="R651">
            <v>21</v>
          </cell>
          <cell r="S651">
            <v>24</v>
          </cell>
        </row>
        <row r="652">
          <cell r="K652">
            <v>0.16</v>
          </cell>
          <cell r="Q652">
            <v>3</v>
          </cell>
          <cell r="R652">
            <v>6</v>
          </cell>
          <cell r="S652">
            <v>9</v>
          </cell>
        </row>
        <row r="653">
          <cell r="K653">
            <v>0.16</v>
          </cell>
          <cell r="Q653">
            <v>0</v>
          </cell>
          <cell r="R653">
            <v>5</v>
          </cell>
          <cell r="S653">
            <v>5</v>
          </cell>
        </row>
        <row r="654">
          <cell r="K654">
            <v>0.16</v>
          </cell>
          <cell r="Q654">
            <v>0</v>
          </cell>
          <cell r="R654">
            <v>2</v>
          </cell>
          <cell r="S654">
            <v>2</v>
          </cell>
        </row>
        <row r="655">
          <cell r="K655">
            <v>0.14000000000000001</v>
          </cell>
          <cell r="Q655">
            <v>0</v>
          </cell>
          <cell r="R655">
            <v>1</v>
          </cell>
          <cell r="S655">
            <v>1</v>
          </cell>
        </row>
        <row r="656">
          <cell r="K656">
            <v>0.14000000000000001</v>
          </cell>
          <cell r="Q656">
            <v>0</v>
          </cell>
          <cell r="R656">
            <v>9</v>
          </cell>
          <cell r="S656">
            <v>9</v>
          </cell>
        </row>
        <row r="657">
          <cell r="K657">
            <v>0.16</v>
          </cell>
          <cell r="Q657">
            <v>1</v>
          </cell>
          <cell r="R657">
            <v>35</v>
          </cell>
          <cell r="S657">
            <v>36</v>
          </cell>
        </row>
        <row r="658">
          <cell r="K658">
            <v>0.16</v>
          </cell>
          <cell r="Q658">
            <v>5</v>
          </cell>
          <cell r="R658">
            <v>103</v>
          </cell>
          <cell r="S658">
            <v>108</v>
          </cell>
        </row>
        <row r="659">
          <cell r="K659">
            <v>0.16</v>
          </cell>
          <cell r="Q659">
            <v>5</v>
          </cell>
          <cell r="R659">
            <v>233</v>
          </cell>
          <cell r="S659">
            <v>238</v>
          </cell>
        </row>
        <row r="660">
          <cell r="K660">
            <v>0.2</v>
          </cell>
          <cell r="Q660">
            <v>10</v>
          </cell>
          <cell r="R660">
            <v>134</v>
          </cell>
          <cell r="S660">
            <v>144</v>
          </cell>
        </row>
        <row r="661">
          <cell r="K661">
            <v>0.22</v>
          </cell>
          <cell r="Q661">
            <v>6</v>
          </cell>
          <cell r="R661">
            <v>49</v>
          </cell>
          <cell r="S661">
            <v>55</v>
          </cell>
        </row>
        <row r="662">
          <cell r="K662">
            <v>0.24</v>
          </cell>
          <cell r="Q662">
            <v>6</v>
          </cell>
          <cell r="R662">
            <v>55</v>
          </cell>
          <cell r="S662">
            <v>61</v>
          </cell>
        </row>
        <row r="663">
          <cell r="K663">
            <v>0.26</v>
          </cell>
          <cell r="Q663">
            <v>21</v>
          </cell>
          <cell r="R663">
            <v>85</v>
          </cell>
          <cell r="S663">
            <v>106</v>
          </cell>
        </row>
        <row r="664">
          <cell r="K664">
            <v>0.26</v>
          </cell>
          <cell r="Q664">
            <v>21</v>
          </cell>
          <cell r="R664">
            <v>72</v>
          </cell>
          <cell r="S664">
            <v>93</v>
          </cell>
        </row>
        <row r="665">
          <cell r="K665">
            <v>0.3</v>
          </cell>
          <cell r="Q665">
            <v>11</v>
          </cell>
          <cell r="R665">
            <v>57</v>
          </cell>
          <cell r="S665">
            <v>68</v>
          </cell>
        </row>
        <row r="666">
          <cell r="K666">
            <v>0.32</v>
          </cell>
          <cell r="Q666">
            <v>21</v>
          </cell>
          <cell r="R666">
            <v>63</v>
          </cell>
          <cell r="S666">
            <v>84</v>
          </cell>
        </row>
        <row r="667">
          <cell r="K667">
            <v>0.32</v>
          </cell>
          <cell r="Q667">
            <v>14</v>
          </cell>
          <cell r="R667">
            <v>102</v>
          </cell>
          <cell r="S667">
            <v>116</v>
          </cell>
        </row>
        <row r="668">
          <cell r="K668">
            <v>0.3</v>
          </cell>
          <cell r="Q668">
            <v>14</v>
          </cell>
          <cell r="R668">
            <v>208</v>
          </cell>
          <cell r="S668">
            <v>222</v>
          </cell>
        </row>
        <row r="669">
          <cell r="K669">
            <v>0.3</v>
          </cell>
          <cell r="Q669">
            <v>7</v>
          </cell>
          <cell r="R669">
            <v>218</v>
          </cell>
          <cell r="S669">
            <v>225</v>
          </cell>
        </row>
        <row r="670">
          <cell r="K670">
            <v>0.26</v>
          </cell>
          <cell r="Q670">
            <v>13</v>
          </cell>
          <cell r="R670">
            <v>133</v>
          </cell>
          <cell r="S670">
            <v>146</v>
          </cell>
        </row>
        <row r="671">
          <cell r="K671">
            <v>0.24</v>
          </cell>
          <cell r="Q671">
            <v>16</v>
          </cell>
          <cell r="R671">
            <v>103</v>
          </cell>
          <cell r="S671">
            <v>119</v>
          </cell>
        </row>
        <row r="672">
          <cell r="K672">
            <v>0.24</v>
          </cell>
          <cell r="Q672">
            <v>5</v>
          </cell>
          <cell r="R672">
            <v>40</v>
          </cell>
          <cell r="S672">
            <v>45</v>
          </cell>
        </row>
        <row r="673">
          <cell r="K673">
            <v>0.22</v>
          </cell>
          <cell r="Q673">
            <v>4</v>
          </cell>
          <cell r="R673">
            <v>49</v>
          </cell>
          <cell r="S673">
            <v>53</v>
          </cell>
        </row>
        <row r="674">
          <cell r="K674">
            <v>0.22</v>
          </cell>
          <cell r="Q674">
            <v>3</v>
          </cell>
          <cell r="R674">
            <v>37</v>
          </cell>
          <cell r="S674">
            <v>40</v>
          </cell>
        </row>
        <row r="675">
          <cell r="K675">
            <v>0.22</v>
          </cell>
          <cell r="Q675">
            <v>3</v>
          </cell>
          <cell r="R675">
            <v>14</v>
          </cell>
          <cell r="S675">
            <v>17</v>
          </cell>
        </row>
        <row r="676">
          <cell r="K676">
            <v>0.24</v>
          </cell>
          <cell r="Q676">
            <v>0</v>
          </cell>
          <cell r="R676">
            <v>5</v>
          </cell>
          <cell r="S676">
            <v>5</v>
          </cell>
        </row>
        <row r="677">
          <cell r="K677">
            <v>0.22</v>
          </cell>
          <cell r="Q677">
            <v>3</v>
          </cell>
          <cell r="R677">
            <v>7</v>
          </cell>
          <cell r="S677">
            <v>10</v>
          </cell>
        </row>
        <row r="678">
          <cell r="K678">
            <v>0.22</v>
          </cell>
          <cell r="Q678">
            <v>1</v>
          </cell>
          <cell r="R678">
            <v>23</v>
          </cell>
          <cell r="S678">
            <v>24</v>
          </cell>
        </row>
        <row r="679">
          <cell r="K679">
            <v>0.22</v>
          </cell>
          <cell r="Q679">
            <v>2</v>
          </cell>
          <cell r="R679">
            <v>82</v>
          </cell>
          <cell r="S679">
            <v>84</v>
          </cell>
        </row>
        <row r="680">
          <cell r="K680">
            <v>0.2</v>
          </cell>
          <cell r="Q680">
            <v>3</v>
          </cell>
          <cell r="R680">
            <v>101</v>
          </cell>
          <cell r="S680">
            <v>104</v>
          </cell>
        </row>
        <row r="681">
          <cell r="K681">
            <v>0.2</v>
          </cell>
          <cell r="Q681">
            <v>3</v>
          </cell>
          <cell r="R681">
            <v>76</v>
          </cell>
          <cell r="S681">
            <v>79</v>
          </cell>
        </row>
        <row r="682">
          <cell r="K682">
            <v>0.18</v>
          </cell>
          <cell r="Q682">
            <v>4</v>
          </cell>
          <cell r="R682">
            <v>55</v>
          </cell>
          <cell r="S682">
            <v>59</v>
          </cell>
        </row>
        <row r="683">
          <cell r="K683">
            <v>0.18</v>
          </cell>
          <cell r="Q683">
            <v>2</v>
          </cell>
          <cell r="R683">
            <v>36</v>
          </cell>
          <cell r="S683">
            <v>38</v>
          </cell>
        </row>
        <row r="684">
          <cell r="K684">
            <v>0.18</v>
          </cell>
          <cell r="Q684">
            <v>0</v>
          </cell>
          <cell r="R684">
            <v>27</v>
          </cell>
          <cell r="S684">
            <v>27</v>
          </cell>
        </row>
        <row r="685">
          <cell r="K685">
            <v>0.2</v>
          </cell>
          <cell r="Q685">
            <v>0</v>
          </cell>
          <cell r="R685">
            <v>9</v>
          </cell>
          <cell r="S685">
            <v>9</v>
          </cell>
        </row>
        <row r="686">
          <cell r="K686">
            <v>0.2</v>
          </cell>
          <cell r="Q686">
            <v>1</v>
          </cell>
          <cell r="R686">
            <v>2</v>
          </cell>
          <cell r="S686">
            <v>3</v>
          </cell>
        </row>
        <row r="687">
          <cell r="K687">
            <v>0.2</v>
          </cell>
          <cell r="Q687">
            <v>0</v>
          </cell>
          <cell r="R687">
            <v>2</v>
          </cell>
          <cell r="S687">
            <v>2</v>
          </cell>
        </row>
        <row r="688">
          <cell r="K688">
            <v>0.2</v>
          </cell>
          <cell r="Q688">
            <v>1</v>
          </cell>
          <cell r="R688">
            <v>0</v>
          </cell>
          <cell r="S688">
            <v>1</v>
          </cell>
        </row>
        <row r="689">
          <cell r="K689">
            <v>0.24</v>
          </cell>
          <cell r="Q689">
            <v>3</v>
          </cell>
          <cell r="R689">
            <v>10</v>
          </cell>
          <cell r="S689">
            <v>13</v>
          </cell>
        </row>
        <row r="690">
          <cell r="K690">
            <v>0.24</v>
          </cell>
          <cell r="Q690">
            <v>0</v>
          </cell>
          <cell r="R690">
            <v>1</v>
          </cell>
          <cell r="S690">
            <v>1</v>
          </cell>
        </row>
        <row r="691">
          <cell r="K691">
            <v>0.24</v>
          </cell>
          <cell r="Q691">
            <v>0</v>
          </cell>
          <cell r="R691">
            <v>1</v>
          </cell>
          <cell r="S691">
            <v>1</v>
          </cell>
        </row>
        <row r="692">
          <cell r="K692">
            <v>0.32</v>
          </cell>
          <cell r="Q692">
            <v>8</v>
          </cell>
          <cell r="R692">
            <v>6</v>
          </cell>
          <cell r="S692">
            <v>14</v>
          </cell>
        </row>
        <row r="693">
          <cell r="K693">
            <v>0.38</v>
          </cell>
          <cell r="Q693">
            <v>12</v>
          </cell>
          <cell r="R693">
            <v>24</v>
          </cell>
          <cell r="S693">
            <v>36</v>
          </cell>
        </row>
        <row r="694">
          <cell r="K694">
            <v>0.42</v>
          </cell>
          <cell r="Q694">
            <v>29</v>
          </cell>
          <cell r="R694">
            <v>55</v>
          </cell>
          <cell r="S694">
            <v>84</v>
          </cell>
        </row>
        <row r="695">
          <cell r="K695">
            <v>0.46</v>
          </cell>
          <cell r="Q695">
            <v>47</v>
          </cell>
          <cell r="R695">
            <v>47</v>
          </cell>
          <cell r="S695">
            <v>94</v>
          </cell>
        </row>
        <row r="696">
          <cell r="K696">
            <v>0.46</v>
          </cell>
          <cell r="Q696">
            <v>35</v>
          </cell>
          <cell r="R696">
            <v>71</v>
          </cell>
          <cell r="S696">
            <v>106</v>
          </cell>
        </row>
        <row r="697">
          <cell r="K697">
            <v>0.44</v>
          </cell>
          <cell r="Q697">
            <v>40</v>
          </cell>
          <cell r="R697">
            <v>70</v>
          </cell>
          <cell r="S697">
            <v>110</v>
          </cell>
        </row>
        <row r="698">
          <cell r="K698">
            <v>0.42</v>
          </cell>
          <cell r="Q698">
            <v>0</v>
          </cell>
          <cell r="R698">
            <v>2</v>
          </cell>
          <cell r="S698">
            <v>2</v>
          </cell>
        </row>
        <row r="699">
          <cell r="K699">
            <v>0.4</v>
          </cell>
          <cell r="Q699">
            <v>0</v>
          </cell>
          <cell r="R699">
            <v>1</v>
          </cell>
          <cell r="S699">
            <v>1</v>
          </cell>
        </row>
        <row r="700">
          <cell r="K700">
            <v>0.4</v>
          </cell>
          <cell r="Q700">
            <v>0</v>
          </cell>
          <cell r="R700">
            <v>8</v>
          </cell>
          <cell r="S700">
            <v>8</v>
          </cell>
        </row>
        <row r="701">
          <cell r="K701">
            <v>0.36</v>
          </cell>
          <cell r="Q701">
            <v>16</v>
          </cell>
          <cell r="R701">
            <v>54</v>
          </cell>
          <cell r="S701">
            <v>70</v>
          </cell>
        </row>
        <row r="702">
          <cell r="K702">
            <v>0.36</v>
          </cell>
          <cell r="Q702">
            <v>20</v>
          </cell>
          <cell r="R702">
            <v>73</v>
          </cell>
          <cell r="S702">
            <v>93</v>
          </cell>
        </row>
        <row r="703">
          <cell r="K703">
            <v>0.36</v>
          </cell>
          <cell r="Q703">
            <v>11</v>
          </cell>
          <cell r="R703">
            <v>64</v>
          </cell>
          <cell r="S703">
            <v>75</v>
          </cell>
        </row>
        <row r="704">
          <cell r="K704">
            <v>0.34</v>
          </cell>
          <cell r="Q704">
            <v>9</v>
          </cell>
          <cell r="R704">
            <v>67</v>
          </cell>
          <cell r="S704">
            <v>76</v>
          </cell>
        </row>
        <row r="705">
          <cell r="K705">
            <v>0.34</v>
          </cell>
          <cell r="Q705">
            <v>7</v>
          </cell>
          <cell r="R705">
            <v>58</v>
          </cell>
          <cell r="S705">
            <v>65</v>
          </cell>
        </row>
        <row r="706">
          <cell r="K706">
            <v>0.36</v>
          </cell>
          <cell r="Q706">
            <v>10</v>
          </cell>
          <cell r="R706">
            <v>43</v>
          </cell>
          <cell r="S706">
            <v>53</v>
          </cell>
        </row>
        <row r="707">
          <cell r="K707">
            <v>0.32</v>
          </cell>
          <cell r="Q707">
            <v>1</v>
          </cell>
          <cell r="R707">
            <v>29</v>
          </cell>
          <cell r="S707">
            <v>30</v>
          </cell>
        </row>
        <row r="708">
          <cell r="K708">
            <v>0.26</v>
          </cell>
          <cell r="Q708">
            <v>11</v>
          </cell>
          <cell r="R708">
            <v>20</v>
          </cell>
          <cell r="S708">
            <v>31</v>
          </cell>
        </row>
        <row r="709">
          <cell r="K709">
            <v>0.24</v>
          </cell>
          <cell r="Q709">
            <v>0</v>
          </cell>
          <cell r="R709">
            <v>9</v>
          </cell>
          <cell r="S709">
            <v>9</v>
          </cell>
        </row>
        <row r="710">
          <cell r="K710">
            <v>0.22</v>
          </cell>
          <cell r="Q710">
            <v>0</v>
          </cell>
          <cell r="R710">
            <v>8</v>
          </cell>
          <cell r="S710">
            <v>8</v>
          </cell>
        </row>
        <row r="711">
          <cell r="K711">
            <v>0.22</v>
          </cell>
          <cell r="Q711">
            <v>0</v>
          </cell>
          <cell r="R711">
            <v>5</v>
          </cell>
          <cell r="S711">
            <v>5</v>
          </cell>
        </row>
        <row r="712">
          <cell r="K712">
            <v>0.16</v>
          </cell>
          <cell r="Q712">
            <v>0</v>
          </cell>
          <cell r="R712">
            <v>1</v>
          </cell>
          <cell r="S712">
            <v>1</v>
          </cell>
        </row>
        <row r="713">
          <cell r="K713">
            <v>0.16</v>
          </cell>
          <cell r="Q713">
            <v>0</v>
          </cell>
          <cell r="R713">
            <v>3</v>
          </cell>
          <cell r="S713">
            <v>3</v>
          </cell>
        </row>
        <row r="714">
          <cell r="K714">
            <v>0.14000000000000001</v>
          </cell>
          <cell r="Q714">
            <v>0</v>
          </cell>
          <cell r="R714">
            <v>30</v>
          </cell>
          <cell r="S714">
            <v>30</v>
          </cell>
        </row>
        <row r="715">
          <cell r="K715">
            <v>0.14000000000000001</v>
          </cell>
          <cell r="Q715">
            <v>1</v>
          </cell>
          <cell r="R715">
            <v>63</v>
          </cell>
          <cell r="S715">
            <v>64</v>
          </cell>
        </row>
        <row r="716">
          <cell r="K716">
            <v>0.14000000000000001</v>
          </cell>
          <cell r="Q716">
            <v>1</v>
          </cell>
          <cell r="R716">
            <v>153</v>
          </cell>
          <cell r="S716">
            <v>154</v>
          </cell>
        </row>
        <row r="717">
          <cell r="K717">
            <v>0.16</v>
          </cell>
          <cell r="Q717">
            <v>7</v>
          </cell>
          <cell r="R717">
            <v>81</v>
          </cell>
          <cell r="S717">
            <v>88</v>
          </cell>
        </row>
        <row r="718">
          <cell r="K718">
            <v>0.18</v>
          </cell>
          <cell r="Q718">
            <v>11</v>
          </cell>
          <cell r="R718">
            <v>33</v>
          </cell>
          <cell r="S718">
            <v>44</v>
          </cell>
        </row>
        <row r="719">
          <cell r="K719">
            <v>0.2</v>
          </cell>
          <cell r="Q719">
            <v>10</v>
          </cell>
          <cell r="R719">
            <v>41</v>
          </cell>
          <cell r="S719">
            <v>51</v>
          </cell>
        </row>
        <row r="720">
          <cell r="K720">
            <v>0.22</v>
          </cell>
          <cell r="Q720">
            <v>13</v>
          </cell>
          <cell r="R720">
            <v>48</v>
          </cell>
          <cell r="S720">
            <v>61</v>
          </cell>
        </row>
        <row r="721">
          <cell r="K721">
            <v>0.26</v>
          </cell>
          <cell r="Q721">
            <v>11</v>
          </cell>
          <cell r="R721">
            <v>66</v>
          </cell>
          <cell r="S721">
            <v>77</v>
          </cell>
        </row>
        <row r="722">
          <cell r="K722">
            <v>0.26</v>
          </cell>
          <cell r="Q722">
            <v>14</v>
          </cell>
          <cell r="R722">
            <v>58</v>
          </cell>
          <cell r="S722">
            <v>72</v>
          </cell>
        </row>
        <row r="723">
          <cell r="K723">
            <v>0.26</v>
          </cell>
          <cell r="Q723">
            <v>9</v>
          </cell>
          <cell r="R723">
            <v>67</v>
          </cell>
          <cell r="S723">
            <v>76</v>
          </cell>
        </row>
        <row r="724">
          <cell r="K724">
            <v>0.24</v>
          </cell>
          <cell r="Q724">
            <v>11</v>
          </cell>
          <cell r="R724">
            <v>146</v>
          </cell>
          <cell r="S724">
            <v>157</v>
          </cell>
        </row>
        <row r="725">
          <cell r="K725">
            <v>0.24</v>
          </cell>
          <cell r="Q725">
            <v>9</v>
          </cell>
          <cell r="R725">
            <v>148</v>
          </cell>
          <cell r="S725">
            <v>157</v>
          </cell>
        </row>
        <row r="726">
          <cell r="K726">
            <v>0.2</v>
          </cell>
          <cell r="Q726">
            <v>8</v>
          </cell>
          <cell r="R726">
            <v>102</v>
          </cell>
          <cell r="S726">
            <v>110</v>
          </cell>
        </row>
        <row r="727">
          <cell r="K727">
            <v>0.18</v>
          </cell>
          <cell r="Q727">
            <v>3</v>
          </cell>
          <cell r="R727">
            <v>49</v>
          </cell>
          <cell r="S727">
            <v>52</v>
          </cell>
        </row>
        <row r="728">
          <cell r="K728">
            <v>0.14000000000000001</v>
          </cell>
          <cell r="Q728">
            <v>0</v>
          </cell>
          <cell r="R728">
            <v>20</v>
          </cell>
          <cell r="S728">
            <v>20</v>
          </cell>
        </row>
        <row r="729">
          <cell r="K729">
            <v>0.18</v>
          </cell>
          <cell r="Q729">
            <v>1</v>
          </cell>
          <cell r="R729">
            <v>11</v>
          </cell>
          <cell r="S729">
            <v>12</v>
          </cell>
        </row>
        <row r="730">
          <cell r="K730">
            <v>0.16</v>
          </cell>
          <cell r="Q730">
            <v>0</v>
          </cell>
          <cell r="R730">
            <v>2</v>
          </cell>
          <cell r="S730">
            <v>2</v>
          </cell>
        </row>
        <row r="731">
          <cell r="K731">
            <v>0.14000000000000001</v>
          </cell>
          <cell r="Q731">
            <v>0</v>
          </cell>
          <cell r="R731">
            <v>1</v>
          </cell>
          <cell r="S731">
            <v>1</v>
          </cell>
        </row>
        <row r="732">
          <cell r="K732">
            <v>0.14000000000000001</v>
          </cell>
          <cell r="Q732">
            <v>0</v>
          </cell>
          <cell r="R732">
            <v>2</v>
          </cell>
          <cell r="S732">
            <v>2</v>
          </cell>
        </row>
        <row r="733">
          <cell r="K733">
            <v>0.12</v>
          </cell>
          <cell r="Q733">
            <v>0</v>
          </cell>
          <cell r="R733">
            <v>4</v>
          </cell>
          <cell r="S733">
            <v>4</v>
          </cell>
        </row>
        <row r="734">
          <cell r="K734">
            <v>0.12</v>
          </cell>
          <cell r="Q734">
            <v>0</v>
          </cell>
          <cell r="R734">
            <v>36</v>
          </cell>
          <cell r="S734">
            <v>36</v>
          </cell>
        </row>
        <row r="735">
          <cell r="K735">
            <v>0.12</v>
          </cell>
          <cell r="Q735">
            <v>2</v>
          </cell>
          <cell r="R735">
            <v>92</v>
          </cell>
          <cell r="S735">
            <v>94</v>
          </cell>
        </row>
        <row r="736">
          <cell r="K736">
            <v>0.14000000000000001</v>
          </cell>
          <cell r="Q736">
            <v>2</v>
          </cell>
          <cell r="R736">
            <v>177</v>
          </cell>
          <cell r="S736">
            <v>179</v>
          </cell>
        </row>
        <row r="737">
          <cell r="K737">
            <v>0.16</v>
          </cell>
          <cell r="Q737">
            <v>2</v>
          </cell>
          <cell r="R737">
            <v>98</v>
          </cell>
          <cell r="S737">
            <v>100</v>
          </cell>
        </row>
        <row r="738">
          <cell r="K738">
            <v>0.16</v>
          </cell>
          <cell r="Q738">
            <v>5</v>
          </cell>
          <cell r="R738">
            <v>37</v>
          </cell>
          <cell r="S738">
            <v>42</v>
          </cell>
        </row>
        <row r="739">
          <cell r="K739">
            <v>0.22</v>
          </cell>
          <cell r="Q739">
            <v>7</v>
          </cell>
          <cell r="R739">
            <v>50</v>
          </cell>
          <cell r="S739">
            <v>57</v>
          </cell>
        </row>
        <row r="740">
          <cell r="K740">
            <v>0.22</v>
          </cell>
          <cell r="Q740">
            <v>12</v>
          </cell>
          <cell r="R740">
            <v>66</v>
          </cell>
          <cell r="S740">
            <v>78</v>
          </cell>
        </row>
        <row r="741">
          <cell r="K741">
            <v>0.24</v>
          </cell>
          <cell r="Q741">
            <v>18</v>
          </cell>
          <cell r="R741">
            <v>79</v>
          </cell>
          <cell r="S741">
            <v>97</v>
          </cell>
        </row>
        <row r="742">
          <cell r="K742">
            <v>0.26</v>
          </cell>
          <cell r="Q742">
            <v>9</v>
          </cell>
          <cell r="R742">
            <v>54</v>
          </cell>
          <cell r="S742">
            <v>63</v>
          </cell>
        </row>
        <row r="743">
          <cell r="K743">
            <v>0.28000000000000003</v>
          </cell>
          <cell r="Q743">
            <v>17</v>
          </cell>
          <cell r="R743">
            <v>48</v>
          </cell>
          <cell r="S743">
            <v>65</v>
          </cell>
        </row>
        <row r="744">
          <cell r="K744">
            <v>0.3</v>
          </cell>
          <cell r="Q744">
            <v>15</v>
          </cell>
          <cell r="R744">
            <v>68</v>
          </cell>
          <cell r="S744">
            <v>83</v>
          </cell>
        </row>
        <row r="745">
          <cell r="K745">
            <v>0.28000000000000003</v>
          </cell>
          <cell r="Q745">
            <v>10</v>
          </cell>
          <cell r="R745">
            <v>202</v>
          </cell>
          <cell r="S745">
            <v>212</v>
          </cell>
        </row>
        <row r="746">
          <cell r="K746">
            <v>0.26</v>
          </cell>
          <cell r="Q746">
            <v>3</v>
          </cell>
          <cell r="R746">
            <v>179</v>
          </cell>
          <cell r="S746">
            <v>182</v>
          </cell>
        </row>
        <row r="747">
          <cell r="K747">
            <v>0.24</v>
          </cell>
          <cell r="Q747">
            <v>2</v>
          </cell>
          <cell r="R747">
            <v>110</v>
          </cell>
          <cell r="S747">
            <v>112</v>
          </cell>
        </row>
        <row r="748">
          <cell r="K748">
            <v>0.24</v>
          </cell>
          <cell r="Q748">
            <v>1</v>
          </cell>
          <cell r="R748">
            <v>53</v>
          </cell>
          <cell r="S748">
            <v>54</v>
          </cell>
        </row>
        <row r="749">
          <cell r="K749">
            <v>0.22</v>
          </cell>
          <cell r="Q749">
            <v>0</v>
          </cell>
          <cell r="R749">
            <v>48</v>
          </cell>
          <cell r="S749">
            <v>48</v>
          </cell>
        </row>
        <row r="750">
          <cell r="K750">
            <v>0.22</v>
          </cell>
          <cell r="Q750">
            <v>1</v>
          </cell>
          <cell r="R750">
            <v>34</v>
          </cell>
          <cell r="S750">
            <v>35</v>
          </cell>
        </row>
        <row r="751">
          <cell r="K751">
            <v>0.2</v>
          </cell>
          <cell r="Q751">
            <v>2</v>
          </cell>
          <cell r="R751">
            <v>9</v>
          </cell>
          <cell r="S751">
            <v>11</v>
          </cell>
        </row>
        <row r="752">
          <cell r="K752">
            <v>0.2</v>
          </cell>
          <cell r="Q752">
            <v>0</v>
          </cell>
          <cell r="R752">
            <v>6</v>
          </cell>
          <cell r="S752">
            <v>6</v>
          </cell>
        </row>
        <row r="753">
          <cell r="K753">
            <v>0.16</v>
          </cell>
          <cell r="Q753">
            <v>0</v>
          </cell>
          <cell r="R753">
            <v>6</v>
          </cell>
          <cell r="S753">
            <v>6</v>
          </cell>
        </row>
        <row r="754">
          <cell r="K754">
            <v>0.16</v>
          </cell>
          <cell r="Q754">
            <v>0</v>
          </cell>
          <cell r="R754">
            <v>2</v>
          </cell>
          <cell r="S754">
            <v>2</v>
          </cell>
        </row>
        <row r="755">
          <cell r="K755">
            <v>0.24</v>
          </cell>
          <cell r="Q755">
            <v>0</v>
          </cell>
          <cell r="R755">
            <v>2</v>
          </cell>
          <cell r="S755">
            <v>2</v>
          </cell>
        </row>
        <row r="756">
          <cell r="K756">
            <v>0.22</v>
          </cell>
          <cell r="Q756">
            <v>0</v>
          </cell>
          <cell r="R756">
            <v>3</v>
          </cell>
          <cell r="S756">
            <v>3</v>
          </cell>
        </row>
        <row r="757">
          <cell r="K757">
            <v>0.2</v>
          </cell>
          <cell r="Q757">
            <v>0</v>
          </cell>
          <cell r="R757">
            <v>33</v>
          </cell>
          <cell r="S757">
            <v>33</v>
          </cell>
        </row>
        <row r="758">
          <cell r="K758">
            <v>0.18</v>
          </cell>
          <cell r="Q758">
            <v>1</v>
          </cell>
          <cell r="R758">
            <v>87</v>
          </cell>
          <cell r="S758">
            <v>88</v>
          </cell>
        </row>
        <row r="759">
          <cell r="K759">
            <v>0.2</v>
          </cell>
          <cell r="Q759">
            <v>3</v>
          </cell>
          <cell r="R759">
            <v>192</v>
          </cell>
          <cell r="S759">
            <v>195</v>
          </cell>
        </row>
        <row r="760">
          <cell r="K760">
            <v>0.22</v>
          </cell>
          <cell r="Q760">
            <v>6</v>
          </cell>
          <cell r="R760">
            <v>109</v>
          </cell>
          <cell r="S760">
            <v>115</v>
          </cell>
        </row>
        <row r="761">
          <cell r="K761">
            <v>0.22</v>
          </cell>
          <cell r="Q761">
            <v>4</v>
          </cell>
          <cell r="R761">
            <v>53</v>
          </cell>
          <cell r="S761">
            <v>57</v>
          </cell>
        </row>
        <row r="762">
          <cell r="K762">
            <v>0.26</v>
          </cell>
          <cell r="Q762">
            <v>12</v>
          </cell>
          <cell r="R762">
            <v>34</v>
          </cell>
          <cell r="S762">
            <v>46</v>
          </cell>
        </row>
        <row r="763">
          <cell r="K763">
            <v>0.26</v>
          </cell>
          <cell r="Q763">
            <v>5</v>
          </cell>
          <cell r="R763">
            <v>74</v>
          </cell>
          <cell r="S763">
            <v>79</v>
          </cell>
        </row>
        <row r="764">
          <cell r="K764">
            <v>0.28000000000000003</v>
          </cell>
          <cell r="Q764">
            <v>6</v>
          </cell>
          <cell r="R764">
            <v>65</v>
          </cell>
          <cell r="S764">
            <v>71</v>
          </cell>
        </row>
        <row r="765">
          <cell r="K765">
            <v>0.3</v>
          </cell>
          <cell r="Q765">
            <v>10</v>
          </cell>
          <cell r="R765">
            <v>52</v>
          </cell>
          <cell r="S765">
            <v>62</v>
          </cell>
        </row>
        <row r="766">
          <cell r="K766">
            <v>0.3</v>
          </cell>
          <cell r="Q766">
            <v>7</v>
          </cell>
          <cell r="R766">
            <v>55</v>
          </cell>
          <cell r="S766">
            <v>62</v>
          </cell>
        </row>
        <row r="767">
          <cell r="K767">
            <v>0.3</v>
          </cell>
          <cell r="Q767">
            <v>4</v>
          </cell>
          <cell r="R767">
            <v>85</v>
          </cell>
          <cell r="S767">
            <v>89</v>
          </cell>
        </row>
        <row r="768">
          <cell r="K768">
            <v>0.24</v>
          </cell>
          <cell r="Q768">
            <v>4</v>
          </cell>
          <cell r="R768">
            <v>186</v>
          </cell>
          <cell r="S768">
            <v>190</v>
          </cell>
        </row>
        <row r="769">
          <cell r="K769">
            <v>0.24</v>
          </cell>
          <cell r="Q769">
            <v>3</v>
          </cell>
          <cell r="R769">
            <v>166</v>
          </cell>
          <cell r="S769">
            <v>169</v>
          </cell>
        </row>
        <row r="770">
          <cell r="K770">
            <v>0.24</v>
          </cell>
          <cell r="Q770">
            <v>5</v>
          </cell>
          <cell r="R770">
            <v>127</v>
          </cell>
          <cell r="S770">
            <v>132</v>
          </cell>
        </row>
        <row r="771">
          <cell r="K771">
            <v>0.22</v>
          </cell>
          <cell r="Q771">
            <v>7</v>
          </cell>
          <cell r="R771">
            <v>82</v>
          </cell>
          <cell r="S771">
            <v>89</v>
          </cell>
        </row>
        <row r="772">
          <cell r="K772">
            <v>0.2</v>
          </cell>
          <cell r="Q772">
            <v>3</v>
          </cell>
          <cell r="R772">
            <v>40</v>
          </cell>
          <cell r="S772">
            <v>43</v>
          </cell>
        </row>
        <row r="773">
          <cell r="K773">
            <v>0.18</v>
          </cell>
          <cell r="Q773">
            <v>1</v>
          </cell>
          <cell r="R773">
            <v>41</v>
          </cell>
          <cell r="S773">
            <v>42</v>
          </cell>
        </row>
        <row r="774">
          <cell r="K774">
            <v>0.2</v>
          </cell>
          <cell r="Q774">
            <v>1</v>
          </cell>
          <cell r="R774">
            <v>18</v>
          </cell>
          <cell r="S774">
            <v>19</v>
          </cell>
        </row>
        <row r="775">
          <cell r="K775">
            <v>0.18</v>
          </cell>
          <cell r="Q775">
            <v>0</v>
          </cell>
          <cell r="R775">
            <v>11</v>
          </cell>
          <cell r="S775">
            <v>11</v>
          </cell>
        </row>
        <row r="776">
          <cell r="K776">
            <v>0.16</v>
          </cell>
          <cell r="Q776">
            <v>0</v>
          </cell>
          <cell r="R776">
            <v>4</v>
          </cell>
          <cell r="S776">
            <v>4</v>
          </cell>
        </row>
        <row r="777">
          <cell r="K777">
            <v>0.16</v>
          </cell>
          <cell r="Q777">
            <v>0</v>
          </cell>
          <cell r="R777">
            <v>2</v>
          </cell>
          <cell r="S777">
            <v>2</v>
          </cell>
        </row>
        <row r="778">
          <cell r="K778">
            <v>0.16</v>
          </cell>
          <cell r="Q778">
            <v>0</v>
          </cell>
          <cell r="R778">
            <v>1</v>
          </cell>
          <cell r="S778">
            <v>1</v>
          </cell>
        </row>
        <row r="779">
          <cell r="K779">
            <v>0.14000000000000001</v>
          </cell>
          <cell r="Q779">
            <v>0</v>
          </cell>
          <cell r="R779">
            <v>4</v>
          </cell>
          <cell r="S779">
            <v>4</v>
          </cell>
        </row>
        <row r="780">
          <cell r="K780">
            <v>0.14000000000000001</v>
          </cell>
          <cell r="Q780">
            <v>0</v>
          </cell>
          <cell r="R780">
            <v>36</v>
          </cell>
          <cell r="S780">
            <v>36</v>
          </cell>
        </row>
        <row r="781">
          <cell r="K781">
            <v>0.16</v>
          </cell>
          <cell r="Q781">
            <v>0</v>
          </cell>
          <cell r="R781">
            <v>95</v>
          </cell>
          <cell r="S781">
            <v>95</v>
          </cell>
        </row>
        <row r="782">
          <cell r="K782">
            <v>0.16</v>
          </cell>
          <cell r="Q782">
            <v>3</v>
          </cell>
          <cell r="R782">
            <v>216</v>
          </cell>
          <cell r="S782">
            <v>219</v>
          </cell>
        </row>
        <row r="783">
          <cell r="K783">
            <v>0.18</v>
          </cell>
          <cell r="Q783">
            <v>6</v>
          </cell>
          <cell r="R783">
            <v>116</v>
          </cell>
          <cell r="S783">
            <v>122</v>
          </cell>
        </row>
        <row r="784">
          <cell r="K784">
            <v>0.2</v>
          </cell>
          <cell r="Q784">
            <v>3</v>
          </cell>
          <cell r="R784">
            <v>42</v>
          </cell>
          <cell r="S784">
            <v>45</v>
          </cell>
        </row>
        <row r="785">
          <cell r="K785">
            <v>0.22</v>
          </cell>
          <cell r="Q785">
            <v>2</v>
          </cell>
          <cell r="R785">
            <v>57</v>
          </cell>
          <cell r="S785">
            <v>59</v>
          </cell>
        </row>
        <row r="786">
          <cell r="K786">
            <v>0.26</v>
          </cell>
          <cell r="Q786">
            <v>6</v>
          </cell>
          <cell r="R786">
            <v>78</v>
          </cell>
          <cell r="S786">
            <v>84</v>
          </cell>
        </row>
        <row r="787">
          <cell r="K787">
            <v>0.26</v>
          </cell>
          <cell r="Q787">
            <v>12</v>
          </cell>
          <cell r="R787">
            <v>55</v>
          </cell>
          <cell r="S787">
            <v>67</v>
          </cell>
        </row>
        <row r="788">
          <cell r="K788">
            <v>0.28000000000000003</v>
          </cell>
          <cell r="Q788">
            <v>11</v>
          </cell>
          <cell r="R788">
            <v>59</v>
          </cell>
          <cell r="S788">
            <v>70</v>
          </cell>
        </row>
        <row r="789">
          <cell r="K789">
            <v>0.28000000000000003</v>
          </cell>
          <cell r="Q789">
            <v>8</v>
          </cell>
          <cell r="R789">
            <v>54</v>
          </cell>
          <cell r="S789">
            <v>62</v>
          </cell>
        </row>
        <row r="790">
          <cell r="K790">
            <v>0.26</v>
          </cell>
          <cell r="Q790">
            <v>12</v>
          </cell>
          <cell r="R790">
            <v>74</v>
          </cell>
          <cell r="S790">
            <v>86</v>
          </cell>
        </row>
        <row r="791">
          <cell r="K791">
            <v>0.22</v>
          </cell>
          <cell r="Q791">
            <v>9</v>
          </cell>
          <cell r="R791">
            <v>163</v>
          </cell>
          <cell r="S791">
            <v>172</v>
          </cell>
        </row>
        <row r="792">
          <cell r="K792">
            <v>0.22</v>
          </cell>
          <cell r="Q792">
            <v>5</v>
          </cell>
          <cell r="R792">
            <v>158</v>
          </cell>
          <cell r="S792">
            <v>163</v>
          </cell>
        </row>
        <row r="793">
          <cell r="K793">
            <v>0.22</v>
          </cell>
          <cell r="Q793">
            <v>3</v>
          </cell>
          <cell r="R793">
            <v>109</v>
          </cell>
          <cell r="S793">
            <v>112</v>
          </cell>
        </row>
        <row r="794">
          <cell r="K794">
            <v>0.2</v>
          </cell>
          <cell r="Q794">
            <v>3</v>
          </cell>
          <cell r="R794">
            <v>66</v>
          </cell>
          <cell r="S794">
            <v>69</v>
          </cell>
        </row>
        <row r="795">
          <cell r="K795">
            <v>0.22</v>
          </cell>
          <cell r="Q795">
            <v>0</v>
          </cell>
          <cell r="R795">
            <v>48</v>
          </cell>
          <cell r="S795">
            <v>48</v>
          </cell>
        </row>
        <row r="796">
          <cell r="K796">
            <v>0.22</v>
          </cell>
          <cell r="Q796">
            <v>1</v>
          </cell>
          <cell r="R796">
            <v>51</v>
          </cell>
          <cell r="S796">
            <v>52</v>
          </cell>
        </row>
        <row r="797">
          <cell r="K797">
            <v>0.2</v>
          </cell>
          <cell r="Q797">
            <v>4</v>
          </cell>
          <cell r="R797">
            <v>19</v>
          </cell>
          <cell r="S797">
            <v>23</v>
          </cell>
        </row>
        <row r="798">
          <cell r="K798">
            <v>0.2</v>
          </cell>
          <cell r="Q798">
            <v>4</v>
          </cell>
          <cell r="R798">
            <v>13</v>
          </cell>
          <cell r="S798">
            <v>17</v>
          </cell>
        </row>
        <row r="799">
          <cell r="K799">
            <v>0.2</v>
          </cell>
          <cell r="Q799">
            <v>2</v>
          </cell>
          <cell r="R799">
            <v>5</v>
          </cell>
          <cell r="S799">
            <v>7</v>
          </cell>
        </row>
        <row r="800">
          <cell r="K800">
            <v>0.2</v>
          </cell>
          <cell r="Q800">
            <v>0</v>
          </cell>
          <cell r="R800">
            <v>1</v>
          </cell>
          <cell r="S800">
            <v>1</v>
          </cell>
        </row>
        <row r="801">
          <cell r="K801">
            <v>0.2</v>
          </cell>
          <cell r="Q801">
            <v>0</v>
          </cell>
          <cell r="R801">
            <v>1</v>
          </cell>
          <cell r="S801">
            <v>1</v>
          </cell>
        </row>
        <row r="802">
          <cell r="K802">
            <v>0.22</v>
          </cell>
          <cell r="Q802">
            <v>0</v>
          </cell>
          <cell r="R802">
            <v>5</v>
          </cell>
          <cell r="S802">
            <v>5</v>
          </cell>
        </row>
        <row r="803">
          <cell r="K803">
            <v>0.2</v>
          </cell>
          <cell r="Q803">
            <v>8</v>
          </cell>
          <cell r="R803">
            <v>26</v>
          </cell>
          <cell r="S803">
            <v>34</v>
          </cell>
        </row>
        <row r="804">
          <cell r="K804">
            <v>0.2</v>
          </cell>
          <cell r="Q804">
            <v>8</v>
          </cell>
          <cell r="R804">
            <v>76</v>
          </cell>
          <cell r="S804">
            <v>84</v>
          </cell>
        </row>
        <row r="805">
          <cell r="K805">
            <v>0.2</v>
          </cell>
          <cell r="Q805">
            <v>20</v>
          </cell>
          <cell r="R805">
            <v>190</v>
          </cell>
          <cell r="S805">
            <v>210</v>
          </cell>
        </row>
        <row r="806">
          <cell r="K806">
            <v>0.2</v>
          </cell>
          <cell r="Q806">
            <v>9</v>
          </cell>
          <cell r="R806">
            <v>125</v>
          </cell>
          <cell r="S806">
            <v>134</v>
          </cell>
        </row>
        <row r="807">
          <cell r="K807">
            <v>0.22</v>
          </cell>
          <cell r="Q807">
            <v>16</v>
          </cell>
          <cell r="R807">
            <v>47</v>
          </cell>
          <cell r="S807">
            <v>63</v>
          </cell>
        </row>
        <row r="808">
          <cell r="K808">
            <v>0.2</v>
          </cell>
          <cell r="Q808">
            <v>19</v>
          </cell>
          <cell r="R808">
            <v>48</v>
          </cell>
          <cell r="S808">
            <v>67</v>
          </cell>
        </row>
        <row r="809">
          <cell r="K809">
            <v>0.2</v>
          </cell>
          <cell r="Q809">
            <v>9</v>
          </cell>
          <cell r="R809">
            <v>50</v>
          </cell>
          <cell r="S809">
            <v>59</v>
          </cell>
        </row>
        <row r="810">
          <cell r="K810">
            <v>0.2</v>
          </cell>
          <cell r="Q810">
            <v>9</v>
          </cell>
          <cell r="R810">
            <v>64</v>
          </cell>
          <cell r="S810">
            <v>73</v>
          </cell>
        </row>
        <row r="811">
          <cell r="K811">
            <v>0.2</v>
          </cell>
          <cell r="Q811">
            <v>7</v>
          </cell>
          <cell r="R811">
            <v>43</v>
          </cell>
          <cell r="S811">
            <v>50</v>
          </cell>
        </row>
        <row r="812">
          <cell r="K812">
            <v>0.2</v>
          </cell>
          <cell r="Q812">
            <v>9</v>
          </cell>
          <cell r="R812">
            <v>63</v>
          </cell>
          <cell r="S812">
            <v>72</v>
          </cell>
        </row>
        <row r="813">
          <cell r="K813">
            <v>0.2</v>
          </cell>
          <cell r="Q813">
            <v>5</v>
          </cell>
          <cell r="R813">
            <v>82</v>
          </cell>
          <cell r="S813">
            <v>87</v>
          </cell>
        </row>
        <row r="814">
          <cell r="K814">
            <v>0.2</v>
          </cell>
          <cell r="Q814">
            <v>9</v>
          </cell>
          <cell r="R814">
            <v>178</v>
          </cell>
          <cell r="S814">
            <v>187</v>
          </cell>
        </row>
        <row r="815">
          <cell r="K815">
            <v>0.2</v>
          </cell>
          <cell r="Q815">
            <v>7</v>
          </cell>
          <cell r="R815">
            <v>116</v>
          </cell>
          <cell r="S815">
            <v>123</v>
          </cell>
        </row>
        <row r="816">
          <cell r="K816">
            <v>0.16</v>
          </cell>
          <cell r="Q816">
            <v>3</v>
          </cell>
          <cell r="R816">
            <v>92</v>
          </cell>
          <cell r="S816">
            <v>95</v>
          </cell>
        </row>
        <row r="817">
          <cell r="K817">
            <v>0.18</v>
          </cell>
          <cell r="Q817">
            <v>1</v>
          </cell>
          <cell r="R817">
            <v>50</v>
          </cell>
          <cell r="S817">
            <v>51</v>
          </cell>
        </row>
        <row r="818">
          <cell r="K818">
            <v>0.18</v>
          </cell>
          <cell r="Q818">
            <v>0</v>
          </cell>
          <cell r="R818">
            <v>39</v>
          </cell>
          <cell r="S818">
            <v>39</v>
          </cell>
        </row>
        <row r="819">
          <cell r="K819">
            <v>0.18</v>
          </cell>
          <cell r="Q819">
            <v>2</v>
          </cell>
          <cell r="R819">
            <v>34</v>
          </cell>
          <cell r="S819">
            <v>36</v>
          </cell>
        </row>
        <row r="820">
          <cell r="K820">
            <v>0.18</v>
          </cell>
          <cell r="Q820">
            <v>1</v>
          </cell>
          <cell r="R820">
            <v>14</v>
          </cell>
          <cell r="S820">
            <v>15</v>
          </cell>
        </row>
        <row r="821">
          <cell r="K821">
            <v>0.18</v>
          </cell>
          <cell r="Q821">
            <v>1</v>
          </cell>
          <cell r="R821">
            <v>24</v>
          </cell>
          <cell r="S821">
            <v>25</v>
          </cell>
        </row>
        <row r="822">
          <cell r="K822">
            <v>0.18</v>
          </cell>
          <cell r="Q822">
            <v>1</v>
          </cell>
          <cell r="R822">
            <v>15</v>
          </cell>
          <cell r="S822">
            <v>16</v>
          </cell>
        </row>
        <row r="823">
          <cell r="K823">
            <v>0.18</v>
          </cell>
          <cell r="Q823">
            <v>3</v>
          </cell>
          <cell r="R823">
            <v>13</v>
          </cell>
          <cell r="S823">
            <v>16</v>
          </cell>
        </row>
        <row r="824">
          <cell r="K824">
            <v>0.18</v>
          </cell>
          <cell r="Q824">
            <v>0</v>
          </cell>
          <cell r="R824">
            <v>7</v>
          </cell>
          <cell r="S824">
            <v>7</v>
          </cell>
        </row>
        <row r="825">
          <cell r="K825">
            <v>0.18</v>
          </cell>
          <cell r="Q825">
            <v>0</v>
          </cell>
          <cell r="R825">
            <v>1</v>
          </cell>
          <cell r="S825">
            <v>1</v>
          </cell>
        </row>
        <row r="826">
          <cell r="K826">
            <v>0.16</v>
          </cell>
          <cell r="Q826">
            <v>0</v>
          </cell>
          <cell r="R826">
            <v>5</v>
          </cell>
          <cell r="S826">
            <v>5</v>
          </cell>
        </row>
        <row r="827">
          <cell r="K827">
            <v>0.16</v>
          </cell>
          <cell r="Q827">
            <v>0</v>
          </cell>
          <cell r="R827">
            <v>2</v>
          </cell>
          <cell r="S827">
            <v>2</v>
          </cell>
        </row>
        <row r="828">
          <cell r="K828">
            <v>0.16</v>
          </cell>
          <cell r="Q828">
            <v>1</v>
          </cell>
          <cell r="R828">
            <v>8</v>
          </cell>
          <cell r="S828">
            <v>9</v>
          </cell>
        </row>
        <row r="829">
          <cell r="K829">
            <v>0.2</v>
          </cell>
          <cell r="Q829">
            <v>2</v>
          </cell>
          <cell r="R829">
            <v>60</v>
          </cell>
          <cell r="S829">
            <v>62</v>
          </cell>
        </row>
        <row r="830">
          <cell r="K830">
            <v>0.2</v>
          </cell>
          <cell r="Q830">
            <v>8</v>
          </cell>
          <cell r="R830">
            <v>90</v>
          </cell>
          <cell r="S830">
            <v>98</v>
          </cell>
        </row>
        <row r="831">
          <cell r="K831">
            <v>0.2</v>
          </cell>
          <cell r="Q831">
            <v>7</v>
          </cell>
          <cell r="R831">
            <v>95</v>
          </cell>
          <cell r="S831">
            <v>102</v>
          </cell>
        </row>
        <row r="832">
          <cell r="K832">
            <v>0.2</v>
          </cell>
          <cell r="Q832">
            <v>12</v>
          </cell>
          <cell r="R832">
            <v>83</v>
          </cell>
          <cell r="S832">
            <v>95</v>
          </cell>
        </row>
        <row r="833">
          <cell r="K833">
            <v>0.2</v>
          </cell>
          <cell r="Q833">
            <v>5</v>
          </cell>
          <cell r="R833">
            <v>69</v>
          </cell>
          <cell r="S833">
            <v>74</v>
          </cell>
        </row>
        <row r="834">
          <cell r="K834">
            <v>0.18</v>
          </cell>
          <cell r="Q834">
            <v>8</v>
          </cell>
          <cell r="R834">
            <v>68</v>
          </cell>
          <cell r="S834">
            <v>76</v>
          </cell>
        </row>
        <row r="835">
          <cell r="K835">
            <v>0.16</v>
          </cell>
          <cell r="Q835">
            <v>5</v>
          </cell>
          <cell r="R835">
            <v>64</v>
          </cell>
          <cell r="S835">
            <v>69</v>
          </cell>
        </row>
        <row r="836">
          <cell r="K836">
            <v>0.14000000000000001</v>
          </cell>
          <cell r="Q836">
            <v>3</v>
          </cell>
          <cell r="R836">
            <v>52</v>
          </cell>
          <cell r="S836">
            <v>55</v>
          </cell>
        </row>
        <row r="837">
          <cell r="K837">
            <v>0.14000000000000001</v>
          </cell>
          <cell r="Q837">
            <v>4</v>
          </cell>
          <cell r="R837">
            <v>26</v>
          </cell>
          <cell r="S837">
            <v>30</v>
          </cell>
        </row>
        <row r="838">
          <cell r="K838">
            <v>0.12</v>
          </cell>
          <cell r="Q838">
            <v>0</v>
          </cell>
          <cell r="R838">
            <v>28</v>
          </cell>
          <cell r="S838">
            <v>28</v>
          </cell>
        </row>
        <row r="839">
          <cell r="K839">
            <v>0.12</v>
          </cell>
          <cell r="Q839">
            <v>2</v>
          </cell>
          <cell r="R839">
            <v>35</v>
          </cell>
          <cell r="S839">
            <v>37</v>
          </cell>
        </row>
        <row r="840">
          <cell r="K840">
            <v>0.12</v>
          </cell>
          <cell r="Q840">
            <v>1</v>
          </cell>
          <cell r="R840">
            <v>33</v>
          </cell>
          <cell r="S840">
            <v>34</v>
          </cell>
        </row>
        <row r="841">
          <cell r="K841">
            <v>0.1</v>
          </cell>
          <cell r="Q841">
            <v>0</v>
          </cell>
          <cell r="R841">
            <v>22</v>
          </cell>
          <cell r="S841">
            <v>22</v>
          </cell>
        </row>
        <row r="842">
          <cell r="K842">
            <v>0.1</v>
          </cell>
          <cell r="Q842">
            <v>1</v>
          </cell>
          <cell r="R842">
            <v>24</v>
          </cell>
          <cell r="S842">
            <v>25</v>
          </cell>
        </row>
        <row r="843">
          <cell r="K843">
            <v>0.1</v>
          </cell>
          <cell r="Q843">
            <v>0</v>
          </cell>
          <cell r="R843">
            <v>12</v>
          </cell>
          <cell r="S843">
            <v>12</v>
          </cell>
        </row>
        <row r="844">
          <cell r="K844">
            <v>0.1</v>
          </cell>
          <cell r="Q844">
            <v>0</v>
          </cell>
          <cell r="R844">
            <v>11</v>
          </cell>
          <cell r="S844">
            <v>11</v>
          </cell>
        </row>
        <row r="845">
          <cell r="K845">
            <v>0.1</v>
          </cell>
          <cell r="Q845">
            <v>0</v>
          </cell>
          <cell r="R845">
            <v>4</v>
          </cell>
          <cell r="S845">
            <v>4</v>
          </cell>
        </row>
        <row r="846">
          <cell r="K846">
            <v>0.08</v>
          </cell>
          <cell r="Q846">
            <v>0</v>
          </cell>
          <cell r="R846">
            <v>1</v>
          </cell>
          <cell r="S846">
            <v>1</v>
          </cell>
        </row>
        <row r="847">
          <cell r="K847">
            <v>0.08</v>
          </cell>
          <cell r="Q847">
            <v>0</v>
          </cell>
          <cell r="R847">
            <v>1</v>
          </cell>
          <cell r="S847">
            <v>1</v>
          </cell>
        </row>
        <row r="848">
          <cell r="K848">
            <v>0.1</v>
          </cell>
          <cell r="Q848">
            <v>0</v>
          </cell>
          <cell r="R848">
            <v>1</v>
          </cell>
          <cell r="S848">
            <v>1</v>
          </cell>
        </row>
        <row r="849">
          <cell r="K849">
            <v>0.08</v>
          </cell>
          <cell r="Q849">
            <v>1</v>
          </cell>
          <cell r="R849">
            <v>5</v>
          </cell>
          <cell r="S849">
            <v>6</v>
          </cell>
        </row>
        <row r="850">
          <cell r="K850">
            <v>0.1</v>
          </cell>
          <cell r="Q850">
            <v>0</v>
          </cell>
          <cell r="R850">
            <v>10</v>
          </cell>
          <cell r="S850">
            <v>10</v>
          </cell>
        </row>
        <row r="851">
          <cell r="K851">
            <v>0.12</v>
          </cell>
          <cell r="Q851">
            <v>0</v>
          </cell>
          <cell r="R851">
            <v>19</v>
          </cell>
          <cell r="S851">
            <v>19</v>
          </cell>
        </row>
        <row r="852">
          <cell r="K852">
            <v>0.14000000000000001</v>
          </cell>
          <cell r="Q852">
            <v>0</v>
          </cell>
          <cell r="R852">
            <v>49</v>
          </cell>
          <cell r="S852">
            <v>49</v>
          </cell>
        </row>
        <row r="853">
          <cell r="K853">
            <v>0.16</v>
          </cell>
          <cell r="Q853">
            <v>2</v>
          </cell>
          <cell r="R853">
            <v>47</v>
          </cell>
          <cell r="S853">
            <v>49</v>
          </cell>
        </row>
        <row r="854">
          <cell r="K854">
            <v>0.18</v>
          </cell>
          <cell r="Q854">
            <v>4</v>
          </cell>
          <cell r="R854">
            <v>79</v>
          </cell>
          <cell r="S854">
            <v>83</v>
          </cell>
        </row>
        <row r="855">
          <cell r="K855">
            <v>0.2</v>
          </cell>
          <cell r="Q855">
            <v>6</v>
          </cell>
          <cell r="R855">
            <v>69</v>
          </cell>
          <cell r="S855">
            <v>75</v>
          </cell>
        </row>
        <row r="856">
          <cell r="K856">
            <v>0.22</v>
          </cell>
          <cell r="Q856">
            <v>8</v>
          </cell>
          <cell r="R856">
            <v>64</v>
          </cell>
          <cell r="S856">
            <v>72</v>
          </cell>
        </row>
        <row r="857">
          <cell r="K857">
            <v>0.22</v>
          </cell>
          <cell r="Q857">
            <v>5</v>
          </cell>
          <cell r="R857">
            <v>77</v>
          </cell>
          <cell r="S857">
            <v>82</v>
          </cell>
        </row>
        <row r="858">
          <cell r="K858">
            <v>0.2</v>
          </cell>
          <cell r="Q858">
            <v>13</v>
          </cell>
          <cell r="R858">
            <v>79</v>
          </cell>
          <cell r="S858">
            <v>92</v>
          </cell>
        </row>
        <row r="859">
          <cell r="K859">
            <v>0.18</v>
          </cell>
          <cell r="Q859">
            <v>3</v>
          </cell>
          <cell r="R859">
            <v>59</v>
          </cell>
          <cell r="S859">
            <v>62</v>
          </cell>
        </row>
        <row r="860">
          <cell r="K860">
            <v>0.16</v>
          </cell>
          <cell r="Q860">
            <v>4</v>
          </cell>
          <cell r="R860">
            <v>44</v>
          </cell>
          <cell r="S860">
            <v>48</v>
          </cell>
        </row>
        <row r="861">
          <cell r="K861">
            <v>0.16</v>
          </cell>
          <cell r="Q861">
            <v>1</v>
          </cell>
          <cell r="R861">
            <v>40</v>
          </cell>
          <cell r="S861">
            <v>41</v>
          </cell>
        </row>
        <row r="862">
          <cell r="K862">
            <v>0.14000000000000001</v>
          </cell>
          <cell r="Q862">
            <v>0</v>
          </cell>
          <cell r="R862">
            <v>38</v>
          </cell>
          <cell r="S862">
            <v>38</v>
          </cell>
        </row>
        <row r="863">
          <cell r="K863">
            <v>0.14000000000000001</v>
          </cell>
          <cell r="Q863">
            <v>1</v>
          </cell>
          <cell r="R863">
            <v>19</v>
          </cell>
          <cell r="S863">
            <v>20</v>
          </cell>
        </row>
        <row r="864">
          <cell r="K864">
            <v>0.14000000000000001</v>
          </cell>
          <cell r="Q864">
            <v>5</v>
          </cell>
          <cell r="R864">
            <v>10</v>
          </cell>
          <cell r="S864">
            <v>15</v>
          </cell>
        </row>
        <row r="865">
          <cell r="K865">
            <v>0.12</v>
          </cell>
          <cell r="Q865">
            <v>0</v>
          </cell>
          <cell r="R865">
            <v>6</v>
          </cell>
          <cell r="S865">
            <v>6</v>
          </cell>
        </row>
        <row r="866">
          <cell r="K866">
            <v>0.12</v>
          </cell>
          <cell r="Q866">
            <v>2</v>
          </cell>
          <cell r="R866">
            <v>3</v>
          </cell>
          <cell r="S866">
            <v>5</v>
          </cell>
        </row>
        <row r="867">
          <cell r="K867">
            <v>0.12</v>
          </cell>
          <cell r="Q867">
            <v>1</v>
          </cell>
          <cell r="R867">
            <v>0</v>
          </cell>
          <cell r="S867">
            <v>1</v>
          </cell>
        </row>
        <row r="868">
          <cell r="K868">
            <v>0.12</v>
          </cell>
          <cell r="Q868">
            <v>0</v>
          </cell>
          <cell r="R868">
            <v>3</v>
          </cell>
          <cell r="S868">
            <v>3</v>
          </cell>
        </row>
        <row r="869">
          <cell r="K869">
            <v>0.12</v>
          </cell>
          <cell r="Q869">
            <v>0</v>
          </cell>
          <cell r="R869">
            <v>1</v>
          </cell>
          <cell r="S869">
            <v>1</v>
          </cell>
        </row>
        <row r="870">
          <cell r="K870">
            <v>0.1</v>
          </cell>
          <cell r="Q870">
            <v>1</v>
          </cell>
          <cell r="R870">
            <v>2</v>
          </cell>
          <cell r="S870">
            <v>3</v>
          </cell>
        </row>
        <row r="871">
          <cell r="K871">
            <v>0.1</v>
          </cell>
          <cell r="Q871">
            <v>0</v>
          </cell>
          <cell r="R871">
            <v>3</v>
          </cell>
          <cell r="S871">
            <v>3</v>
          </cell>
        </row>
        <row r="872">
          <cell r="K872">
            <v>0.12</v>
          </cell>
          <cell r="Q872">
            <v>0</v>
          </cell>
          <cell r="R872">
            <v>31</v>
          </cell>
          <cell r="S872">
            <v>31</v>
          </cell>
        </row>
        <row r="873">
          <cell r="K873">
            <v>0.12</v>
          </cell>
          <cell r="Q873">
            <v>2</v>
          </cell>
          <cell r="R873">
            <v>75</v>
          </cell>
          <cell r="S873">
            <v>77</v>
          </cell>
        </row>
        <row r="874">
          <cell r="K874">
            <v>0.12</v>
          </cell>
          <cell r="Q874">
            <v>4</v>
          </cell>
          <cell r="R874">
            <v>184</v>
          </cell>
          <cell r="S874">
            <v>188</v>
          </cell>
        </row>
        <row r="875">
          <cell r="K875">
            <v>0.14000000000000001</v>
          </cell>
          <cell r="Q875">
            <v>2</v>
          </cell>
          <cell r="R875">
            <v>92</v>
          </cell>
          <cell r="S875">
            <v>94</v>
          </cell>
        </row>
        <row r="876">
          <cell r="K876">
            <v>0.14000000000000001</v>
          </cell>
          <cell r="Q876">
            <v>0</v>
          </cell>
          <cell r="R876">
            <v>31</v>
          </cell>
          <cell r="S876">
            <v>31</v>
          </cell>
        </row>
        <row r="877">
          <cell r="K877">
            <v>0.16</v>
          </cell>
          <cell r="Q877">
            <v>2</v>
          </cell>
          <cell r="R877">
            <v>28</v>
          </cell>
          <cell r="S877">
            <v>30</v>
          </cell>
        </row>
        <row r="878">
          <cell r="K878">
            <v>0.2</v>
          </cell>
          <cell r="Q878">
            <v>5</v>
          </cell>
          <cell r="R878">
            <v>47</v>
          </cell>
          <cell r="S878">
            <v>52</v>
          </cell>
        </row>
        <row r="879">
          <cell r="K879">
            <v>0.2</v>
          </cell>
          <cell r="Q879">
            <v>4</v>
          </cell>
          <cell r="R879">
            <v>50</v>
          </cell>
          <cell r="S879">
            <v>54</v>
          </cell>
        </row>
        <row r="880">
          <cell r="K880">
            <v>0.2</v>
          </cell>
          <cell r="Q880">
            <v>0</v>
          </cell>
          <cell r="R880">
            <v>47</v>
          </cell>
          <cell r="S880">
            <v>47</v>
          </cell>
        </row>
        <row r="881">
          <cell r="K881">
            <v>0.2</v>
          </cell>
          <cell r="Q881">
            <v>2</v>
          </cell>
          <cell r="R881">
            <v>43</v>
          </cell>
          <cell r="S881">
            <v>45</v>
          </cell>
        </row>
        <row r="882">
          <cell r="K882">
            <v>0.2</v>
          </cell>
          <cell r="Q882">
            <v>4</v>
          </cell>
          <cell r="R882">
            <v>70</v>
          </cell>
          <cell r="S882">
            <v>74</v>
          </cell>
        </row>
        <row r="883">
          <cell r="K883">
            <v>0.2</v>
          </cell>
          <cell r="Q883">
            <v>4</v>
          </cell>
          <cell r="R883">
            <v>174</v>
          </cell>
          <cell r="S883">
            <v>178</v>
          </cell>
        </row>
        <row r="884">
          <cell r="K884">
            <v>0.2</v>
          </cell>
          <cell r="Q884">
            <v>1</v>
          </cell>
          <cell r="R884">
            <v>154</v>
          </cell>
          <cell r="S884">
            <v>155</v>
          </cell>
        </row>
        <row r="885">
          <cell r="K885">
            <v>0.16</v>
          </cell>
          <cell r="Q885">
            <v>3</v>
          </cell>
          <cell r="R885">
            <v>92</v>
          </cell>
          <cell r="S885">
            <v>95</v>
          </cell>
        </row>
        <row r="886">
          <cell r="K886">
            <v>0.16</v>
          </cell>
          <cell r="Q886">
            <v>1</v>
          </cell>
          <cell r="R886">
            <v>73</v>
          </cell>
          <cell r="S886">
            <v>74</v>
          </cell>
        </row>
        <row r="887">
          <cell r="K887">
            <v>0.14000000000000001</v>
          </cell>
          <cell r="Q887">
            <v>1</v>
          </cell>
          <cell r="R887">
            <v>37</v>
          </cell>
          <cell r="S887">
            <v>38</v>
          </cell>
        </row>
        <row r="888">
          <cell r="K888">
            <v>0.14000000000000001</v>
          </cell>
          <cell r="Q888">
            <v>2</v>
          </cell>
          <cell r="R888">
            <v>22</v>
          </cell>
          <cell r="S888">
            <v>24</v>
          </cell>
        </row>
        <row r="889">
          <cell r="K889">
            <v>0.14000000000000001</v>
          </cell>
          <cell r="Q889">
            <v>0</v>
          </cell>
          <cell r="R889">
            <v>18</v>
          </cell>
          <cell r="S889">
            <v>18</v>
          </cell>
        </row>
        <row r="890">
          <cell r="K890">
            <v>0.14000000000000001</v>
          </cell>
          <cell r="Q890">
            <v>2</v>
          </cell>
          <cell r="R890">
            <v>10</v>
          </cell>
          <cell r="S890">
            <v>12</v>
          </cell>
        </row>
        <row r="891">
          <cell r="K891">
            <v>0.14000000000000001</v>
          </cell>
          <cell r="Q891">
            <v>0</v>
          </cell>
          <cell r="R891">
            <v>3</v>
          </cell>
          <cell r="S891">
            <v>3</v>
          </cell>
        </row>
        <row r="892">
          <cell r="K892">
            <v>0.16</v>
          </cell>
          <cell r="Q892">
            <v>0</v>
          </cell>
          <cell r="R892">
            <v>3</v>
          </cell>
          <cell r="S892">
            <v>3</v>
          </cell>
        </row>
        <row r="893">
          <cell r="K893">
            <v>0.16</v>
          </cell>
          <cell r="Q893">
            <v>0</v>
          </cell>
          <cell r="R893">
            <v>6</v>
          </cell>
          <cell r="S893">
            <v>6</v>
          </cell>
        </row>
        <row r="894">
          <cell r="K894">
            <v>0.16</v>
          </cell>
          <cell r="Q894">
            <v>0</v>
          </cell>
          <cell r="R894">
            <v>27</v>
          </cell>
          <cell r="S894">
            <v>27</v>
          </cell>
        </row>
        <row r="895">
          <cell r="K895">
            <v>0.16</v>
          </cell>
          <cell r="Q895">
            <v>2</v>
          </cell>
          <cell r="R895">
            <v>97</v>
          </cell>
          <cell r="S895">
            <v>99</v>
          </cell>
        </row>
        <row r="896">
          <cell r="K896">
            <v>0.18</v>
          </cell>
          <cell r="Q896">
            <v>3</v>
          </cell>
          <cell r="R896">
            <v>214</v>
          </cell>
          <cell r="S896">
            <v>217</v>
          </cell>
        </row>
        <row r="897">
          <cell r="K897">
            <v>0.18</v>
          </cell>
          <cell r="Q897">
            <v>3</v>
          </cell>
          <cell r="R897">
            <v>127</v>
          </cell>
          <cell r="S897">
            <v>130</v>
          </cell>
        </row>
        <row r="898">
          <cell r="K898">
            <v>0.2</v>
          </cell>
          <cell r="Q898">
            <v>3</v>
          </cell>
          <cell r="R898">
            <v>51</v>
          </cell>
          <cell r="S898">
            <v>54</v>
          </cell>
        </row>
        <row r="899">
          <cell r="K899">
            <v>0.2</v>
          </cell>
          <cell r="Q899">
            <v>4</v>
          </cell>
          <cell r="R899">
            <v>31</v>
          </cell>
          <cell r="S899">
            <v>35</v>
          </cell>
        </row>
        <row r="900">
          <cell r="K900">
            <v>0.2</v>
          </cell>
          <cell r="Q900">
            <v>2</v>
          </cell>
          <cell r="R900">
            <v>55</v>
          </cell>
          <cell r="S900">
            <v>57</v>
          </cell>
        </row>
        <row r="901">
          <cell r="K901">
            <v>0.2</v>
          </cell>
          <cell r="Q901">
            <v>6</v>
          </cell>
          <cell r="R901">
            <v>46</v>
          </cell>
          <cell r="S901">
            <v>52</v>
          </cell>
        </row>
        <row r="902">
          <cell r="K902">
            <v>0.2</v>
          </cell>
          <cell r="Q902">
            <v>3</v>
          </cell>
          <cell r="R902">
            <v>60</v>
          </cell>
          <cell r="S902">
            <v>63</v>
          </cell>
        </row>
        <row r="903">
          <cell r="K903">
            <v>0.14000000000000001</v>
          </cell>
          <cell r="Q903">
            <v>0</v>
          </cell>
          <cell r="R903">
            <v>54</v>
          </cell>
          <cell r="S903">
            <v>54</v>
          </cell>
        </row>
        <row r="904">
          <cell r="K904">
            <v>0.16</v>
          </cell>
          <cell r="Q904">
            <v>3</v>
          </cell>
          <cell r="R904">
            <v>125</v>
          </cell>
          <cell r="S904">
            <v>128</v>
          </cell>
        </row>
        <row r="905">
          <cell r="K905">
            <v>0.16</v>
          </cell>
          <cell r="Q905">
            <v>3</v>
          </cell>
          <cell r="R905">
            <v>78</v>
          </cell>
          <cell r="S905">
            <v>81</v>
          </cell>
        </row>
        <row r="906">
          <cell r="K906">
            <v>0.18</v>
          </cell>
          <cell r="Q906">
            <v>0</v>
          </cell>
          <cell r="R906">
            <v>39</v>
          </cell>
          <cell r="S906">
            <v>39</v>
          </cell>
        </row>
        <row r="907">
          <cell r="K907">
            <v>0.2</v>
          </cell>
          <cell r="Q907">
            <v>3</v>
          </cell>
          <cell r="R907">
            <v>32</v>
          </cell>
          <cell r="S907">
            <v>35</v>
          </cell>
        </row>
        <row r="908">
          <cell r="K908">
            <v>0.2</v>
          </cell>
          <cell r="Q908">
            <v>3</v>
          </cell>
          <cell r="R908">
            <v>52</v>
          </cell>
          <cell r="S908">
            <v>55</v>
          </cell>
        </row>
        <row r="909">
          <cell r="K909">
            <v>0.22</v>
          </cell>
          <cell r="Q909">
            <v>0</v>
          </cell>
          <cell r="R909">
            <v>49</v>
          </cell>
          <cell r="S909">
            <v>49</v>
          </cell>
        </row>
        <row r="910">
          <cell r="K910">
            <v>0.2</v>
          </cell>
          <cell r="Q910">
            <v>0</v>
          </cell>
          <cell r="R910">
            <v>44</v>
          </cell>
          <cell r="S910">
            <v>44</v>
          </cell>
        </row>
        <row r="911">
          <cell r="K911">
            <v>0.2</v>
          </cell>
          <cell r="Q911">
            <v>1</v>
          </cell>
          <cell r="R911">
            <v>48</v>
          </cell>
          <cell r="S911">
            <v>49</v>
          </cell>
        </row>
        <row r="912">
          <cell r="K912">
            <v>0.22</v>
          </cell>
          <cell r="Q912">
            <v>5</v>
          </cell>
          <cell r="R912">
            <v>63</v>
          </cell>
          <cell r="S912">
            <v>68</v>
          </cell>
        </row>
        <row r="913">
          <cell r="K913">
            <v>0.2</v>
          </cell>
          <cell r="Q913">
            <v>0</v>
          </cell>
          <cell r="R913">
            <v>139</v>
          </cell>
          <cell r="S913">
            <v>139</v>
          </cell>
        </row>
        <row r="914">
          <cell r="K914">
            <v>0.2</v>
          </cell>
          <cell r="Q914">
            <v>2</v>
          </cell>
          <cell r="R914">
            <v>135</v>
          </cell>
          <cell r="S914">
            <v>137</v>
          </cell>
        </row>
        <row r="915">
          <cell r="K915">
            <v>0.18</v>
          </cell>
          <cell r="Q915">
            <v>1</v>
          </cell>
          <cell r="R915">
            <v>82</v>
          </cell>
          <cell r="S915">
            <v>83</v>
          </cell>
        </row>
        <row r="916">
          <cell r="K916">
            <v>0.16</v>
          </cell>
          <cell r="Q916">
            <v>2</v>
          </cell>
          <cell r="R916">
            <v>54</v>
          </cell>
          <cell r="S916">
            <v>56</v>
          </cell>
        </row>
        <row r="917">
          <cell r="K917">
            <v>0.16</v>
          </cell>
          <cell r="Q917">
            <v>0</v>
          </cell>
          <cell r="R917">
            <v>57</v>
          </cell>
          <cell r="S917">
            <v>57</v>
          </cell>
        </row>
        <row r="918">
          <cell r="K918">
            <v>0.16</v>
          </cell>
          <cell r="Q918">
            <v>1</v>
          </cell>
          <cell r="R918">
            <v>32</v>
          </cell>
          <cell r="S918">
            <v>33</v>
          </cell>
        </row>
        <row r="919">
          <cell r="K919">
            <v>0.14000000000000001</v>
          </cell>
          <cell r="Q919">
            <v>1</v>
          </cell>
          <cell r="R919">
            <v>19</v>
          </cell>
          <cell r="S919">
            <v>20</v>
          </cell>
        </row>
        <row r="920">
          <cell r="K920">
            <v>0.14000000000000001</v>
          </cell>
          <cell r="Q920">
            <v>1</v>
          </cell>
          <cell r="R920">
            <v>6</v>
          </cell>
          <cell r="S920">
            <v>7</v>
          </cell>
        </row>
        <row r="921">
          <cell r="K921">
            <v>0.14000000000000001</v>
          </cell>
          <cell r="Q921">
            <v>0</v>
          </cell>
          <cell r="R921">
            <v>2</v>
          </cell>
          <cell r="S921">
            <v>2</v>
          </cell>
        </row>
        <row r="922">
          <cell r="K922">
            <v>0.14000000000000001</v>
          </cell>
          <cell r="Q922">
            <v>0</v>
          </cell>
          <cell r="R922">
            <v>2</v>
          </cell>
          <cell r="S922">
            <v>2</v>
          </cell>
        </row>
        <row r="923">
          <cell r="K923">
            <v>0.14000000000000001</v>
          </cell>
          <cell r="Q923">
            <v>0</v>
          </cell>
          <cell r="R923">
            <v>3</v>
          </cell>
          <cell r="S923">
            <v>3</v>
          </cell>
        </row>
        <row r="924">
          <cell r="K924">
            <v>0.14000000000000001</v>
          </cell>
          <cell r="Q924">
            <v>0</v>
          </cell>
          <cell r="R924">
            <v>4</v>
          </cell>
          <cell r="S924">
            <v>4</v>
          </cell>
        </row>
        <row r="925">
          <cell r="K925">
            <v>0.14000000000000001</v>
          </cell>
          <cell r="Q925">
            <v>0</v>
          </cell>
          <cell r="R925">
            <v>3</v>
          </cell>
          <cell r="S925">
            <v>3</v>
          </cell>
        </row>
        <row r="926">
          <cell r="K926">
            <v>0.12</v>
          </cell>
          <cell r="Q926">
            <v>0</v>
          </cell>
          <cell r="R926">
            <v>28</v>
          </cell>
          <cell r="S926">
            <v>28</v>
          </cell>
        </row>
        <row r="927">
          <cell r="K927">
            <v>0.12</v>
          </cell>
          <cell r="Q927">
            <v>0</v>
          </cell>
          <cell r="R927">
            <v>72</v>
          </cell>
          <cell r="S927">
            <v>72</v>
          </cell>
        </row>
        <row r="928">
          <cell r="K928">
            <v>0.14000000000000001</v>
          </cell>
          <cell r="Q928">
            <v>5</v>
          </cell>
          <cell r="R928">
            <v>197</v>
          </cell>
          <cell r="S928">
            <v>202</v>
          </cell>
        </row>
        <row r="929">
          <cell r="K929">
            <v>0.14000000000000001</v>
          </cell>
          <cell r="Q929">
            <v>2</v>
          </cell>
          <cell r="R929">
            <v>137</v>
          </cell>
          <cell r="S929">
            <v>139</v>
          </cell>
        </row>
        <row r="930">
          <cell r="K930">
            <v>0.16</v>
          </cell>
          <cell r="Q930">
            <v>2</v>
          </cell>
          <cell r="R930">
            <v>36</v>
          </cell>
          <cell r="S930">
            <v>38</v>
          </cell>
        </row>
        <row r="931">
          <cell r="K931">
            <v>0.2</v>
          </cell>
          <cell r="Q931">
            <v>4</v>
          </cell>
          <cell r="R931">
            <v>33</v>
          </cell>
          <cell r="S931">
            <v>37</v>
          </cell>
        </row>
        <row r="932">
          <cell r="K932">
            <v>0.2</v>
          </cell>
          <cell r="Q932">
            <v>3</v>
          </cell>
          <cell r="R932">
            <v>49</v>
          </cell>
          <cell r="S932">
            <v>52</v>
          </cell>
        </row>
        <row r="933">
          <cell r="K933">
            <v>0.22</v>
          </cell>
          <cell r="Q933">
            <v>2</v>
          </cell>
          <cell r="R933">
            <v>81</v>
          </cell>
          <cell r="S933">
            <v>83</v>
          </cell>
        </row>
        <row r="934">
          <cell r="K934">
            <v>0.22</v>
          </cell>
          <cell r="Q934">
            <v>3</v>
          </cell>
          <cell r="R934">
            <v>39</v>
          </cell>
          <cell r="S934">
            <v>42</v>
          </cell>
        </row>
        <row r="935">
          <cell r="K935">
            <v>0.24</v>
          </cell>
          <cell r="Q935">
            <v>5</v>
          </cell>
          <cell r="R935">
            <v>55</v>
          </cell>
          <cell r="S935">
            <v>60</v>
          </cell>
        </row>
        <row r="936">
          <cell r="K936">
            <v>0.24</v>
          </cell>
          <cell r="Q936">
            <v>2</v>
          </cell>
          <cell r="R936">
            <v>76</v>
          </cell>
          <cell r="S936">
            <v>78</v>
          </cell>
        </row>
        <row r="937">
          <cell r="K937">
            <v>0.2</v>
          </cell>
          <cell r="Q937">
            <v>4</v>
          </cell>
          <cell r="R937">
            <v>158</v>
          </cell>
          <cell r="S937">
            <v>162</v>
          </cell>
        </row>
        <row r="938">
          <cell r="K938">
            <v>0.2</v>
          </cell>
          <cell r="Q938">
            <v>3</v>
          </cell>
          <cell r="R938">
            <v>141</v>
          </cell>
          <cell r="S938">
            <v>144</v>
          </cell>
        </row>
        <row r="939">
          <cell r="K939">
            <v>0.16</v>
          </cell>
          <cell r="Q939">
            <v>1</v>
          </cell>
          <cell r="R939">
            <v>98</v>
          </cell>
          <cell r="S939">
            <v>99</v>
          </cell>
        </row>
        <row r="940">
          <cell r="K940">
            <v>0.16</v>
          </cell>
          <cell r="Q940">
            <v>0</v>
          </cell>
          <cell r="R940">
            <v>64</v>
          </cell>
          <cell r="S940">
            <v>64</v>
          </cell>
        </row>
        <row r="941">
          <cell r="K941">
            <v>0.14000000000000001</v>
          </cell>
          <cell r="Q941">
            <v>0</v>
          </cell>
          <cell r="R941">
            <v>40</v>
          </cell>
          <cell r="S941">
            <v>40</v>
          </cell>
        </row>
        <row r="942">
          <cell r="K942">
            <v>0.14000000000000001</v>
          </cell>
          <cell r="Q942">
            <v>0</v>
          </cell>
          <cell r="R942">
            <v>30</v>
          </cell>
          <cell r="S942">
            <v>30</v>
          </cell>
        </row>
        <row r="943">
          <cell r="K943">
            <v>0.12</v>
          </cell>
          <cell r="Q943">
            <v>1</v>
          </cell>
          <cell r="R943">
            <v>14</v>
          </cell>
          <cell r="S943">
            <v>15</v>
          </cell>
        </row>
        <row r="944">
          <cell r="K944">
            <v>0.12</v>
          </cell>
          <cell r="Q944">
            <v>0</v>
          </cell>
          <cell r="R944">
            <v>14</v>
          </cell>
          <cell r="S944">
            <v>14</v>
          </cell>
        </row>
        <row r="945">
          <cell r="K945">
            <v>0.1</v>
          </cell>
          <cell r="Q945">
            <v>0</v>
          </cell>
          <cell r="R945">
            <v>5</v>
          </cell>
          <cell r="S945">
            <v>5</v>
          </cell>
        </row>
        <row r="946">
          <cell r="K946">
            <v>0.1</v>
          </cell>
          <cell r="Q946">
            <v>0</v>
          </cell>
          <cell r="R946">
            <v>1</v>
          </cell>
          <cell r="S946">
            <v>1</v>
          </cell>
        </row>
        <row r="947">
          <cell r="K947">
            <v>0.1</v>
          </cell>
          <cell r="Q947">
            <v>0</v>
          </cell>
          <cell r="R947">
            <v>1</v>
          </cell>
          <cell r="S947">
            <v>1</v>
          </cell>
        </row>
        <row r="948">
          <cell r="K948">
            <v>0.1</v>
          </cell>
          <cell r="Q948">
            <v>0</v>
          </cell>
          <cell r="R948">
            <v>8</v>
          </cell>
          <cell r="S948">
            <v>8</v>
          </cell>
        </row>
        <row r="949">
          <cell r="K949">
            <v>0.1</v>
          </cell>
          <cell r="Q949">
            <v>0</v>
          </cell>
          <cell r="R949">
            <v>17</v>
          </cell>
          <cell r="S949">
            <v>17</v>
          </cell>
        </row>
        <row r="950">
          <cell r="K950">
            <v>0.1</v>
          </cell>
          <cell r="Q950">
            <v>0</v>
          </cell>
          <cell r="R950">
            <v>70</v>
          </cell>
          <cell r="S950">
            <v>70</v>
          </cell>
        </row>
        <row r="951">
          <cell r="K951">
            <v>0.12</v>
          </cell>
          <cell r="Q951">
            <v>2</v>
          </cell>
          <cell r="R951">
            <v>156</v>
          </cell>
          <cell r="S951">
            <v>158</v>
          </cell>
        </row>
        <row r="952">
          <cell r="K952">
            <v>0.14000000000000001</v>
          </cell>
          <cell r="Q952">
            <v>0</v>
          </cell>
          <cell r="R952">
            <v>117</v>
          </cell>
          <cell r="S952">
            <v>117</v>
          </cell>
        </row>
        <row r="953">
          <cell r="K953">
            <v>0.18</v>
          </cell>
          <cell r="Q953">
            <v>4</v>
          </cell>
          <cell r="R953">
            <v>40</v>
          </cell>
          <cell r="S953">
            <v>44</v>
          </cell>
        </row>
        <row r="954">
          <cell r="K954">
            <v>0.18</v>
          </cell>
          <cell r="Q954">
            <v>6</v>
          </cell>
          <cell r="R954">
            <v>47</v>
          </cell>
          <cell r="S954">
            <v>53</v>
          </cell>
        </row>
        <row r="955">
          <cell r="K955">
            <v>0.2</v>
          </cell>
          <cell r="Q955">
            <v>2</v>
          </cell>
          <cell r="R955">
            <v>59</v>
          </cell>
          <cell r="S955">
            <v>61</v>
          </cell>
        </row>
        <row r="956">
          <cell r="K956">
            <v>0.22</v>
          </cell>
          <cell r="Q956">
            <v>4</v>
          </cell>
          <cell r="R956">
            <v>73</v>
          </cell>
          <cell r="S956">
            <v>77</v>
          </cell>
        </row>
        <row r="957">
          <cell r="K957">
            <v>0.22</v>
          </cell>
          <cell r="Q957">
            <v>5</v>
          </cell>
          <cell r="R957">
            <v>59</v>
          </cell>
          <cell r="S957">
            <v>64</v>
          </cell>
        </row>
        <row r="958">
          <cell r="K958">
            <v>0.24</v>
          </cell>
          <cell r="Q958">
            <v>9</v>
          </cell>
          <cell r="R958">
            <v>59</v>
          </cell>
          <cell r="S958">
            <v>68</v>
          </cell>
        </row>
        <row r="959">
          <cell r="K959">
            <v>0.22</v>
          </cell>
          <cell r="Q959">
            <v>3</v>
          </cell>
          <cell r="R959">
            <v>87</v>
          </cell>
          <cell r="S959">
            <v>90</v>
          </cell>
        </row>
        <row r="960">
          <cell r="K960">
            <v>0.22</v>
          </cell>
          <cell r="Q960">
            <v>4</v>
          </cell>
          <cell r="R960">
            <v>155</v>
          </cell>
          <cell r="S960">
            <v>159</v>
          </cell>
        </row>
        <row r="961">
          <cell r="K961">
            <v>0.2</v>
          </cell>
          <cell r="Q961">
            <v>5</v>
          </cell>
          <cell r="R961">
            <v>134</v>
          </cell>
          <cell r="S961">
            <v>139</v>
          </cell>
        </row>
        <row r="962">
          <cell r="K962">
            <v>0.16</v>
          </cell>
          <cell r="Q962">
            <v>3</v>
          </cell>
          <cell r="R962">
            <v>89</v>
          </cell>
          <cell r="S962">
            <v>92</v>
          </cell>
        </row>
        <row r="963">
          <cell r="K963">
            <v>0.18</v>
          </cell>
          <cell r="Q963">
            <v>0</v>
          </cell>
          <cell r="R963">
            <v>68</v>
          </cell>
          <cell r="S963">
            <v>68</v>
          </cell>
        </row>
        <row r="964">
          <cell r="K964">
            <v>0.16</v>
          </cell>
          <cell r="Q964">
            <v>4</v>
          </cell>
          <cell r="R964">
            <v>48</v>
          </cell>
          <cell r="S964">
            <v>52</v>
          </cell>
        </row>
        <row r="965">
          <cell r="K965">
            <v>0.16</v>
          </cell>
          <cell r="Q965">
            <v>2</v>
          </cell>
          <cell r="R965">
            <v>34</v>
          </cell>
          <cell r="S965">
            <v>36</v>
          </cell>
        </row>
        <row r="966">
          <cell r="K966">
            <v>0.18</v>
          </cell>
          <cell r="Q966">
            <v>1</v>
          </cell>
          <cell r="R966">
            <v>26</v>
          </cell>
          <cell r="S966">
            <v>27</v>
          </cell>
        </row>
        <row r="967">
          <cell r="K967">
            <v>0.18</v>
          </cell>
          <cell r="Q967">
            <v>3</v>
          </cell>
          <cell r="R967">
            <v>25</v>
          </cell>
          <cell r="S967">
            <v>28</v>
          </cell>
        </row>
        <row r="968">
          <cell r="K968">
            <v>0.16</v>
          </cell>
          <cell r="Q968">
            <v>2</v>
          </cell>
          <cell r="R968">
            <v>18</v>
          </cell>
          <cell r="S968">
            <v>20</v>
          </cell>
        </row>
        <row r="969">
          <cell r="K969">
            <v>0.16</v>
          </cell>
          <cell r="Q969">
            <v>0</v>
          </cell>
          <cell r="R969">
            <v>12</v>
          </cell>
          <cell r="S969">
            <v>12</v>
          </cell>
        </row>
        <row r="970">
          <cell r="K970">
            <v>0.16</v>
          </cell>
          <cell r="Q970">
            <v>1</v>
          </cell>
          <cell r="R970">
            <v>7</v>
          </cell>
          <cell r="S970">
            <v>8</v>
          </cell>
        </row>
        <row r="971">
          <cell r="K971">
            <v>0.16</v>
          </cell>
          <cell r="Q971">
            <v>0</v>
          </cell>
          <cell r="R971">
            <v>5</v>
          </cell>
          <cell r="S971">
            <v>5</v>
          </cell>
        </row>
        <row r="972">
          <cell r="K972">
            <v>0.16</v>
          </cell>
          <cell r="Q972">
            <v>0</v>
          </cell>
          <cell r="R972">
            <v>1</v>
          </cell>
          <cell r="S972">
            <v>1</v>
          </cell>
        </row>
        <row r="973">
          <cell r="K973">
            <v>0.14000000000000001</v>
          </cell>
          <cell r="Q973">
            <v>1</v>
          </cell>
          <cell r="R973">
            <v>2</v>
          </cell>
          <cell r="S973">
            <v>3</v>
          </cell>
        </row>
        <row r="974">
          <cell r="K974">
            <v>0.14000000000000001</v>
          </cell>
          <cell r="Q974">
            <v>1</v>
          </cell>
          <cell r="R974">
            <v>9</v>
          </cell>
          <cell r="S974">
            <v>10</v>
          </cell>
        </row>
        <row r="975">
          <cell r="K975">
            <v>0.14000000000000001</v>
          </cell>
          <cell r="Q975">
            <v>1</v>
          </cell>
          <cell r="R975">
            <v>22</v>
          </cell>
          <cell r="S975">
            <v>23</v>
          </cell>
        </row>
        <row r="976">
          <cell r="K976">
            <v>0.16</v>
          </cell>
          <cell r="Q976">
            <v>2</v>
          </cell>
          <cell r="R976">
            <v>31</v>
          </cell>
          <cell r="S976">
            <v>33</v>
          </cell>
        </row>
        <row r="977">
          <cell r="K977">
            <v>0.18</v>
          </cell>
          <cell r="Q977">
            <v>2</v>
          </cell>
          <cell r="R977">
            <v>57</v>
          </cell>
          <cell r="S977">
            <v>59</v>
          </cell>
        </row>
        <row r="978">
          <cell r="K978">
            <v>0.2</v>
          </cell>
          <cell r="Q978">
            <v>18</v>
          </cell>
          <cell r="R978">
            <v>54</v>
          </cell>
          <cell r="S978">
            <v>72</v>
          </cell>
        </row>
        <row r="979">
          <cell r="K979">
            <v>0.24</v>
          </cell>
          <cell r="Q979">
            <v>15</v>
          </cell>
          <cell r="R979">
            <v>74</v>
          </cell>
          <cell r="S979">
            <v>89</v>
          </cell>
        </row>
        <row r="980">
          <cell r="K980">
            <v>0.28000000000000003</v>
          </cell>
          <cell r="Q980">
            <v>21</v>
          </cell>
          <cell r="R980">
            <v>80</v>
          </cell>
          <cell r="S980">
            <v>101</v>
          </cell>
        </row>
        <row r="981">
          <cell r="K981">
            <v>0.3</v>
          </cell>
          <cell r="Q981">
            <v>26</v>
          </cell>
          <cell r="R981">
            <v>92</v>
          </cell>
          <cell r="S981">
            <v>118</v>
          </cell>
        </row>
        <row r="982">
          <cell r="K982">
            <v>0.32</v>
          </cell>
          <cell r="Q982">
            <v>21</v>
          </cell>
          <cell r="R982">
            <v>108</v>
          </cell>
          <cell r="S982">
            <v>129</v>
          </cell>
        </row>
        <row r="983">
          <cell r="K983">
            <v>0.34</v>
          </cell>
          <cell r="Q983">
            <v>33</v>
          </cell>
          <cell r="R983">
            <v>95</v>
          </cell>
          <cell r="S983">
            <v>128</v>
          </cell>
        </row>
        <row r="984">
          <cell r="K984">
            <v>0.32</v>
          </cell>
          <cell r="Q984">
            <v>29</v>
          </cell>
          <cell r="R984">
            <v>54</v>
          </cell>
          <cell r="S984">
            <v>83</v>
          </cell>
        </row>
        <row r="985">
          <cell r="K985">
            <v>0.3</v>
          </cell>
          <cell r="Q985">
            <v>15</v>
          </cell>
          <cell r="R985">
            <v>69</v>
          </cell>
          <cell r="S985">
            <v>84</v>
          </cell>
        </row>
        <row r="986">
          <cell r="K986">
            <v>0.32</v>
          </cell>
          <cell r="Q986">
            <v>14</v>
          </cell>
          <cell r="R986">
            <v>60</v>
          </cell>
          <cell r="S986">
            <v>74</v>
          </cell>
        </row>
        <row r="987">
          <cell r="K987">
            <v>0.32</v>
          </cell>
          <cell r="Q987">
            <v>6</v>
          </cell>
          <cell r="R987">
            <v>35</v>
          </cell>
          <cell r="S987">
            <v>41</v>
          </cell>
        </row>
        <row r="988">
          <cell r="K988">
            <v>0.32</v>
          </cell>
          <cell r="Q988">
            <v>6</v>
          </cell>
          <cell r="R988">
            <v>51</v>
          </cell>
          <cell r="S988">
            <v>57</v>
          </cell>
        </row>
        <row r="989">
          <cell r="K989">
            <v>0.3</v>
          </cell>
          <cell r="Q989">
            <v>0</v>
          </cell>
          <cell r="R989">
            <v>26</v>
          </cell>
          <cell r="S989">
            <v>26</v>
          </cell>
        </row>
        <row r="990">
          <cell r="K990">
            <v>0.3</v>
          </cell>
          <cell r="Q990">
            <v>5</v>
          </cell>
          <cell r="R990">
            <v>39</v>
          </cell>
          <cell r="S990">
            <v>44</v>
          </cell>
        </row>
        <row r="991">
          <cell r="K991">
            <v>0.26</v>
          </cell>
          <cell r="Q991">
            <v>6</v>
          </cell>
          <cell r="R991">
            <v>33</v>
          </cell>
          <cell r="S991">
            <v>39</v>
          </cell>
        </row>
        <row r="992">
          <cell r="K992">
            <v>0.26</v>
          </cell>
          <cell r="Q992">
            <v>4</v>
          </cell>
          <cell r="R992">
            <v>19</v>
          </cell>
          <cell r="S992">
            <v>23</v>
          </cell>
        </row>
        <row r="993">
          <cell r="K993">
            <v>0.26</v>
          </cell>
          <cell r="Q993">
            <v>3</v>
          </cell>
          <cell r="R993">
            <v>13</v>
          </cell>
          <cell r="S993">
            <v>16</v>
          </cell>
        </row>
        <row r="994">
          <cell r="K994">
            <v>0.22</v>
          </cell>
          <cell r="Q994">
            <v>9</v>
          </cell>
          <cell r="R994">
            <v>6</v>
          </cell>
          <cell r="S994">
            <v>15</v>
          </cell>
        </row>
        <row r="995">
          <cell r="K995">
            <v>0.26</v>
          </cell>
          <cell r="Q995">
            <v>0</v>
          </cell>
          <cell r="R995">
            <v>1</v>
          </cell>
          <cell r="S995">
            <v>1</v>
          </cell>
        </row>
        <row r="996">
          <cell r="K996">
            <v>0.26</v>
          </cell>
          <cell r="Q996">
            <v>1</v>
          </cell>
          <cell r="R996">
            <v>1</v>
          </cell>
          <cell r="S996">
            <v>2</v>
          </cell>
        </row>
        <row r="997">
          <cell r="K997">
            <v>0.26</v>
          </cell>
          <cell r="Q997">
            <v>0</v>
          </cell>
          <cell r="R997">
            <v>1</v>
          </cell>
          <cell r="S997">
            <v>1</v>
          </cell>
        </row>
        <row r="998">
          <cell r="K998">
            <v>0.24</v>
          </cell>
          <cell r="Q998">
            <v>0</v>
          </cell>
          <cell r="R998">
            <v>3</v>
          </cell>
          <cell r="S998">
            <v>3</v>
          </cell>
        </row>
        <row r="999">
          <cell r="K999">
            <v>0.22</v>
          </cell>
          <cell r="Q999">
            <v>0</v>
          </cell>
          <cell r="R999">
            <v>18</v>
          </cell>
          <cell r="S999">
            <v>18</v>
          </cell>
        </row>
        <row r="1000">
          <cell r="K1000">
            <v>0.22</v>
          </cell>
          <cell r="Q1000">
            <v>3</v>
          </cell>
          <cell r="R1000">
            <v>29</v>
          </cell>
          <cell r="S1000">
            <v>32</v>
          </cell>
        </row>
        <row r="1001">
          <cell r="K1001">
            <v>0.22</v>
          </cell>
          <cell r="Q1001">
            <v>8</v>
          </cell>
          <cell r="R1001">
            <v>71</v>
          </cell>
          <cell r="S1001">
            <v>79</v>
          </cell>
        </row>
        <row r="1002">
          <cell r="K1002">
            <v>0.24</v>
          </cell>
          <cell r="Q1002">
            <v>23</v>
          </cell>
          <cell r="R1002">
            <v>70</v>
          </cell>
          <cell r="S1002">
            <v>93</v>
          </cell>
        </row>
        <row r="1003">
          <cell r="K1003">
            <v>0.24</v>
          </cell>
          <cell r="Q1003">
            <v>29</v>
          </cell>
          <cell r="R1003">
            <v>75</v>
          </cell>
          <cell r="S1003">
            <v>104</v>
          </cell>
        </row>
        <row r="1004">
          <cell r="K1004">
            <v>0.26</v>
          </cell>
          <cell r="Q1004">
            <v>23</v>
          </cell>
          <cell r="R1004">
            <v>95</v>
          </cell>
          <cell r="S1004">
            <v>118</v>
          </cell>
        </row>
        <row r="1005">
          <cell r="K1005">
            <v>0.28000000000000003</v>
          </cell>
          <cell r="Q1005">
            <v>22</v>
          </cell>
          <cell r="R1005">
            <v>69</v>
          </cell>
          <cell r="S1005">
            <v>91</v>
          </cell>
        </row>
        <row r="1006">
          <cell r="K1006">
            <v>0.26</v>
          </cell>
          <cell r="Q1006">
            <v>35</v>
          </cell>
          <cell r="R1006">
            <v>78</v>
          </cell>
          <cell r="S1006">
            <v>113</v>
          </cell>
        </row>
        <row r="1007">
          <cell r="K1007">
            <v>0.24</v>
          </cell>
          <cell r="Q1007">
            <v>22</v>
          </cell>
          <cell r="R1007">
            <v>77</v>
          </cell>
          <cell r="S1007">
            <v>99</v>
          </cell>
        </row>
        <row r="1008">
          <cell r="K1008">
            <v>0.22</v>
          </cell>
          <cell r="Q1008">
            <v>23</v>
          </cell>
          <cell r="R1008">
            <v>82</v>
          </cell>
          <cell r="S1008">
            <v>105</v>
          </cell>
        </row>
        <row r="1009">
          <cell r="K1009">
            <v>0.2</v>
          </cell>
          <cell r="Q1009">
            <v>11</v>
          </cell>
          <cell r="R1009">
            <v>56</v>
          </cell>
          <cell r="S1009">
            <v>67</v>
          </cell>
        </row>
        <row r="1010">
          <cell r="K1010">
            <v>0.18</v>
          </cell>
          <cell r="Q1010">
            <v>14</v>
          </cell>
          <cell r="R1010">
            <v>47</v>
          </cell>
          <cell r="S1010">
            <v>61</v>
          </cell>
        </row>
        <row r="1011">
          <cell r="K1011">
            <v>0.18</v>
          </cell>
          <cell r="Q1011">
            <v>7</v>
          </cell>
          <cell r="R1011">
            <v>50</v>
          </cell>
          <cell r="S1011">
            <v>57</v>
          </cell>
        </row>
        <row r="1012">
          <cell r="K1012">
            <v>0.18</v>
          </cell>
          <cell r="Q1012">
            <v>6</v>
          </cell>
          <cell r="R1012">
            <v>22</v>
          </cell>
          <cell r="S1012">
            <v>28</v>
          </cell>
        </row>
        <row r="1013">
          <cell r="K1013">
            <v>0.2</v>
          </cell>
          <cell r="Q1013">
            <v>2</v>
          </cell>
          <cell r="R1013">
            <v>19</v>
          </cell>
          <cell r="S1013">
            <v>21</v>
          </cell>
        </row>
        <row r="1014">
          <cell r="K1014">
            <v>0.2</v>
          </cell>
          <cell r="Q1014">
            <v>0</v>
          </cell>
          <cell r="R1014">
            <v>18</v>
          </cell>
          <cell r="S1014">
            <v>18</v>
          </cell>
        </row>
        <row r="1015">
          <cell r="K1015">
            <v>0.2</v>
          </cell>
          <cell r="Q1015">
            <v>1</v>
          </cell>
          <cell r="R1015">
            <v>16</v>
          </cell>
          <cell r="S1015">
            <v>17</v>
          </cell>
        </row>
        <row r="1016">
          <cell r="K1016">
            <v>0.2</v>
          </cell>
          <cell r="Q1016">
            <v>1</v>
          </cell>
          <cell r="R1016">
            <v>15</v>
          </cell>
          <cell r="S1016">
            <v>16</v>
          </cell>
        </row>
        <row r="1017">
          <cell r="K1017">
            <v>0.18</v>
          </cell>
          <cell r="Q1017">
            <v>0</v>
          </cell>
          <cell r="R1017">
            <v>8</v>
          </cell>
          <cell r="S1017">
            <v>8</v>
          </cell>
        </row>
        <row r="1018">
          <cell r="K1018">
            <v>0.18</v>
          </cell>
          <cell r="Q1018">
            <v>0</v>
          </cell>
          <cell r="R1018">
            <v>2</v>
          </cell>
          <cell r="S1018">
            <v>2</v>
          </cell>
        </row>
        <row r="1019">
          <cell r="K1019">
            <v>0.18</v>
          </cell>
          <cell r="Q1019">
            <v>1</v>
          </cell>
          <cell r="R1019">
            <v>2</v>
          </cell>
          <cell r="S1019">
            <v>3</v>
          </cell>
        </row>
        <row r="1020">
          <cell r="K1020">
            <v>0.18</v>
          </cell>
          <cell r="Q1020">
            <v>0</v>
          </cell>
          <cell r="R1020">
            <v>1</v>
          </cell>
          <cell r="S1020">
            <v>1</v>
          </cell>
        </row>
        <row r="1021">
          <cell r="K1021">
            <v>0.18</v>
          </cell>
          <cell r="Q1021">
            <v>0</v>
          </cell>
          <cell r="R1021">
            <v>5</v>
          </cell>
          <cell r="S1021">
            <v>5</v>
          </cell>
        </row>
        <row r="1022">
          <cell r="K1022">
            <v>0.16</v>
          </cell>
          <cell r="Q1022">
            <v>4</v>
          </cell>
          <cell r="R1022">
            <v>9</v>
          </cell>
          <cell r="S1022">
            <v>13</v>
          </cell>
        </row>
        <row r="1023">
          <cell r="K1023">
            <v>0.16</v>
          </cell>
          <cell r="Q1023">
            <v>3</v>
          </cell>
          <cell r="R1023">
            <v>30</v>
          </cell>
          <cell r="S1023">
            <v>33</v>
          </cell>
        </row>
        <row r="1024">
          <cell r="K1024">
            <v>0.16</v>
          </cell>
          <cell r="Q1024">
            <v>8</v>
          </cell>
          <cell r="R1024">
            <v>39</v>
          </cell>
          <cell r="S1024">
            <v>47</v>
          </cell>
        </row>
        <row r="1025">
          <cell r="K1025">
            <v>0.16</v>
          </cell>
          <cell r="Q1025">
            <v>7</v>
          </cell>
          <cell r="R1025">
            <v>50</v>
          </cell>
          <cell r="S1025">
            <v>57</v>
          </cell>
        </row>
        <row r="1026">
          <cell r="K1026">
            <v>0.16</v>
          </cell>
          <cell r="Q1026">
            <v>9</v>
          </cell>
          <cell r="R1026">
            <v>55</v>
          </cell>
          <cell r="S1026">
            <v>64</v>
          </cell>
        </row>
        <row r="1027">
          <cell r="K1027">
            <v>0.18</v>
          </cell>
          <cell r="Q1027">
            <v>10</v>
          </cell>
          <cell r="R1027">
            <v>70</v>
          </cell>
          <cell r="S1027">
            <v>80</v>
          </cell>
        </row>
        <row r="1028">
          <cell r="K1028">
            <v>0.18</v>
          </cell>
          <cell r="Q1028">
            <v>13</v>
          </cell>
          <cell r="R1028">
            <v>80</v>
          </cell>
          <cell r="S1028">
            <v>93</v>
          </cell>
        </row>
        <row r="1029">
          <cell r="K1029">
            <v>0.18</v>
          </cell>
          <cell r="Q1029">
            <v>12</v>
          </cell>
          <cell r="R1029">
            <v>74</v>
          </cell>
          <cell r="S1029">
            <v>86</v>
          </cell>
        </row>
        <row r="1030">
          <cell r="K1030">
            <v>0.2</v>
          </cell>
          <cell r="Q1030">
            <v>21</v>
          </cell>
          <cell r="R1030">
            <v>72</v>
          </cell>
          <cell r="S1030">
            <v>93</v>
          </cell>
        </row>
        <row r="1031">
          <cell r="K1031">
            <v>0.2</v>
          </cell>
          <cell r="Q1031">
            <v>6</v>
          </cell>
          <cell r="R1031">
            <v>76</v>
          </cell>
          <cell r="S1031">
            <v>82</v>
          </cell>
        </row>
        <row r="1032">
          <cell r="K1032">
            <v>0.2</v>
          </cell>
          <cell r="Q1032">
            <v>4</v>
          </cell>
          <cell r="R1032">
            <v>67</v>
          </cell>
          <cell r="S1032">
            <v>71</v>
          </cell>
        </row>
        <row r="1033">
          <cell r="K1033">
            <v>0.18</v>
          </cell>
          <cell r="Q1033">
            <v>7</v>
          </cell>
          <cell r="R1033">
            <v>85</v>
          </cell>
          <cell r="S1033">
            <v>92</v>
          </cell>
        </row>
        <row r="1034">
          <cell r="K1034">
            <v>0.18</v>
          </cell>
          <cell r="Q1034">
            <v>2</v>
          </cell>
          <cell r="R1034">
            <v>58</v>
          </cell>
          <cell r="S1034">
            <v>60</v>
          </cell>
        </row>
        <row r="1035">
          <cell r="K1035">
            <v>0.4</v>
          </cell>
          <cell r="Q1035">
            <v>11</v>
          </cell>
          <cell r="R1035">
            <v>67</v>
          </cell>
          <cell r="S1035">
            <v>78</v>
          </cell>
        </row>
        <row r="1036">
          <cell r="K1036">
            <v>0.4</v>
          </cell>
          <cell r="Q1036">
            <v>7</v>
          </cell>
          <cell r="R1036">
            <v>68</v>
          </cell>
          <cell r="S1036">
            <v>75</v>
          </cell>
        </row>
        <row r="1037">
          <cell r="K1037">
            <v>0.4</v>
          </cell>
          <cell r="Q1037">
            <v>4</v>
          </cell>
          <cell r="R1037">
            <v>78</v>
          </cell>
          <cell r="S1037">
            <v>82</v>
          </cell>
        </row>
        <row r="1038">
          <cell r="K1038">
            <v>0.38</v>
          </cell>
          <cell r="Q1038">
            <v>10</v>
          </cell>
          <cell r="R1038">
            <v>94</v>
          </cell>
          <cell r="S1038">
            <v>104</v>
          </cell>
        </row>
        <row r="1039">
          <cell r="K1039">
            <v>0.36</v>
          </cell>
          <cell r="Q1039">
            <v>7</v>
          </cell>
          <cell r="R1039">
            <v>190</v>
          </cell>
          <cell r="S1039">
            <v>197</v>
          </cell>
        </row>
        <row r="1040">
          <cell r="K1040">
            <v>0.34</v>
          </cell>
          <cell r="Q1040">
            <v>5</v>
          </cell>
          <cell r="R1040">
            <v>156</v>
          </cell>
          <cell r="S1040">
            <v>161</v>
          </cell>
        </row>
        <row r="1041">
          <cell r="K1041">
            <v>0.32</v>
          </cell>
          <cell r="Q1041">
            <v>4</v>
          </cell>
          <cell r="R1041">
            <v>108</v>
          </cell>
          <cell r="S1041">
            <v>112</v>
          </cell>
        </row>
        <row r="1042">
          <cell r="K1042">
            <v>0.32</v>
          </cell>
          <cell r="Q1042">
            <v>2</v>
          </cell>
          <cell r="R1042">
            <v>74</v>
          </cell>
          <cell r="S1042">
            <v>76</v>
          </cell>
        </row>
        <row r="1043">
          <cell r="K1043">
            <v>0.32</v>
          </cell>
          <cell r="Q1043">
            <v>4</v>
          </cell>
          <cell r="R1043">
            <v>55</v>
          </cell>
          <cell r="S1043">
            <v>59</v>
          </cell>
        </row>
        <row r="1044">
          <cell r="K1044">
            <v>0.3</v>
          </cell>
          <cell r="Q1044">
            <v>6</v>
          </cell>
          <cell r="R1044">
            <v>53</v>
          </cell>
          <cell r="S1044">
            <v>59</v>
          </cell>
        </row>
        <row r="1045">
          <cell r="K1045">
            <v>0.3</v>
          </cell>
          <cell r="Q1045">
            <v>1</v>
          </cell>
          <cell r="R1045">
            <v>27</v>
          </cell>
          <cell r="S1045">
            <v>28</v>
          </cell>
        </row>
        <row r="1046">
          <cell r="K1046">
            <v>0.26</v>
          </cell>
          <cell r="Q1046">
            <v>5</v>
          </cell>
          <cell r="R1046">
            <v>8</v>
          </cell>
          <cell r="S1046">
            <v>13</v>
          </cell>
        </row>
        <row r="1047">
          <cell r="K1047">
            <v>0.26</v>
          </cell>
          <cell r="Q1047">
            <v>2</v>
          </cell>
          <cell r="R1047">
            <v>3</v>
          </cell>
          <cell r="S1047">
            <v>5</v>
          </cell>
        </row>
        <row r="1048">
          <cell r="K1048">
            <v>0.26</v>
          </cell>
          <cell r="Q1048">
            <v>0</v>
          </cell>
          <cell r="R1048">
            <v>2</v>
          </cell>
          <cell r="S1048">
            <v>2</v>
          </cell>
        </row>
        <row r="1049">
          <cell r="K1049">
            <v>0.26</v>
          </cell>
          <cell r="Q1049">
            <v>0</v>
          </cell>
          <cell r="R1049">
            <v>1</v>
          </cell>
          <cell r="S1049">
            <v>1</v>
          </cell>
        </row>
        <row r="1050">
          <cell r="K1050">
            <v>0.26</v>
          </cell>
          <cell r="Q1050">
            <v>0</v>
          </cell>
          <cell r="R1050">
            <v>1</v>
          </cell>
          <cell r="S1050">
            <v>1</v>
          </cell>
        </row>
        <row r="1051">
          <cell r="K1051">
            <v>0.24</v>
          </cell>
          <cell r="Q1051">
            <v>0</v>
          </cell>
          <cell r="R1051">
            <v>6</v>
          </cell>
          <cell r="S1051">
            <v>6</v>
          </cell>
        </row>
        <row r="1052">
          <cell r="K1052">
            <v>0.22</v>
          </cell>
          <cell r="Q1052">
            <v>0</v>
          </cell>
          <cell r="R1052">
            <v>35</v>
          </cell>
          <cell r="S1052">
            <v>35</v>
          </cell>
        </row>
        <row r="1053">
          <cell r="K1053">
            <v>0.22</v>
          </cell>
          <cell r="Q1053">
            <v>1</v>
          </cell>
          <cell r="R1053">
            <v>100</v>
          </cell>
          <cell r="S1053">
            <v>101</v>
          </cell>
        </row>
        <row r="1054">
          <cell r="K1054">
            <v>0.22</v>
          </cell>
          <cell r="Q1054">
            <v>2</v>
          </cell>
          <cell r="R1054">
            <v>247</v>
          </cell>
          <cell r="S1054">
            <v>249</v>
          </cell>
        </row>
        <row r="1055">
          <cell r="K1055">
            <v>0.24</v>
          </cell>
          <cell r="Q1055">
            <v>3</v>
          </cell>
          <cell r="R1055">
            <v>140</v>
          </cell>
          <cell r="S1055">
            <v>143</v>
          </cell>
        </row>
        <row r="1056">
          <cell r="K1056">
            <v>0.26</v>
          </cell>
          <cell r="Q1056">
            <v>1</v>
          </cell>
          <cell r="R1056">
            <v>56</v>
          </cell>
          <cell r="S1056">
            <v>57</v>
          </cell>
        </row>
        <row r="1057">
          <cell r="K1057">
            <v>0.28000000000000003</v>
          </cell>
          <cell r="Q1057">
            <v>5</v>
          </cell>
          <cell r="R1057">
            <v>63</v>
          </cell>
          <cell r="S1057">
            <v>68</v>
          </cell>
        </row>
        <row r="1058">
          <cell r="K1058">
            <v>0.3</v>
          </cell>
          <cell r="Q1058">
            <v>7</v>
          </cell>
          <cell r="R1058">
            <v>77</v>
          </cell>
          <cell r="S1058">
            <v>84</v>
          </cell>
        </row>
        <row r="1059">
          <cell r="K1059">
            <v>0.28000000000000003</v>
          </cell>
          <cell r="Q1059">
            <v>12</v>
          </cell>
          <cell r="R1059">
            <v>86</v>
          </cell>
          <cell r="S1059">
            <v>98</v>
          </cell>
        </row>
        <row r="1060">
          <cell r="K1060">
            <v>0.3</v>
          </cell>
          <cell r="Q1060">
            <v>6</v>
          </cell>
          <cell r="R1060">
            <v>75</v>
          </cell>
          <cell r="S1060">
            <v>81</v>
          </cell>
        </row>
        <row r="1061">
          <cell r="K1061">
            <v>0.32</v>
          </cell>
          <cell r="Q1061">
            <v>8</v>
          </cell>
          <cell r="R1061">
            <v>62</v>
          </cell>
          <cell r="S1061">
            <v>70</v>
          </cell>
        </row>
        <row r="1062">
          <cell r="K1062">
            <v>0.3</v>
          </cell>
          <cell r="Q1062">
            <v>8</v>
          </cell>
          <cell r="R1062">
            <v>83</v>
          </cell>
          <cell r="S1062">
            <v>91</v>
          </cell>
        </row>
        <row r="1063">
          <cell r="K1063">
            <v>0.3</v>
          </cell>
          <cell r="Q1063">
            <v>8</v>
          </cell>
          <cell r="R1063">
            <v>207</v>
          </cell>
          <cell r="S1063">
            <v>215</v>
          </cell>
        </row>
        <row r="1064">
          <cell r="K1064">
            <v>0.26</v>
          </cell>
          <cell r="Q1064">
            <v>1</v>
          </cell>
          <cell r="R1064">
            <v>184</v>
          </cell>
          <cell r="S1064">
            <v>185</v>
          </cell>
        </row>
        <row r="1065">
          <cell r="K1065">
            <v>0.26</v>
          </cell>
          <cell r="Q1065">
            <v>6</v>
          </cell>
          <cell r="R1065">
            <v>146</v>
          </cell>
          <cell r="S1065">
            <v>152</v>
          </cell>
        </row>
        <row r="1066">
          <cell r="K1066">
            <v>0.26</v>
          </cell>
          <cell r="Q1066">
            <v>2</v>
          </cell>
          <cell r="R1066">
            <v>124</v>
          </cell>
          <cell r="S1066">
            <v>126</v>
          </cell>
        </row>
        <row r="1067">
          <cell r="K1067">
            <v>0.24</v>
          </cell>
          <cell r="Q1067">
            <v>3</v>
          </cell>
          <cell r="R1067">
            <v>54</v>
          </cell>
          <cell r="S1067">
            <v>57</v>
          </cell>
        </row>
        <row r="1068">
          <cell r="K1068">
            <v>0.24</v>
          </cell>
          <cell r="Q1068">
            <v>0</v>
          </cell>
          <cell r="R1068">
            <v>56</v>
          </cell>
          <cell r="S1068">
            <v>56</v>
          </cell>
        </row>
        <row r="1069">
          <cell r="K1069">
            <v>0.24</v>
          </cell>
          <cell r="Q1069">
            <v>3</v>
          </cell>
          <cell r="R1069">
            <v>28</v>
          </cell>
          <cell r="S1069">
            <v>31</v>
          </cell>
        </row>
        <row r="1070">
          <cell r="K1070">
            <v>0.24</v>
          </cell>
          <cell r="Q1070">
            <v>1</v>
          </cell>
          <cell r="R1070">
            <v>20</v>
          </cell>
          <cell r="S1070">
            <v>21</v>
          </cell>
        </row>
        <row r="1071">
          <cell r="K1071">
            <v>0.24</v>
          </cell>
          <cell r="Q1071">
            <v>0</v>
          </cell>
          <cell r="R1071">
            <v>6</v>
          </cell>
          <cell r="S1071">
            <v>6</v>
          </cell>
        </row>
        <row r="1072">
          <cell r="K1072">
            <v>0.24</v>
          </cell>
          <cell r="Q1072">
            <v>0</v>
          </cell>
          <cell r="R1072">
            <v>2</v>
          </cell>
          <cell r="S1072">
            <v>2</v>
          </cell>
        </row>
        <row r="1073">
          <cell r="K1073">
            <v>0.24</v>
          </cell>
          <cell r="Q1073">
            <v>1</v>
          </cell>
          <cell r="R1073">
            <v>4</v>
          </cell>
          <cell r="S1073">
            <v>5</v>
          </cell>
        </row>
        <row r="1074">
          <cell r="K1074">
            <v>0.22</v>
          </cell>
          <cell r="Q1074">
            <v>0</v>
          </cell>
          <cell r="R1074">
            <v>27</v>
          </cell>
          <cell r="S1074">
            <v>27</v>
          </cell>
        </row>
        <row r="1075">
          <cell r="K1075">
            <v>0.2</v>
          </cell>
          <cell r="Q1075">
            <v>2</v>
          </cell>
          <cell r="R1075">
            <v>66</v>
          </cell>
          <cell r="S1075">
            <v>68</v>
          </cell>
        </row>
        <row r="1076">
          <cell r="K1076">
            <v>0.2</v>
          </cell>
          <cell r="Q1076">
            <v>7</v>
          </cell>
          <cell r="R1076">
            <v>210</v>
          </cell>
          <cell r="S1076">
            <v>217</v>
          </cell>
        </row>
        <row r="1077">
          <cell r="K1077">
            <v>0.2</v>
          </cell>
          <cell r="Q1077">
            <v>7</v>
          </cell>
          <cell r="R1077">
            <v>159</v>
          </cell>
          <cell r="S1077">
            <v>166</v>
          </cell>
        </row>
        <row r="1078">
          <cell r="K1078">
            <v>0.2</v>
          </cell>
          <cell r="Q1078">
            <v>6</v>
          </cell>
          <cell r="R1078">
            <v>57</v>
          </cell>
          <cell r="S1078">
            <v>63</v>
          </cell>
        </row>
        <row r="1079">
          <cell r="K1079">
            <v>0.22</v>
          </cell>
          <cell r="Q1079">
            <v>6</v>
          </cell>
          <cell r="R1079">
            <v>53</v>
          </cell>
          <cell r="S1079">
            <v>59</v>
          </cell>
        </row>
        <row r="1080">
          <cell r="K1080">
            <v>0.22</v>
          </cell>
          <cell r="Q1080">
            <v>11</v>
          </cell>
          <cell r="R1080">
            <v>67</v>
          </cell>
          <cell r="S1080">
            <v>78</v>
          </cell>
        </row>
        <row r="1081">
          <cell r="K1081">
            <v>0.2</v>
          </cell>
          <cell r="Q1081">
            <v>8</v>
          </cell>
          <cell r="R1081">
            <v>65</v>
          </cell>
          <cell r="S1081">
            <v>73</v>
          </cell>
        </row>
        <row r="1082">
          <cell r="K1082">
            <v>0.2</v>
          </cell>
          <cell r="Q1082">
            <v>6</v>
          </cell>
          <cell r="R1082">
            <v>56</v>
          </cell>
          <cell r="S1082">
            <v>62</v>
          </cell>
        </row>
        <row r="1083">
          <cell r="K1083">
            <v>0.16</v>
          </cell>
          <cell r="Q1083">
            <v>4</v>
          </cell>
          <cell r="R1083">
            <v>61</v>
          </cell>
          <cell r="S1083">
            <v>65</v>
          </cell>
        </row>
        <row r="1084">
          <cell r="K1084">
            <v>0.16</v>
          </cell>
          <cell r="Q1084">
            <v>0</v>
          </cell>
          <cell r="R1084">
            <v>97</v>
          </cell>
          <cell r="S1084">
            <v>97</v>
          </cell>
        </row>
        <row r="1085">
          <cell r="K1085">
            <v>0.14000000000000001</v>
          </cell>
          <cell r="Q1085">
            <v>10</v>
          </cell>
          <cell r="R1085">
            <v>151</v>
          </cell>
          <cell r="S1085">
            <v>161</v>
          </cell>
        </row>
        <row r="1086">
          <cell r="K1086">
            <v>0.12</v>
          </cell>
          <cell r="Q1086">
            <v>1</v>
          </cell>
          <cell r="R1086">
            <v>119</v>
          </cell>
          <cell r="S1086">
            <v>120</v>
          </cell>
        </row>
        <row r="1087">
          <cell r="K1087">
            <v>0.12</v>
          </cell>
          <cell r="Q1087">
            <v>3</v>
          </cell>
          <cell r="R1087">
            <v>93</v>
          </cell>
          <cell r="S1087">
            <v>96</v>
          </cell>
        </row>
        <row r="1088">
          <cell r="K1088">
            <v>0.1</v>
          </cell>
          <cell r="Q1088">
            <v>1</v>
          </cell>
          <cell r="R1088">
            <v>52</v>
          </cell>
          <cell r="S1088">
            <v>53</v>
          </cell>
        </row>
        <row r="1089">
          <cell r="K1089">
            <v>0.08</v>
          </cell>
          <cell r="Q1089">
            <v>0</v>
          </cell>
          <cell r="R1089">
            <v>41</v>
          </cell>
          <cell r="S1089">
            <v>41</v>
          </cell>
        </row>
        <row r="1090">
          <cell r="K1090">
            <v>0.06</v>
          </cell>
          <cell r="Q1090">
            <v>1</v>
          </cell>
          <cell r="R1090">
            <v>33</v>
          </cell>
          <cell r="S1090">
            <v>34</v>
          </cell>
        </row>
        <row r="1091">
          <cell r="K1091">
            <v>0.06</v>
          </cell>
          <cell r="Q1091">
            <v>0</v>
          </cell>
          <cell r="R1091">
            <v>27</v>
          </cell>
          <cell r="S1091">
            <v>27</v>
          </cell>
        </row>
        <row r="1092">
          <cell r="K1092">
            <v>0.04</v>
          </cell>
          <cell r="Q1092">
            <v>0</v>
          </cell>
          <cell r="R1092">
            <v>13</v>
          </cell>
          <cell r="S1092">
            <v>13</v>
          </cell>
        </row>
        <row r="1093">
          <cell r="K1093">
            <v>0.04</v>
          </cell>
          <cell r="Q1093">
            <v>0</v>
          </cell>
          <cell r="R1093">
            <v>11</v>
          </cell>
          <cell r="S1093">
            <v>11</v>
          </cell>
        </row>
        <row r="1094">
          <cell r="K1094">
            <v>0.04</v>
          </cell>
          <cell r="Q1094">
            <v>1</v>
          </cell>
          <cell r="R1094">
            <v>6</v>
          </cell>
          <cell r="S1094">
            <v>7</v>
          </cell>
        </row>
        <row r="1095">
          <cell r="K1095">
            <v>0.02</v>
          </cell>
          <cell r="Q1095">
            <v>0</v>
          </cell>
          <cell r="R1095">
            <v>3</v>
          </cell>
          <cell r="S1095">
            <v>3</v>
          </cell>
        </row>
        <row r="1096">
          <cell r="K1096">
            <v>0.02</v>
          </cell>
          <cell r="Q1096">
            <v>0</v>
          </cell>
          <cell r="R1096">
            <v>2</v>
          </cell>
          <cell r="S1096">
            <v>2</v>
          </cell>
        </row>
        <row r="1097">
          <cell r="K1097">
            <v>0.02</v>
          </cell>
          <cell r="Q1097">
            <v>0</v>
          </cell>
          <cell r="R1097">
            <v>8</v>
          </cell>
          <cell r="S1097">
            <v>8</v>
          </cell>
        </row>
        <row r="1098">
          <cell r="K1098">
            <v>0.04</v>
          </cell>
          <cell r="Q1098">
            <v>3</v>
          </cell>
          <cell r="R1098">
            <v>37</v>
          </cell>
          <cell r="S1098">
            <v>40</v>
          </cell>
        </row>
        <row r="1099">
          <cell r="K1099">
            <v>0.04</v>
          </cell>
          <cell r="Q1099">
            <v>3</v>
          </cell>
          <cell r="R1099">
            <v>50</v>
          </cell>
          <cell r="S1099">
            <v>53</v>
          </cell>
        </row>
        <row r="1100">
          <cell r="K1100">
            <v>0.06</v>
          </cell>
          <cell r="Q1100">
            <v>4</v>
          </cell>
          <cell r="R1100">
            <v>59</v>
          </cell>
          <cell r="S1100">
            <v>63</v>
          </cell>
        </row>
        <row r="1101">
          <cell r="K1101">
            <v>0.06</v>
          </cell>
          <cell r="Q1101">
            <v>10</v>
          </cell>
          <cell r="R1101">
            <v>60</v>
          </cell>
          <cell r="S1101">
            <v>70</v>
          </cell>
        </row>
        <row r="1102">
          <cell r="K1102">
            <v>0.08</v>
          </cell>
          <cell r="Q1102">
            <v>12</v>
          </cell>
          <cell r="R1102">
            <v>72</v>
          </cell>
          <cell r="S1102">
            <v>84</v>
          </cell>
        </row>
        <row r="1103">
          <cell r="K1103">
            <v>0.1</v>
          </cell>
          <cell r="Q1103">
            <v>11</v>
          </cell>
          <cell r="R1103">
            <v>64</v>
          </cell>
          <cell r="S1103">
            <v>75</v>
          </cell>
        </row>
        <row r="1104">
          <cell r="K1104">
            <v>0.12</v>
          </cell>
          <cell r="Q1104">
            <v>10</v>
          </cell>
          <cell r="R1104">
            <v>93</v>
          </cell>
          <cell r="S1104">
            <v>103</v>
          </cell>
        </row>
        <row r="1105">
          <cell r="K1105">
            <v>0.12</v>
          </cell>
          <cell r="Q1105">
            <v>11</v>
          </cell>
          <cell r="R1105">
            <v>72</v>
          </cell>
          <cell r="S1105">
            <v>83</v>
          </cell>
        </row>
        <row r="1106">
          <cell r="K1106">
            <v>0.12</v>
          </cell>
          <cell r="Q1106">
            <v>8</v>
          </cell>
          <cell r="R1106">
            <v>59</v>
          </cell>
          <cell r="S1106">
            <v>67</v>
          </cell>
        </row>
        <row r="1107">
          <cell r="K1107">
            <v>0.08</v>
          </cell>
          <cell r="Q1107">
            <v>0</v>
          </cell>
          <cell r="R1107">
            <v>54</v>
          </cell>
          <cell r="S1107">
            <v>54</v>
          </cell>
        </row>
        <row r="1108">
          <cell r="K1108">
            <v>0.08</v>
          </cell>
          <cell r="Q1108">
            <v>6</v>
          </cell>
          <cell r="R1108">
            <v>53</v>
          </cell>
          <cell r="S1108">
            <v>59</v>
          </cell>
        </row>
        <row r="1109">
          <cell r="K1109">
            <v>0.06</v>
          </cell>
          <cell r="Q1109">
            <v>1</v>
          </cell>
          <cell r="R1109">
            <v>44</v>
          </cell>
          <cell r="S1109">
            <v>45</v>
          </cell>
        </row>
        <row r="1110">
          <cell r="K1110">
            <v>0.06</v>
          </cell>
          <cell r="Q1110">
            <v>0</v>
          </cell>
          <cell r="R1110">
            <v>39</v>
          </cell>
          <cell r="S1110">
            <v>39</v>
          </cell>
        </row>
        <row r="1111">
          <cell r="K1111">
            <v>0.06</v>
          </cell>
          <cell r="Q1111">
            <v>7</v>
          </cell>
          <cell r="R1111">
            <v>23</v>
          </cell>
          <cell r="S1111">
            <v>30</v>
          </cell>
        </row>
        <row r="1112">
          <cell r="K1112">
            <v>0.04</v>
          </cell>
          <cell r="Q1112">
            <v>2</v>
          </cell>
          <cell r="R1112">
            <v>31</v>
          </cell>
          <cell r="S1112">
            <v>33</v>
          </cell>
        </row>
        <row r="1113">
          <cell r="K1113">
            <v>0.04</v>
          </cell>
          <cell r="Q1113">
            <v>2</v>
          </cell>
          <cell r="R1113">
            <v>20</v>
          </cell>
          <cell r="S1113">
            <v>22</v>
          </cell>
        </row>
        <row r="1114">
          <cell r="K1114">
            <v>0.04</v>
          </cell>
          <cell r="Q1114">
            <v>1</v>
          </cell>
          <cell r="R1114">
            <v>12</v>
          </cell>
          <cell r="S1114">
            <v>13</v>
          </cell>
        </row>
        <row r="1115">
          <cell r="K1115">
            <v>0.02</v>
          </cell>
          <cell r="Q1115">
            <v>3</v>
          </cell>
          <cell r="R1115">
            <v>15</v>
          </cell>
          <cell r="S1115">
            <v>18</v>
          </cell>
        </row>
        <row r="1116">
          <cell r="K1116">
            <v>0.02</v>
          </cell>
          <cell r="Q1116">
            <v>1</v>
          </cell>
          <cell r="R1116">
            <v>4</v>
          </cell>
          <cell r="S1116">
            <v>5</v>
          </cell>
        </row>
        <row r="1117">
          <cell r="K1117">
            <v>0.04</v>
          </cell>
          <cell r="Q1117">
            <v>0</v>
          </cell>
          <cell r="R1117">
            <v>3</v>
          </cell>
          <cell r="S1117">
            <v>3</v>
          </cell>
        </row>
        <row r="1118">
          <cell r="K1118">
            <v>0.04</v>
          </cell>
          <cell r="Q1118">
            <v>0</v>
          </cell>
          <cell r="R1118">
            <v>1</v>
          </cell>
          <cell r="S1118">
            <v>1</v>
          </cell>
        </row>
        <row r="1119">
          <cell r="K1119">
            <v>0.08</v>
          </cell>
          <cell r="Q1119">
            <v>1</v>
          </cell>
          <cell r="R1119">
            <v>1</v>
          </cell>
          <cell r="S1119">
            <v>2</v>
          </cell>
        </row>
        <row r="1120">
          <cell r="K1120">
            <v>0.06</v>
          </cell>
          <cell r="Q1120">
            <v>2</v>
          </cell>
          <cell r="R1120">
            <v>17</v>
          </cell>
          <cell r="S1120">
            <v>19</v>
          </cell>
        </row>
        <row r="1121">
          <cell r="K1121">
            <v>0.1</v>
          </cell>
          <cell r="Q1121">
            <v>3</v>
          </cell>
          <cell r="R1121">
            <v>25</v>
          </cell>
          <cell r="S1121">
            <v>28</v>
          </cell>
        </row>
        <row r="1122">
          <cell r="K1122">
            <v>0.14000000000000001</v>
          </cell>
          <cell r="Q1122">
            <v>7</v>
          </cell>
          <cell r="R1122">
            <v>51</v>
          </cell>
          <cell r="S1122">
            <v>58</v>
          </cell>
        </row>
        <row r="1123">
          <cell r="K1123">
            <v>0.14000000000000001</v>
          </cell>
          <cell r="Q1123">
            <v>22</v>
          </cell>
          <cell r="R1123">
            <v>77</v>
          </cell>
          <cell r="S1123">
            <v>99</v>
          </cell>
        </row>
        <row r="1124">
          <cell r="K1124">
            <v>0.16</v>
          </cell>
          <cell r="Q1124">
            <v>24</v>
          </cell>
          <cell r="R1124">
            <v>92</v>
          </cell>
          <cell r="S1124">
            <v>116</v>
          </cell>
        </row>
        <row r="1125">
          <cell r="K1125">
            <v>0.14000000000000001</v>
          </cell>
          <cell r="Q1125">
            <v>12</v>
          </cell>
          <cell r="R1125">
            <v>75</v>
          </cell>
          <cell r="S1125">
            <v>87</v>
          </cell>
        </row>
        <row r="1126">
          <cell r="K1126">
            <v>0.16</v>
          </cell>
          <cell r="Q1126">
            <v>17</v>
          </cell>
          <cell r="R1126">
            <v>93</v>
          </cell>
          <cell r="S1126">
            <v>110</v>
          </cell>
        </row>
        <row r="1127">
          <cell r="K1127">
            <v>0.16</v>
          </cell>
          <cell r="Q1127">
            <v>13</v>
          </cell>
          <cell r="R1127">
            <v>64</v>
          </cell>
          <cell r="S1127">
            <v>77</v>
          </cell>
        </row>
        <row r="1128">
          <cell r="K1128">
            <v>0.16</v>
          </cell>
          <cell r="Q1128">
            <v>9</v>
          </cell>
          <cell r="R1128">
            <v>56</v>
          </cell>
          <cell r="S1128">
            <v>65</v>
          </cell>
        </row>
        <row r="1129">
          <cell r="K1129">
            <v>0.14000000000000001</v>
          </cell>
          <cell r="Q1129">
            <v>5</v>
          </cell>
          <cell r="R1129">
            <v>50</v>
          </cell>
          <cell r="S1129">
            <v>55</v>
          </cell>
        </row>
        <row r="1130">
          <cell r="K1130">
            <v>0.12</v>
          </cell>
          <cell r="Q1130">
            <v>5</v>
          </cell>
          <cell r="R1130">
            <v>44</v>
          </cell>
          <cell r="S1130">
            <v>49</v>
          </cell>
        </row>
        <row r="1131">
          <cell r="K1131">
            <v>0.12</v>
          </cell>
          <cell r="Q1131">
            <v>5</v>
          </cell>
          <cell r="R1131">
            <v>45</v>
          </cell>
          <cell r="S1131">
            <v>50</v>
          </cell>
        </row>
        <row r="1132">
          <cell r="K1132">
            <v>0.1</v>
          </cell>
          <cell r="Q1132">
            <v>4</v>
          </cell>
          <cell r="R1132">
            <v>31</v>
          </cell>
          <cell r="S1132">
            <v>35</v>
          </cell>
        </row>
        <row r="1133">
          <cell r="K1133">
            <v>0.1</v>
          </cell>
          <cell r="Q1133">
            <v>5</v>
          </cell>
          <cell r="R1133">
            <v>20</v>
          </cell>
          <cell r="S1133">
            <v>25</v>
          </cell>
        </row>
        <row r="1134">
          <cell r="K1134">
            <v>0.08</v>
          </cell>
          <cell r="Q1134">
            <v>5</v>
          </cell>
          <cell r="R1134">
            <v>23</v>
          </cell>
          <cell r="S1134">
            <v>28</v>
          </cell>
        </row>
        <row r="1135">
          <cell r="K1135">
            <v>0.06</v>
          </cell>
          <cell r="Q1135">
            <v>4</v>
          </cell>
          <cell r="R1135">
            <v>17</v>
          </cell>
          <cell r="S1135">
            <v>21</v>
          </cell>
        </row>
        <row r="1136">
          <cell r="K1136">
            <v>0.06</v>
          </cell>
          <cell r="Q1136">
            <v>0</v>
          </cell>
          <cell r="R1136">
            <v>7</v>
          </cell>
          <cell r="S1136">
            <v>7</v>
          </cell>
        </row>
        <row r="1137">
          <cell r="K1137">
            <v>0.04</v>
          </cell>
          <cell r="Q1137">
            <v>0</v>
          </cell>
          <cell r="R1137">
            <v>1</v>
          </cell>
          <cell r="S1137">
            <v>1</v>
          </cell>
        </row>
        <row r="1138">
          <cell r="K1138">
            <v>0.04</v>
          </cell>
          <cell r="Q1138">
            <v>0</v>
          </cell>
          <cell r="R1138">
            <v>1</v>
          </cell>
          <cell r="S1138">
            <v>1</v>
          </cell>
        </row>
        <row r="1139">
          <cell r="K1139">
            <v>0.02</v>
          </cell>
          <cell r="Q1139">
            <v>0</v>
          </cell>
          <cell r="R1139">
            <v>1</v>
          </cell>
          <cell r="S1139">
            <v>1</v>
          </cell>
        </row>
        <row r="1140">
          <cell r="K1140">
            <v>0.02</v>
          </cell>
          <cell r="Q1140">
            <v>0</v>
          </cell>
          <cell r="R1140">
            <v>5</v>
          </cell>
          <cell r="S1140">
            <v>5</v>
          </cell>
        </row>
        <row r="1141">
          <cell r="K1141">
            <v>0.02</v>
          </cell>
          <cell r="Q1141">
            <v>0</v>
          </cell>
          <cell r="R1141">
            <v>15</v>
          </cell>
          <cell r="S1141">
            <v>15</v>
          </cell>
        </row>
        <row r="1142">
          <cell r="K1142">
            <v>0.02</v>
          </cell>
          <cell r="Q1142">
            <v>5</v>
          </cell>
          <cell r="R1142">
            <v>79</v>
          </cell>
          <cell r="S1142">
            <v>84</v>
          </cell>
        </row>
        <row r="1143">
          <cell r="K1143">
            <v>0.04</v>
          </cell>
          <cell r="Q1143">
            <v>6</v>
          </cell>
          <cell r="R1143">
            <v>171</v>
          </cell>
          <cell r="S1143">
            <v>177</v>
          </cell>
        </row>
        <row r="1144">
          <cell r="K1144">
            <v>0.06</v>
          </cell>
          <cell r="Q1144">
            <v>4</v>
          </cell>
          <cell r="R1144">
            <v>98</v>
          </cell>
          <cell r="S1144">
            <v>102</v>
          </cell>
        </row>
        <row r="1145">
          <cell r="K1145">
            <v>0.1</v>
          </cell>
          <cell r="Q1145">
            <v>6</v>
          </cell>
          <cell r="R1145">
            <v>34</v>
          </cell>
          <cell r="S1145">
            <v>40</v>
          </cell>
        </row>
        <row r="1146">
          <cell r="K1146">
            <v>0.1</v>
          </cell>
          <cell r="Q1146">
            <v>3</v>
          </cell>
          <cell r="R1146">
            <v>43</v>
          </cell>
          <cell r="S1146">
            <v>46</v>
          </cell>
        </row>
        <row r="1147">
          <cell r="K1147">
            <v>0.12</v>
          </cell>
          <cell r="Q1147">
            <v>11</v>
          </cell>
          <cell r="R1147">
            <v>52</v>
          </cell>
          <cell r="S1147">
            <v>63</v>
          </cell>
        </row>
        <row r="1148">
          <cell r="K1148">
            <v>0.14000000000000001</v>
          </cell>
          <cell r="Q1148">
            <v>6</v>
          </cell>
          <cell r="R1148">
            <v>54</v>
          </cell>
          <cell r="S1148">
            <v>60</v>
          </cell>
        </row>
        <row r="1149">
          <cell r="K1149">
            <v>0.14000000000000001</v>
          </cell>
          <cell r="Q1149">
            <v>2</v>
          </cell>
          <cell r="R1149">
            <v>43</v>
          </cell>
          <cell r="S1149">
            <v>45</v>
          </cell>
        </row>
        <row r="1150">
          <cell r="K1150">
            <v>0.16</v>
          </cell>
          <cell r="Q1150">
            <v>7</v>
          </cell>
          <cell r="R1150">
            <v>50</v>
          </cell>
          <cell r="S1150">
            <v>57</v>
          </cell>
        </row>
        <row r="1151">
          <cell r="K1151">
            <v>0.16</v>
          </cell>
          <cell r="Q1151">
            <v>4</v>
          </cell>
          <cell r="R1151">
            <v>66</v>
          </cell>
          <cell r="S1151">
            <v>70</v>
          </cell>
        </row>
        <row r="1152">
          <cell r="K1152">
            <v>0.14000000000000001</v>
          </cell>
          <cell r="Q1152">
            <v>6</v>
          </cell>
          <cell r="R1152">
            <v>178</v>
          </cell>
          <cell r="S1152">
            <v>184</v>
          </cell>
        </row>
        <row r="1153">
          <cell r="K1153">
            <v>0.14000000000000001</v>
          </cell>
          <cell r="Q1153">
            <v>8</v>
          </cell>
          <cell r="R1153">
            <v>145</v>
          </cell>
          <cell r="S1153">
            <v>153</v>
          </cell>
        </row>
        <row r="1154">
          <cell r="K1154">
            <v>0.14000000000000001</v>
          </cell>
          <cell r="Q1154">
            <v>5</v>
          </cell>
          <cell r="R1154">
            <v>101</v>
          </cell>
          <cell r="S1154">
            <v>106</v>
          </cell>
        </row>
        <row r="1155">
          <cell r="K1155">
            <v>0.14000000000000001</v>
          </cell>
          <cell r="Q1155">
            <v>1</v>
          </cell>
          <cell r="R1155">
            <v>80</v>
          </cell>
          <cell r="S1155">
            <v>81</v>
          </cell>
        </row>
        <row r="1156">
          <cell r="K1156">
            <v>0.14000000000000001</v>
          </cell>
          <cell r="Q1156">
            <v>6</v>
          </cell>
          <cell r="R1156">
            <v>53</v>
          </cell>
          <cell r="S1156">
            <v>59</v>
          </cell>
        </row>
        <row r="1157">
          <cell r="K1157">
            <v>0.14000000000000001</v>
          </cell>
          <cell r="Q1157">
            <v>3</v>
          </cell>
          <cell r="R1157">
            <v>32</v>
          </cell>
          <cell r="S1157">
            <v>35</v>
          </cell>
        </row>
        <row r="1158">
          <cell r="K1158">
            <v>0.16</v>
          </cell>
          <cell r="Q1158">
            <v>3</v>
          </cell>
          <cell r="R1158">
            <v>21</v>
          </cell>
          <cell r="S1158">
            <v>24</v>
          </cell>
        </row>
        <row r="1159">
          <cell r="K1159">
            <v>0.16</v>
          </cell>
          <cell r="Q1159">
            <v>3</v>
          </cell>
          <cell r="R1159">
            <v>6</v>
          </cell>
          <cell r="S1159">
            <v>9</v>
          </cell>
        </row>
        <row r="1160">
          <cell r="K1160">
            <v>0.16</v>
          </cell>
          <cell r="Q1160">
            <v>0</v>
          </cell>
          <cell r="R1160">
            <v>5</v>
          </cell>
          <cell r="S1160">
            <v>5</v>
          </cell>
        </row>
        <row r="1161">
          <cell r="K1161">
            <v>0.16</v>
          </cell>
          <cell r="Q1161">
            <v>0</v>
          </cell>
          <cell r="R1161">
            <v>2</v>
          </cell>
          <cell r="S1161">
            <v>2</v>
          </cell>
        </row>
        <row r="1162">
          <cell r="K1162">
            <v>0.14000000000000001</v>
          </cell>
          <cell r="Q1162">
            <v>0</v>
          </cell>
          <cell r="R1162">
            <v>1</v>
          </cell>
          <cell r="S1162">
            <v>1</v>
          </cell>
        </row>
        <row r="1163">
          <cell r="K1163">
            <v>0.14000000000000001</v>
          </cell>
          <cell r="Q1163">
            <v>0</v>
          </cell>
          <cell r="R1163">
            <v>9</v>
          </cell>
          <cell r="S1163">
            <v>9</v>
          </cell>
        </row>
        <row r="1164">
          <cell r="K1164">
            <v>0.16</v>
          </cell>
          <cell r="Q1164">
            <v>1</v>
          </cell>
          <cell r="R1164">
            <v>35</v>
          </cell>
          <cell r="S1164">
            <v>36</v>
          </cell>
        </row>
        <row r="1165">
          <cell r="K1165">
            <v>0.16</v>
          </cell>
          <cell r="Q1165">
            <v>5</v>
          </cell>
          <cell r="R1165">
            <v>103</v>
          </cell>
          <cell r="S1165">
            <v>108</v>
          </cell>
        </row>
        <row r="1166">
          <cell r="K1166">
            <v>0.16</v>
          </cell>
          <cell r="Q1166">
            <v>5</v>
          </cell>
          <cell r="R1166">
            <v>233</v>
          </cell>
          <cell r="S1166">
            <v>238</v>
          </cell>
        </row>
        <row r="1167">
          <cell r="K1167">
            <v>0.2</v>
          </cell>
          <cell r="Q1167">
            <v>10</v>
          </cell>
          <cell r="R1167">
            <v>134</v>
          </cell>
          <cell r="S1167">
            <v>144</v>
          </cell>
        </row>
        <row r="1168">
          <cell r="K1168">
            <v>0.22</v>
          </cell>
          <cell r="Q1168">
            <v>6</v>
          </cell>
          <cell r="R1168">
            <v>49</v>
          </cell>
          <cell r="S1168">
            <v>55</v>
          </cell>
        </row>
        <row r="1169">
          <cell r="K1169">
            <v>0.24</v>
          </cell>
          <cell r="Q1169">
            <v>6</v>
          </cell>
          <cell r="R1169">
            <v>55</v>
          </cell>
          <cell r="S1169">
            <v>61</v>
          </cell>
        </row>
        <row r="1170">
          <cell r="K1170">
            <v>0.26</v>
          </cell>
          <cell r="Q1170">
            <v>21</v>
          </cell>
          <cell r="R1170">
            <v>85</v>
          </cell>
          <cell r="S1170">
            <v>106</v>
          </cell>
        </row>
        <row r="1171">
          <cell r="K1171">
            <v>0.26</v>
          </cell>
          <cell r="Q1171">
            <v>21</v>
          </cell>
          <cell r="R1171">
            <v>72</v>
          </cell>
          <cell r="S1171">
            <v>93</v>
          </cell>
        </row>
        <row r="1172">
          <cell r="K1172">
            <v>0.3</v>
          </cell>
          <cell r="Q1172">
            <v>11</v>
          </cell>
          <cell r="R1172">
            <v>57</v>
          </cell>
          <cell r="S1172">
            <v>68</v>
          </cell>
        </row>
        <row r="1173">
          <cell r="K1173">
            <v>0.32</v>
          </cell>
          <cell r="Q1173">
            <v>21</v>
          </cell>
          <cell r="R1173">
            <v>63</v>
          </cell>
          <cell r="S1173">
            <v>84</v>
          </cell>
        </row>
        <row r="1174">
          <cell r="K1174">
            <v>0.32</v>
          </cell>
          <cell r="Q1174">
            <v>14</v>
          </cell>
          <cell r="R1174">
            <v>102</v>
          </cell>
          <cell r="S1174">
            <v>116</v>
          </cell>
        </row>
        <row r="1175">
          <cell r="K1175">
            <v>0.3</v>
          </cell>
          <cell r="Q1175">
            <v>14</v>
          </cell>
          <cell r="R1175">
            <v>208</v>
          </cell>
          <cell r="S1175">
            <v>222</v>
          </cell>
        </row>
        <row r="1176">
          <cell r="K1176">
            <v>0.3</v>
          </cell>
          <cell r="Q1176">
            <v>7</v>
          </cell>
          <cell r="R1176">
            <v>218</v>
          </cell>
          <cell r="S1176">
            <v>225</v>
          </cell>
        </row>
        <row r="1177">
          <cell r="K1177">
            <v>0.26</v>
          </cell>
          <cell r="Q1177">
            <v>13</v>
          </cell>
          <cell r="R1177">
            <v>133</v>
          </cell>
          <cell r="S1177">
            <v>146</v>
          </cell>
        </row>
        <row r="1178">
          <cell r="K1178">
            <v>0.24</v>
          </cell>
          <cell r="Q1178">
            <v>16</v>
          </cell>
          <cell r="R1178">
            <v>103</v>
          </cell>
          <cell r="S1178">
            <v>119</v>
          </cell>
        </row>
        <row r="1179">
          <cell r="K1179">
            <v>0.24</v>
          </cell>
          <cell r="Q1179">
            <v>5</v>
          </cell>
          <cell r="R1179">
            <v>40</v>
          </cell>
          <cell r="S1179">
            <v>45</v>
          </cell>
        </row>
        <row r="1180">
          <cell r="K1180">
            <v>0.22</v>
          </cell>
          <cell r="Q1180">
            <v>4</v>
          </cell>
          <cell r="R1180">
            <v>49</v>
          </cell>
          <cell r="S1180">
            <v>53</v>
          </cell>
        </row>
        <row r="1181">
          <cell r="K1181">
            <v>0.22</v>
          </cell>
          <cell r="Q1181">
            <v>3</v>
          </cell>
          <cell r="R1181">
            <v>37</v>
          </cell>
          <cell r="S1181">
            <v>40</v>
          </cell>
        </row>
        <row r="1182">
          <cell r="K1182">
            <v>0.22</v>
          </cell>
          <cell r="Q1182">
            <v>3</v>
          </cell>
          <cell r="R1182">
            <v>14</v>
          </cell>
          <cell r="S1182">
            <v>17</v>
          </cell>
        </row>
        <row r="1183">
          <cell r="K1183">
            <v>0.24</v>
          </cell>
          <cell r="Q1183">
            <v>0</v>
          </cell>
          <cell r="R1183">
            <v>5</v>
          </cell>
          <cell r="S1183">
            <v>5</v>
          </cell>
        </row>
        <row r="1184">
          <cell r="K1184">
            <v>0.22</v>
          </cell>
          <cell r="Q1184">
            <v>3</v>
          </cell>
          <cell r="R1184">
            <v>7</v>
          </cell>
          <cell r="S1184">
            <v>10</v>
          </cell>
        </row>
        <row r="1185">
          <cell r="K1185">
            <v>0.22</v>
          </cell>
          <cell r="Q1185">
            <v>1</v>
          </cell>
          <cell r="R1185">
            <v>23</v>
          </cell>
          <cell r="S1185">
            <v>24</v>
          </cell>
        </row>
        <row r="1186">
          <cell r="K1186">
            <v>0.22</v>
          </cell>
          <cell r="Q1186">
            <v>2</v>
          </cell>
          <cell r="R1186">
            <v>82</v>
          </cell>
          <cell r="S1186">
            <v>84</v>
          </cell>
        </row>
        <row r="1187">
          <cell r="K1187">
            <v>0.2</v>
          </cell>
          <cell r="Q1187">
            <v>3</v>
          </cell>
          <cell r="R1187">
            <v>101</v>
          </cell>
          <cell r="S1187">
            <v>104</v>
          </cell>
        </row>
        <row r="1188">
          <cell r="K1188">
            <v>0.2</v>
          </cell>
          <cell r="Q1188">
            <v>3</v>
          </cell>
          <cell r="R1188">
            <v>76</v>
          </cell>
          <cell r="S1188">
            <v>79</v>
          </cell>
        </row>
        <row r="1189">
          <cell r="K1189">
            <v>0.18</v>
          </cell>
          <cell r="Q1189">
            <v>4</v>
          </cell>
          <cell r="R1189">
            <v>55</v>
          </cell>
          <cell r="S1189">
            <v>59</v>
          </cell>
        </row>
        <row r="1190">
          <cell r="K1190">
            <v>0.18</v>
          </cell>
          <cell r="Q1190">
            <v>2</v>
          </cell>
          <cell r="R1190">
            <v>36</v>
          </cell>
          <cell r="S1190">
            <v>38</v>
          </cell>
        </row>
        <row r="1191">
          <cell r="K1191">
            <v>0.18</v>
          </cell>
          <cell r="Q1191">
            <v>0</v>
          </cell>
          <cell r="R1191">
            <v>27</v>
          </cell>
          <cell r="S1191">
            <v>27</v>
          </cell>
        </row>
        <row r="1192">
          <cell r="K1192">
            <v>0.2</v>
          </cell>
          <cell r="Q1192">
            <v>0</v>
          </cell>
          <cell r="R1192">
            <v>9</v>
          </cell>
          <cell r="S1192">
            <v>9</v>
          </cell>
        </row>
        <row r="1193">
          <cell r="K1193">
            <v>0.2</v>
          </cell>
          <cell r="Q1193">
            <v>1</v>
          </cell>
          <cell r="R1193">
            <v>2</v>
          </cell>
          <cell r="S1193">
            <v>3</v>
          </cell>
        </row>
        <row r="1194">
          <cell r="K1194">
            <v>0.2</v>
          </cell>
          <cell r="Q1194">
            <v>0</v>
          </cell>
          <cell r="R1194">
            <v>2</v>
          </cell>
          <cell r="S1194">
            <v>2</v>
          </cell>
        </row>
        <row r="1195">
          <cell r="K1195">
            <v>0.2</v>
          </cell>
          <cell r="Q1195">
            <v>1</v>
          </cell>
          <cell r="R1195">
            <v>0</v>
          </cell>
          <cell r="S1195">
            <v>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Data"/>
      <sheetName val="Analysis"/>
    </sheetNames>
    <sheetDataSet>
      <sheetData sheetId="0"/>
      <sheetData sheetId="1"/>
      <sheetData sheetId="2">
        <row r="6">
          <cell r="B6">
            <v>724</v>
          </cell>
          <cell r="C6">
            <v>14.196078431372548</v>
          </cell>
          <cell r="G6">
            <v>7626</v>
          </cell>
          <cell r="H6">
            <v>40.563829787234042</v>
          </cell>
        </row>
        <row r="7">
          <cell r="B7">
            <v>478</v>
          </cell>
          <cell r="C7">
            <v>9.1923076923076916</v>
          </cell>
          <cell r="G7">
            <v>10172</v>
          </cell>
          <cell r="H7">
            <v>54.688172043010752</v>
          </cell>
        </row>
        <row r="8">
          <cell r="B8">
            <v>340</v>
          </cell>
          <cell r="C8">
            <v>7.083333333333333</v>
          </cell>
          <cell r="G8">
            <v>10986</v>
          </cell>
          <cell r="H8">
            <v>68.662499999999994</v>
          </cell>
        </row>
        <row r="9">
          <cell r="B9">
            <v>152</v>
          </cell>
          <cell r="C9">
            <v>4.75</v>
          </cell>
          <cell r="G9">
            <v>9836</v>
          </cell>
          <cell r="H9">
            <v>58.547619047619051</v>
          </cell>
        </row>
        <row r="10">
          <cell r="B10">
            <v>76</v>
          </cell>
          <cell r="C10">
            <v>1.9</v>
          </cell>
          <cell r="G10">
            <v>10740</v>
          </cell>
          <cell r="H10">
            <v>67.974683544303801</v>
          </cell>
        </row>
        <row r="11">
          <cell r="B11">
            <v>190</v>
          </cell>
          <cell r="C11">
            <v>3.9583333333333335</v>
          </cell>
          <cell r="G11">
            <v>10090</v>
          </cell>
          <cell r="H11">
            <v>59.352941176470587</v>
          </cell>
        </row>
        <row r="12">
          <cell r="B12">
            <v>952</v>
          </cell>
          <cell r="C12">
            <v>18.307692307692307</v>
          </cell>
          <cell r="G12">
            <v>8346</v>
          </cell>
          <cell r="H12">
            <v>43.926315789473684</v>
          </cell>
        </row>
        <row r="13">
          <cell r="B13">
            <v>2786</v>
          </cell>
          <cell r="C13">
            <v>53.57692307692308</v>
          </cell>
        </row>
        <row r="14">
          <cell r="B14">
            <v>6636</v>
          </cell>
          <cell r="C14">
            <v>127.61538461538461</v>
          </cell>
        </row>
        <row r="15">
          <cell r="B15">
            <v>4392</v>
          </cell>
          <cell r="C15">
            <v>84.461538461538467</v>
          </cell>
        </row>
        <row r="16">
          <cell r="B16">
            <v>2602</v>
          </cell>
          <cell r="C16">
            <v>50.03846153846154</v>
          </cell>
        </row>
        <row r="17">
          <cell r="B17">
            <v>2910</v>
          </cell>
          <cell r="C17">
            <v>55.96153846153846</v>
          </cell>
        </row>
        <row r="18">
          <cell r="B18">
            <v>3872</v>
          </cell>
          <cell r="C18">
            <v>71.703703703703709</v>
          </cell>
        </row>
        <row r="19">
          <cell r="B19">
            <v>4030</v>
          </cell>
          <cell r="C19">
            <v>74.629629629629633</v>
          </cell>
        </row>
        <row r="20">
          <cell r="B20">
            <v>3654</v>
          </cell>
          <cell r="C20">
            <v>67.666666666666671</v>
          </cell>
        </row>
        <row r="21">
          <cell r="B21">
            <v>3868</v>
          </cell>
          <cell r="C21">
            <v>71.629629629629633</v>
          </cell>
        </row>
        <row r="22">
          <cell r="B22">
            <v>4400</v>
          </cell>
          <cell r="C22">
            <v>81.481481481481481</v>
          </cell>
        </row>
        <row r="23">
          <cell r="B23">
            <v>7100</v>
          </cell>
          <cell r="C23">
            <v>131.4814814814815</v>
          </cell>
        </row>
        <row r="24">
          <cell r="B24">
            <v>6164</v>
          </cell>
          <cell r="C24">
            <v>118.53846153846153</v>
          </cell>
        </row>
        <row r="25">
          <cell r="B25">
            <v>4426</v>
          </cell>
          <cell r="C25">
            <v>85.115384615384613</v>
          </cell>
        </row>
        <row r="26">
          <cell r="B26">
            <v>3082</v>
          </cell>
          <cell r="C26">
            <v>59.269230769230766</v>
          </cell>
        </row>
        <row r="27">
          <cell r="B27">
            <v>2150</v>
          </cell>
          <cell r="C27">
            <v>41.346153846153847</v>
          </cell>
        </row>
        <row r="28">
          <cell r="B28">
            <v>1676</v>
          </cell>
          <cell r="C28">
            <v>32.230769230769234</v>
          </cell>
        </row>
        <row r="29">
          <cell r="B29">
            <v>1120</v>
          </cell>
          <cell r="C29">
            <v>21.53846153846154</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nal%20Projects/NextHike%20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vind bhujade" refreshedDate="46224.835797569445" createdVersion="7" refreshedVersion="7" minRefreshableVersion="3" recordCount="1194" xr:uid="{225CF139-E21D-427F-A59F-FA99959057B8}">
  <cacheSource type="worksheet">
    <worksheetSource name="Table8_2" r:id="rId2"/>
  </cacheSource>
  <cacheFields count="19">
    <cacheField name="instant" numFmtId="0">
      <sharedItems containsSemiMixedTypes="0" containsString="0" containsNumber="1" containsInteger="1" minValue="1" maxValue="1220"/>
    </cacheField>
    <cacheField name="dteday" numFmtId="14">
      <sharedItems containsSemiMixedTypes="0" containsNonDate="0" containsDate="1" containsString="0" minDate="2011-01-01T00:00:00" maxDate="2011-01-29T00:00:00" count="28">
        <d v="2011-01-01T00:00:00"/>
        <d v="2011-01-02T00:00:00"/>
        <d v="2011-01-08T00:00:00"/>
        <d v="2011-01-11T00:00:00"/>
        <d v="2011-01-12T00:00:00"/>
        <d v="2011-01-17T00:00:00"/>
        <d v="2011-01-18T00:00:00"/>
        <d v="2011-01-19T00:00:00"/>
        <d v="2011-01-21T00:00:00"/>
        <d v="2011-01-26T00:00:00"/>
        <d v="2011-01-28T00:00:00"/>
        <d v="2011-01-27T00:00:00"/>
        <d v="2011-01-03T00:00:00"/>
        <d v="2011-01-04T00:00:00"/>
        <d v="2011-01-05T00:00:00"/>
        <d v="2011-01-06T00:00:00"/>
        <d v="2011-01-07T00:00:00"/>
        <d v="2011-01-09T00:00:00"/>
        <d v="2011-01-10T00:00:00"/>
        <d v="2011-01-13T00:00:00"/>
        <d v="2011-01-14T00:00:00"/>
        <d v="2011-01-15T00:00:00"/>
        <d v="2011-01-16T00:00:00"/>
        <d v="2011-01-20T00:00:00"/>
        <d v="2011-01-22T00:00:00"/>
        <d v="2011-01-23T00:00:00"/>
        <d v="2011-01-24T00:00:00"/>
        <d v="2011-01-25T00:00:00"/>
      </sharedItems>
    </cacheField>
    <cacheField name="season" numFmtId="0">
      <sharedItems containsSemiMixedTypes="0" containsString="0" containsNumber="1" containsInteger="1" minValue="1" maxValue="1"/>
    </cacheField>
    <cacheField name="month" numFmtId="0">
      <sharedItems containsSemiMixedTypes="0" containsString="0" containsNumber="1" containsInteger="1" minValue="1" maxValue="1"/>
    </cacheField>
    <cacheField name="hours" numFmtId="0">
      <sharedItems containsSemiMixedTypes="0" containsString="0" containsNumber="1" containsInteger="1" minValue="0" maxValue="23" count="24">
        <n v="1"/>
        <n v="2"/>
        <n v="7"/>
        <n v="11"/>
        <n v="16"/>
        <n v="18"/>
        <n v="19"/>
        <n v="20"/>
        <n v="21"/>
        <n v="22"/>
        <n v="0"/>
        <n v="3"/>
        <n v="10"/>
        <n v="15"/>
        <n v="8"/>
        <n v="9"/>
        <n v="17"/>
        <n v="23"/>
        <n v="5"/>
        <n v="6"/>
        <n v="12"/>
        <n v="13"/>
        <n v="4"/>
        <n v="14"/>
      </sharedItems>
    </cacheField>
    <cacheField name="holiday" numFmtId="0">
      <sharedItems/>
    </cacheField>
    <cacheField name="Holidays" numFmtId="0">
      <sharedItems/>
    </cacheField>
    <cacheField name="weekday" numFmtId="0">
      <sharedItems containsSemiMixedTypes="0" containsString="0" containsNumber="1" containsInteger="1" minValue="0" maxValue="6"/>
    </cacheField>
    <cacheField name="Week by Days" numFmtId="0">
      <sharedItems count="7">
        <s v="sunday"/>
        <s v="Saturday"/>
        <s v="Tuesday"/>
        <s v="Wednesday"/>
        <s v="Monday"/>
        <s v="Friday"/>
        <s v="Thursday"/>
      </sharedItems>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Temperature" numFmtId="0">
      <sharedItems count="2">
        <s v="Cold"/>
        <s v="Hot"/>
      </sharedItems>
    </cacheField>
    <cacheField name="atemp" numFmtId="0">
      <sharedItems containsSemiMixedTypes="0" containsString="0" containsNumber="1" minValue="1.52E-2" maxValue="0.45450000000000002"/>
    </cacheField>
    <cacheField name="hum" numFmtId="0">
      <sharedItems containsSemiMixedTypes="0" containsString="0" containsNumber="1" minValue="0.21" maxValue="1" count="61">
        <n v="0.81"/>
        <n v="0.8"/>
        <n v="0.86"/>
        <n v="0.82"/>
        <n v="0.88"/>
        <n v="0.87"/>
        <n v="0.94"/>
        <n v="1"/>
        <n v="0.93"/>
        <n v="0.92"/>
        <n v="0.75"/>
        <n v="0.76"/>
        <n v="0.77"/>
        <n v="0.72"/>
        <n v="0.71"/>
        <n v="0.66"/>
        <n v="0.56999999999999995"/>
        <n v="0.46"/>
        <n v="0.42"/>
        <n v="0.44"/>
        <n v="0.47"/>
        <n v="0.5"/>
        <n v="0.43"/>
        <n v="0.4"/>
        <n v="0.35"/>
        <n v="0.3"/>
        <n v="0.32"/>
        <n v="0.64"/>
        <n v="0.69"/>
        <n v="0.55000000000000004"/>
        <n v="0.59"/>
        <n v="0.63"/>
        <n v="0.68"/>
        <n v="0.74"/>
        <n v="0.51"/>
        <n v="0.56000000000000005"/>
        <n v="0.52"/>
        <n v="0.49"/>
        <n v="0.48"/>
        <n v="0.37"/>
        <n v="0.33"/>
        <n v="0.28000000000000003"/>
        <n v="0.38"/>
        <n v="0.36"/>
        <n v="0.28999999999999998"/>
        <n v="0.39"/>
        <n v="0.53"/>
        <n v="0.34"/>
        <n v="0.54"/>
        <n v="0.41"/>
        <n v="0.45"/>
        <n v="0.62"/>
        <n v="0.57999999999999996"/>
        <n v="0.61"/>
        <n v="0.6"/>
        <n v="0.65"/>
        <n v="0.7"/>
        <n v="0.27"/>
        <n v="0.21"/>
        <n v="0.25"/>
        <n v="0.26"/>
      </sharedItems>
    </cacheField>
    <cacheField name="HUMIDITY" numFmtId="0">
      <sharedItems count="3">
        <s v="high humid"/>
        <s v="humid"/>
        <s v="low humid"/>
      </sharedItems>
    </cacheField>
    <cacheField name="windspeed" numFmtId="0">
      <sharedItems containsSemiMixedTypes="0" containsString="0" containsNumber="1" minValue="0" maxValue="0.58209999999999995" count="20">
        <n v="0"/>
        <n v="0.28360000000000002"/>
        <n v="0.29849999999999999"/>
        <n v="0.25369999999999998"/>
        <n v="0.19400000000000001"/>
        <n v="0.22389999999999999"/>
        <n v="0.16420000000000001"/>
        <n v="0.1045"/>
        <n v="8.9599999999999999E-2"/>
        <n v="0.1343"/>
        <n v="0.32840000000000003"/>
        <n v="0.35820000000000002"/>
        <n v="0.4627"/>
        <n v="0.44779999999999998"/>
        <n v="0.3881"/>
        <n v="0.49249999999999999"/>
        <n v="0.55220000000000002"/>
        <n v="0.41789999999999999"/>
        <n v="0.52239999999999998"/>
        <n v="0.58209999999999995"/>
      </sharedItems>
    </cacheField>
    <cacheField name="casual" numFmtId="0">
      <sharedItems containsSemiMixedTypes="0" containsString="0" containsNumber="1" containsInteger="1" minValue="0" maxValue="47" count="32">
        <n v="3"/>
        <n v="5"/>
        <n v="1"/>
        <n v="26"/>
        <n v="41"/>
        <n v="9"/>
        <n v="6"/>
        <n v="11"/>
        <n v="4"/>
        <n v="2"/>
        <n v="7"/>
        <n v="19"/>
        <n v="0"/>
        <n v="8"/>
        <n v="12"/>
        <n v="29"/>
        <n v="47"/>
        <n v="35"/>
        <n v="40"/>
        <n v="16"/>
        <n v="20"/>
        <n v="10"/>
        <n v="13"/>
        <n v="14"/>
        <n v="18"/>
        <n v="17"/>
        <n v="15"/>
        <n v="21"/>
        <n v="33"/>
        <n v="23"/>
        <n v="22"/>
        <n v="24"/>
      </sharedItems>
    </cacheField>
    <cacheField name="registered" numFmtId="0">
      <sharedItems containsSemiMixedTypes="0" containsString="0" containsNumber="1" containsInteger="1" minValue="0" maxValue="247" count="150">
        <n v="13"/>
        <n v="27"/>
        <n v="2"/>
        <n v="30"/>
        <n v="52"/>
        <n v="26"/>
        <n v="31"/>
        <n v="25"/>
        <n v="17"/>
        <n v="16"/>
        <n v="8"/>
        <n v="4"/>
        <n v="46"/>
        <n v="55"/>
        <n v="15"/>
        <n v="20"/>
        <n v="72"/>
        <n v="130"/>
        <n v="94"/>
        <n v="51"/>
        <n v="32"/>
        <n v="28"/>
        <n v="18"/>
        <n v="7"/>
        <n v="6"/>
        <n v="1"/>
        <n v="5"/>
        <n v="3"/>
        <n v="22"/>
        <n v="61"/>
        <n v="124"/>
        <n v="83"/>
        <n v="41"/>
        <n v="33"/>
        <n v="19"/>
        <n v="89"/>
        <n v="196"/>
        <n v="107"/>
        <n v="47"/>
        <n v="65"/>
        <n v="29"/>
        <n v="69"/>
        <n v="35"/>
        <n v="43"/>
        <n v="36"/>
        <n v="42"/>
        <n v="58"/>
        <n v="155"/>
        <n v="95"/>
        <n v="49"/>
        <n v="40"/>
        <n v="0"/>
        <n v="56"/>
        <n v="45"/>
        <n v="24"/>
        <n v="132"/>
        <n v="98"/>
        <n v="10"/>
        <n v="71"/>
        <n v="70"/>
        <n v="54"/>
        <n v="73"/>
        <n v="64"/>
        <n v="67"/>
        <n v="9"/>
        <n v="63"/>
        <n v="153"/>
        <n v="81"/>
        <n v="48"/>
        <n v="66"/>
        <n v="146"/>
        <n v="148"/>
        <n v="102"/>
        <n v="11"/>
        <n v="92"/>
        <n v="177"/>
        <n v="37"/>
        <n v="50"/>
        <n v="79"/>
        <n v="68"/>
        <n v="202"/>
        <n v="179"/>
        <n v="110"/>
        <n v="53"/>
        <n v="34"/>
        <n v="87"/>
        <n v="192"/>
        <n v="109"/>
        <n v="74"/>
        <n v="85"/>
        <n v="186"/>
        <n v="166"/>
        <n v="127"/>
        <n v="82"/>
        <n v="216"/>
        <n v="116"/>
        <n v="57"/>
        <n v="78"/>
        <n v="59"/>
        <n v="163"/>
        <n v="158"/>
        <n v="76"/>
        <n v="190"/>
        <n v="125"/>
        <n v="178"/>
        <n v="39"/>
        <n v="14"/>
        <n v="60"/>
        <n v="90"/>
        <n v="12"/>
        <n v="77"/>
        <n v="44"/>
        <n v="38"/>
        <n v="75"/>
        <n v="184"/>
        <n v="174"/>
        <n v="154"/>
        <n v="97"/>
        <n v="214"/>
        <n v="139"/>
        <n v="135"/>
        <n v="197"/>
        <n v="137"/>
        <n v="141"/>
        <n v="156"/>
        <n v="117"/>
        <n v="134"/>
        <n v="80"/>
        <n v="108"/>
        <n v="100"/>
        <n v="247"/>
        <n v="140"/>
        <n v="86"/>
        <n v="62"/>
        <n v="207"/>
        <n v="210"/>
        <n v="159"/>
        <n v="151"/>
        <n v="119"/>
        <n v="93"/>
        <n v="23"/>
        <n v="171"/>
        <n v="145"/>
        <n v="101"/>
        <n v="21"/>
        <n v="103"/>
        <n v="233"/>
        <n v="208"/>
        <n v="218"/>
        <n v="133"/>
      </sharedItems>
    </cacheField>
    <cacheField name="cnt" numFmtId="0">
      <sharedItems containsSemiMixedTypes="0" containsString="0" containsNumber="1" containsInteger="1" minValue="1" maxValue="249" count="165">
        <n v="16"/>
        <n v="32"/>
        <n v="3"/>
        <n v="56"/>
        <n v="93"/>
        <n v="35"/>
        <n v="37"/>
        <n v="36"/>
        <n v="34"/>
        <n v="28"/>
        <n v="17"/>
        <n v="9"/>
        <n v="6"/>
        <n v="53"/>
        <n v="74"/>
        <n v="15"/>
        <n v="20"/>
        <n v="76"/>
        <n v="136"/>
        <n v="95"/>
        <n v="51"/>
        <n v="29"/>
        <n v="19"/>
        <n v="7"/>
        <n v="1"/>
        <n v="5"/>
        <n v="13"/>
        <n v="4"/>
        <n v="22"/>
        <n v="61"/>
        <n v="125"/>
        <n v="83"/>
        <n v="41"/>
        <n v="33"/>
        <n v="2"/>
        <n v="90"/>
        <n v="197"/>
        <n v="109"/>
        <n v="47"/>
        <n v="52"/>
        <n v="70"/>
        <n v="8"/>
        <n v="30"/>
        <n v="72"/>
        <n v="58"/>
        <n v="48"/>
        <n v="43"/>
        <n v="26"/>
        <n v="60"/>
        <n v="157"/>
        <n v="101"/>
        <n v="49"/>
        <n v="31"/>
        <n v="40"/>
        <n v="27"/>
        <n v="133"/>
        <n v="99"/>
        <n v="38"/>
        <n v="14"/>
        <n v="84"/>
        <n v="94"/>
        <n v="106"/>
        <n v="110"/>
        <n v="75"/>
        <n v="65"/>
        <n v="64"/>
        <n v="154"/>
        <n v="88"/>
        <n v="44"/>
        <n v="77"/>
        <n v="12"/>
        <n v="179"/>
        <n v="100"/>
        <n v="42"/>
        <n v="57"/>
        <n v="78"/>
        <n v="97"/>
        <n v="63"/>
        <n v="212"/>
        <n v="182"/>
        <n v="112"/>
        <n v="54"/>
        <n v="11"/>
        <n v="195"/>
        <n v="115"/>
        <n v="46"/>
        <n v="79"/>
        <n v="71"/>
        <n v="62"/>
        <n v="89"/>
        <n v="190"/>
        <n v="169"/>
        <n v="132"/>
        <n v="219"/>
        <n v="122"/>
        <n v="45"/>
        <n v="59"/>
        <n v="67"/>
        <n v="86"/>
        <n v="172"/>
        <n v="163"/>
        <n v="69"/>
        <n v="23"/>
        <n v="210"/>
        <n v="134"/>
        <n v="73"/>
        <n v="50"/>
        <n v="87"/>
        <n v="187"/>
        <n v="123"/>
        <n v="39"/>
        <n v="25"/>
        <n v="98"/>
        <n v="102"/>
        <n v="55"/>
        <n v="10"/>
        <n v="82"/>
        <n v="92"/>
        <n v="188"/>
        <n v="178"/>
        <n v="155"/>
        <n v="24"/>
        <n v="18"/>
        <n v="217"/>
        <n v="130"/>
        <n v="128"/>
        <n v="81"/>
        <n v="68"/>
        <n v="139"/>
        <n v="137"/>
        <n v="202"/>
        <n v="162"/>
        <n v="144"/>
        <n v="158"/>
        <n v="117"/>
        <n v="159"/>
        <n v="118"/>
        <n v="129"/>
        <n v="104"/>
        <n v="91"/>
        <n v="113"/>
        <n v="105"/>
        <n v="21"/>
        <n v="80"/>
        <n v="161"/>
        <n v="249"/>
        <n v="143"/>
        <n v="215"/>
        <n v="185"/>
        <n v="152"/>
        <n v="126"/>
        <n v="166"/>
        <n v="120"/>
        <n v="96"/>
        <n v="103"/>
        <n v="116"/>
        <n v="177"/>
        <n v="184"/>
        <n v="153"/>
        <n v="108"/>
        <n v="238"/>
        <n v="222"/>
        <n v="225"/>
        <n v="146"/>
        <n v="119"/>
      </sharedItems>
    </cacheField>
  </cacheFields>
  <extLst>
    <ext xmlns:x14="http://schemas.microsoft.com/office/spreadsheetml/2009/9/main" uri="{725AE2AE-9491-48be-B2B4-4EB974FC3084}">
      <x14:pivotCacheDefinition pivotCacheId="924217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n v="1"/>
    <x v="0"/>
    <n v="1"/>
    <n v="1"/>
    <x v="0"/>
    <b v="0"/>
    <s v="Working"/>
    <n v="6"/>
    <x v="0"/>
    <n v="1"/>
    <n v="0.24"/>
    <x v="0"/>
    <n v="0.28789999999999999"/>
    <x v="0"/>
    <x v="0"/>
    <x v="0"/>
    <x v="0"/>
    <x v="0"/>
    <x v="0"/>
  </r>
  <r>
    <n v="3"/>
    <x v="0"/>
    <n v="1"/>
    <n v="1"/>
    <x v="1"/>
    <b v="0"/>
    <s v="Working"/>
    <n v="6"/>
    <x v="0"/>
    <n v="1"/>
    <n v="0.22"/>
    <x v="0"/>
    <n v="0.2727"/>
    <x v="1"/>
    <x v="0"/>
    <x v="0"/>
    <x v="1"/>
    <x v="1"/>
    <x v="1"/>
  </r>
  <r>
    <n v="8"/>
    <x v="0"/>
    <n v="1"/>
    <n v="1"/>
    <x v="2"/>
    <b v="0"/>
    <s v="Working"/>
    <n v="6"/>
    <x v="0"/>
    <n v="1"/>
    <n v="0.2"/>
    <x v="0"/>
    <n v="0.2576"/>
    <x v="2"/>
    <x v="0"/>
    <x v="0"/>
    <x v="2"/>
    <x v="2"/>
    <x v="2"/>
  </r>
  <r>
    <n v="12"/>
    <x v="0"/>
    <n v="1"/>
    <n v="1"/>
    <x v="3"/>
    <b v="0"/>
    <s v="Working"/>
    <n v="6"/>
    <x v="0"/>
    <n v="1"/>
    <n v="0.36"/>
    <x v="1"/>
    <n v="0.33329999999999999"/>
    <x v="0"/>
    <x v="0"/>
    <x v="1"/>
    <x v="3"/>
    <x v="3"/>
    <x v="3"/>
  </r>
  <r>
    <n v="17"/>
    <x v="0"/>
    <n v="1"/>
    <n v="1"/>
    <x v="4"/>
    <b v="0"/>
    <s v="Working"/>
    <n v="6"/>
    <x v="0"/>
    <n v="2"/>
    <n v="0.42"/>
    <x v="1"/>
    <n v="0.42420000000000002"/>
    <x v="3"/>
    <x v="0"/>
    <x v="2"/>
    <x v="4"/>
    <x v="4"/>
    <x v="4"/>
  </r>
  <r>
    <n v="19"/>
    <x v="0"/>
    <n v="1"/>
    <n v="1"/>
    <x v="5"/>
    <b v="0"/>
    <s v="Working"/>
    <n v="6"/>
    <x v="0"/>
    <n v="3"/>
    <n v="0.42"/>
    <x v="1"/>
    <n v="0.42420000000000002"/>
    <x v="4"/>
    <x v="0"/>
    <x v="3"/>
    <x v="5"/>
    <x v="5"/>
    <x v="5"/>
  </r>
  <r>
    <n v="20"/>
    <x v="0"/>
    <n v="1"/>
    <n v="1"/>
    <x v="6"/>
    <b v="0"/>
    <s v="Working"/>
    <n v="6"/>
    <x v="0"/>
    <n v="3"/>
    <n v="0.42"/>
    <x v="1"/>
    <n v="0.42420000000000002"/>
    <x v="4"/>
    <x v="0"/>
    <x v="3"/>
    <x v="6"/>
    <x v="6"/>
    <x v="6"/>
  </r>
  <r>
    <n v="21"/>
    <x v="0"/>
    <n v="1"/>
    <n v="1"/>
    <x v="7"/>
    <b v="0"/>
    <s v="Working"/>
    <n v="6"/>
    <x v="0"/>
    <n v="2"/>
    <n v="0.4"/>
    <x v="1"/>
    <n v="0.40910000000000002"/>
    <x v="5"/>
    <x v="0"/>
    <x v="3"/>
    <x v="7"/>
    <x v="7"/>
    <x v="7"/>
  </r>
  <r>
    <n v="22"/>
    <x v="0"/>
    <n v="1"/>
    <n v="1"/>
    <x v="8"/>
    <b v="0"/>
    <s v="Working"/>
    <n v="6"/>
    <x v="0"/>
    <n v="2"/>
    <n v="0.4"/>
    <x v="1"/>
    <n v="0.40910000000000002"/>
    <x v="5"/>
    <x v="0"/>
    <x v="4"/>
    <x v="0"/>
    <x v="6"/>
    <x v="8"/>
  </r>
  <r>
    <n v="23"/>
    <x v="0"/>
    <n v="1"/>
    <n v="1"/>
    <x v="9"/>
    <b v="0"/>
    <s v="Working"/>
    <n v="6"/>
    <x v="0"/>
    <n v="2"/>
    <n v="0.4"/>
    <x v="1"/>
    <n v="0.40910000000000002"/>
    <x v="6"/>
    <x v="0"/>
    <x v="5"/>
    <x v="7"/>
    <x v="8"/>
    <x v="9"/>
  </r>
  <r>
    <n v="25"/>
    <x v="1"/>
    <n v="1"/>
    <n v="1"/>
    <x v="10"/>
    <b v="0"/>
    <s v="Working"/>
    <n v="0"/>
    <x v="1"/>
    <n v="2"/>
    <n v="0.46"/>
    <x v="1"/>
    <n v="0.45450000000000002"/>
    <x v="4"/>
    <x v="0"/>
    <x v="2"/>
    <x v="8"/>
    <x v="0"/>
    <x v="10"/>
  </r>
  <r>
    <n v="26"/>
    <x v="1"/>
    <n v="1"/>
    <n v="1"/>
    <x v="0"/>
    <b v="0"/>
    <s v="Working"/>
    <n v="0"/>
    <x v="1"/>
    <n v="2"/>
    <n v="0.44"/>
    <x v="1"/>
    <n v="0.43940000000000001"/>
    <x v="6"/>
    <x v="0"/>
    <x v="3"/>
    <x v="2"/>
    <x v="9"/>
    <x v="10"/>
  </r>
  <r>
    <n v="27"/>
    <x v="1"/>
    <n v="1"/>
    <n v="1"/>
    <x v="1"/>
    <b v="0"/>
    <s v="Working"/>
    <n v="0"/>
    <x v="1"/>
    <n v="2"/>
    <n v="0.42"/>
    <x v="1"/>
    <n v="0.42420000000000002"/>
    <x v="7"/>
    <x v="0"/>
    <x v="1"/>
    <x v="2"/>
    <x v="10"/>
    <x v="11"/>
  </r>
  <r>
    <n v="28"/>
    <x v="1"/>
    <n v="1"/>
    <n v="1"/>
    <x v="11"/>
    <b v="0"/>
    <s v="Working"/>
    <n v="0"/>
    <x v="1"/>
    <n v="2"/>
    <n v="0.46"/>
    <x v="1"/>
    <n v="0.45450000000000002"/>
    <x v="6"/>
    <x v="0"/>
    <x v="4"/>
    <x v="9"/>
    <x v="11"/>
    <x v="12"/>
  </r>
  <r>
    <n v="34"/>
    <x v="1"/>
    <n v="1"/>
    <n v="1"/>
    <x v="12"/>
    <b v="0"/>
    <s v="Working"/>
    <n v="0"/>
    <x v="1"/>
    <n v="2"/>
    <n v="0.36"/>
    <x v="1"/>
    <n v="0.34849999999999998"/>
    <x v="0"/>
    <x v="0"/>
    <x v="5"/>
    <x v="10"/>
    <x v="12"/>
    <x v="13"/>
  </r>
  <r>
    <n v="39"/>
    <x v="1"/>
    <n v="1"/>
    <n v="1"/>
    <x v="13"/>
    <b v="0"/>
    <s v="Working"/>
    <n v="0"/>
    <x v="1"/>
    <n v="3"/>
    <n v="0.34"/>
    <x v="1"/>
    <n v="0.33329999999999999"/>
    <x v="0"/>
    <x v="0"/>
    <x v="6"/>
    <x v="11"/>
    <x v="13"/>
    <x v="14"/>
  </r>
  <r>
    <n v="170"/>
    <x v="2"/>
    <n v="1"/>
    <n v="1"/>
    <x v="14"/>
    <b v="0"/>
    <s v="Working"/>
    <n v="6"/>
    <x v="0"/>
    <n v="3"/>
    <n v="0.16"/>
    <x v="0"/>
    <n v="0.18179999999999999"/>
    <x v="8"/>
    <x v="0"/>
    <x v="7"/>
    <x v="12"/>
    <x v="14"/>
    <x v="15"/>
  </r>
  <r>
    <n v="171"/>
    <x v="2"/>
    <n v="1"/>
    <n v="1"/>
    <x v="15"/>
    <b v="0"/>
    <s v="Working"/>
    <n v="6"/>
    <x v="0"/>
    <n v="3"/>
    <n v="0.16"/>
    <x v="0"/>
    <n v="0.18179999999999999"/>
    <x v="8"/>
    <x v="0"/>
    <x v="7"/>
    <x v="12"/>
    <x v="15"/>
    <x v="16"/>
  </r>
  <r>
    <n v="248"/>
    <x v="3"/>
    <n v="1"/>
    <n v="1"/>
    <x v="4"/>
    <b v="0"/>
    <s v="Working"/>
    <n v="2"/>
    <x v="2"/>
    <n v="2"/>
    <n v="0.16"/>
    <x v="0"/>
    <n v="0.1515"/>
    <x v="2"/>
    <x v="0"/>
    <x v="5"/>
    <x v="8"/>
    <x v="16"/>
    <x v="17"/>
  </r>
  <r>
    <n v="249"/>
    <x v="3"/>
    <n v="1"/>
    <n v="1"/>
    <x v="16"/>
    <b v="0"/>
    <s v="Working"/>
    <n v="2"/>
    <x v="2"/>
    <n v="2"/>
    <n v="0.16"/>
    <x v="0"/>
    <n v="0.1515"/>
    <x v="2"/>
    <x v="0"/>
    <x v="5"/>
    <x v="6"/>
    <x v="17"/>
    <x v="18"/>
  </r>
  <r>
    <n v="250"/>
    <x v="3"/>
    <n v="1"/>
    <n v="1"/>
    <x v="5"/>
    <b v="0"/>
    <s v="Working"/>
    <n v="2"/>
    <x v="2"/>
    <n v="3"/>
    <n v="0.16"/>
    <x v="0"/>
    <n v="0.18179999999999999"/>
    <x v="8"/>
    <x v="0"/>
    <x v="7"/>
    <x v="2"/>
    <x v="18"/>
    <x v="19"/>
  </r>
  <r>
    <n v="251"/>
    <x v="3"/>
    <n v="1"/>
    <n v="1"/>
    <x v="6"/>
    <b v="0"/>
    <s v="Working"/>
    <n v="2"/>
    <x v="2"/>
    <n v="3"/>
    <n v="0.16"/>
    <x v="0"/>
    <n v="0.2273"/>
    <x v="8"/>
    <x v="0"/>
    <x v="0"/>
    <x v="12"/>
    <x v="19"/>
    <x v="20"/>
  </r>
  <r>
    <n v="252"/>
    <x v="3"/>
    <n v="1"/>
    <n v="1"/>
    <x v="7"/>
    <b v="0"/>
    <s v="Working"/>
    <n v="2"/>
    <x v="2"/>
    <n v="3"/>
    <n v="0.16"/>
    <x v="0"/>
    <n v="0.1515"/>
    <x v="8"/>
    <x v="0"/>
    <x v="4"/>
    <x v="12"/>
    <x v="20"/>
    <x v="1"/>
  </r>
  <r>
    <n v="253"/>
    <x v="3"/>
    <n v="1"/>
    <n v="1"/>
    <x v="8"/>
    <b v="0"/>
    <s v="Working"/>
    <n v="2"/>
    <x v="2"/>
    <n v="3"/>
    <n v="0.16"/>
    <x v="0"/>
    <n v="0.19700000000000001"/>
    <x v="2"/>
    <x v="0"/>
    <x v="8"/>
    <x v="12"/>
    <x v="15"/>
    <x v="16"/>
  </r>
  <r>
    <n v="254"/>
    <x v="3"/>
    <n v="1"/>
    <n v="1"/>
    <x v="9"/>
    <b v="0"/>
    <s v="Working"/>
    <n v="2"/>
    <x v="2"/>
    <n v="3"/>
    <n v="0.16"/>
    <x v="0"/>
    <n v="0.18179999999999999"/>
    <x v="8"/>
    <x v="0"/>
    <x v="7"/>
    <x v="2"/>
    <x v="21"/>
    <x v="21"/>
  </r>
  <r>
    <n v="255"/>
    <x v="3"/>
    <n v="1"/>
    <n v="1"/>
    <x v="17"/>
    <b v="0"/>
    <s v="Working"/>
    <n v="2"/>
    <x v="2"/>
    <n v="3"/>
    <n v="0.16"/>
    <x v="0"/>
    <n v="0.19700000000000001"/>
    <x v="8"/>
    <x v="0"/>
    <x v="8"/>
    <x v="2"/>
    <x v="22"/>
    <x v="22"/>
  </r>
  <r>
    <n v="256"/>
    <x v="4"/>
    <n v="1"/>
    <n v="1"/>
    <x v="10"/>
    <b v="0"/>
    <s v="Working"/>
    <n v="3"/>
    <x v="3"/>
    <n v="2"/>
    <n v="0.16"/>
    <x v="0"/>
    <n v="0.19700000000000001"/>
    <x v="2"/>
    <x v="0"/>
    <x v="8"/>
    <x v="12"/>
    <x v="23"/>
    <x v="23"/>
  </r>
  <r>
    <n v="257"/>
    <x v="4"/>
    <n v="1"/>
    <n v="1"/>
    <x v="0"/>
    <b v="0"/>
    <s v="Working"/>
    <n v="3"/>
    <x v="3"/>
    <n v="2"/>
    <n v="0.16"/>
    <x v="0"/>
    <n v="0.18179999999999999"/>
    <x v="2"/>
    <x v="0"/>
    <x v="7"/>
    <x v="12"/>
    <x v="24"/>
    <x v="12"/>
  </r>
  <r>
    <n v="258"/>
    <x v="4"/>
    <n v="1"/>
    <n v="1"/>
    <x v="1"/>
    <b v="0"/>
    <s v="Working"/>
    <n v="3"/>
    <x v="3"/>
    <n v="1"/>
    <n v="0.14000000000000001"/>
    <x v="0"/>
    <n v="0.1515"/>
    <x v="2"/>
    <x v="0"/>
    <x v="9"/>
    <x v="12"/>
    <x v="25"/>
    <x v="24"/>
  </r>
  <r>
    <n v="259"/>
    <x v="4"/>
    <n v="1"/>
    <n v="1"/>
    <x v="18"/>
    <b v="0"/>
    <s v="Working"/>
    <n v="3"/>
    <x v="3"/>
    <n v="1"/>
    <n v="0.14000000000000001"/>
    <x v="0"/>
    <n v="0.1515"/>
    <x v="2"/>
    <x v="0"/>
    <x v="6"/>
    <x v="12"/>
    <x v="26"/>
    <x v="25"/>
  </r>
  <r>
    <n v="260"/>
    <x v="4"/>
    <n v="1"/>
    <n v="1"/>
    <x v="19"/>
    <b v="0"/>
    <s v="Working"/>
    <n v="3"/>
    <x v="3"/>
    <n v="1"/>
    <n v="0.12"/>
    <x v="0"/>
    <n v="0.1515"/>
    <x v="8"/>
    <x v="0"/>
    <x v="9"/>
    <x v="12"/>
    <x v="9"/>
    <x v="0"/>
  </r>
  <r>
    <n v="395"/>
    <x v="5"/>
    <n v="1"/>
    <n v="1"/>
    <x v="9"/>
    <b v="1"/>
    <s v="Holiday"/>
    <n v="1"/>
    <x v="4"/>
    <n v="3"/>
    <n v="0.14000000000000001"/>
    <x v="0"/>
    <n v="0.1212"/>
    <x v="8"/>
    <x v="0"/>
    <x v="3"/>
    <x v="12"/>
    <x v="0"/>
    <x v="26"/>
  </r>
  <r>
    <n v="396"/>
    <x v="5"/>
    <n v="1"/>
    <n v="1"/>
    <x v="17"/>
    <b v="1"/>
    <s v="Holiday"/>
    <n v="1"/>
    <x v="4"/>
    <n v="3"/>
    <n v="0.16"/>
    <x v="0"/>
    <n v="0.13639999999999999"/>
    <x v="2"/>
    <x v="0"/>
    <x v="1"/>
    <x v="2"/>
    <x v="27"/>
    <x v="27"/>
  </r>
  <r>
    <n v="397"/>
    <x v="6"/>
    <n v="1"/>
    <n v="1"/>
    <x v="20"/>
    <b v="0"/>
    <s v="Working"/>
    <n v="2"/>
    <x v="2"/>
    <n v="2"/>
    <n v="0.2"/>
    <x v="0"/>
    <n v="0.18179999999999999"/>
    <x v="2"/>
    <x v="0"/>
    <x v="10"/>
    <x v="12"/>
    <x v="27"/>
    <x v="2"/>
  </r>
  <r>
    <n v="398"/>
    <x v="6"/>
    <n v="1"/>
    <n v="1"/>
    <x v="21"/>
    <b v="0"/>
    <s v="Working"/>
    <n v="2"/>
    <x v="2"/>
    <n v="2"/>
    <n v="0.2"/>
    <x v="0"/>
    <n v="0.19700000000000001"/>
    <x v="2"/>
    <x v="0"/>
    <x v="5"/>
    <x v="12"/>
    <x v="28"/>
    <x v="28"/>
  </r>
  <r>
    <n v="400"/>
    <x v="6"/>
    <n v="1"/>
    <n v="1"/>
    <x v="13"/>
    <b v="0"/>
    <s v="Working"/>
    <n v="2"/>
    <x v="2"/>
    <n v="2"/>
    <n v="0.22"/>
    <x v="0"/>
    <n v="0.2273"/>
    <x v="5"/>
    <x v="0"/>
    <x v="6"/>
    <x v="0"/>
    <x v="20"/>
    <x v="5"/>
  </r>
  <r>
    <n v="401"/>
    <x v="6"/>
    <n v="1"/>
    <n v="1"/>
    <x v="4"/>
    <b v="0"/>
    <s v="Working"/>
    <n v="2"/>
    <x v="2"/>
    <n v="2"/>
    <n v="0.22"/>
    <x v="0"/>
    <n v="0.2273"/>
    <x v="5"/>
    <x v="0"/>
    <x v="4"/>
    <x v="12"/>
    <x v="29"/>
    <x v="29"/>
  </r>
  <r>
    <n v="402"/>
    <x v="6"/>
    <n v="1"/>
    <n v="1"/>
    <x v="16"/>
    <b v="0"/>
    <s v="Working"/>
    <n v="2"/>
    <x v="2"/>
    <n v="2"/>
    <n v="0.22"/>
    <x v="0"/>
    <n v="0.2273"/>
    <x v="3"/>
    <x v="0"/>
    <x v="4"/>
    <x v="2"/>
    <x v="30"/>
    <x v="30"/>
  </r>
  <r>
    <n v="405"/>
    <x v="6"/>
    <n v="1"/>
    <n v="1"/>
    <x v="7"/>
    <b v="0"/>
    <s v="Working"/>
    <n v="2"/>
    <x v="2"/>
    <n v="2"/>
    <n v="0.22"/>
    <x v="0"/>
    <n v="0.2727"/>
    <x v="5"/>
    <x v="0"/>
    <x v="0"/>
    <x v="12"/>
    <x v="31"/>
    <x v="31"/>
  </r>
  <r>
    <n v="406"/>
    <x v="6"/>
    <n v="1"/>
    <n v="1"/>
    <x v="8"/>
    <b v="0"/>
    <s v="Working"/>
    <n v="2"/>
    <x v="2"/>
    <n v="2"/>
    <n v="0.22"/>
    <x v="0"/>
    <n v="0.2424"/>
    <x v="8"/>
    <x v="0"/>
    <x v="7"/>
    <x v="12"/>
    <x v="32"/>
    <x v="32"/>
  </r>
  <r>
    <n v="407"/>
    <x v="6"/>
    <n v="1"/>
    <n v="1"/>
    <x v="9"/>
    <b v="0"/>
    <s v="Working"/>
    <n v="2"/>
    <x v="2"/>
    <n v="2"/>
    <n v="0.22"/>
    <x v="0"/>
    <n v="0.2576"/>
    <x v="8"/>
    <x v="0"/>
    <x v="8"/>
    <x v="12"/>
    <x v="33"/>
    <x v="33"/>
  </r>
  <r>
    <n v="408"/>
    <x v="6"/>
    <n v="1"/>
    <n v="1"/>
    <x v="17"/>
    <b v="0"/>
    <s v="Working"/>
    <n v="2"/>
    <x v="2"/>
    <n v="2"/>
    <n v="0.22"/>
    <x v="0"/>
    <n v="0.2727"/>
    <x v="8"/>
    <x v="0"/>
    <x v="0"/>
    <x v="2"/>
    <x v="34"/>
    <x v="16"/>
  </r>
  <r>
    <n v="409"/>
    <x v="7"/>
    <n v="1"/>
    <n v="1"/>
    <x v="10"/>
    <b v="0"/>
    <s v="Working"/>
    <n v="3"/>
    <x v="3"/>
    <n v="2"/>
    <n v="0.22"/>
    <x v="0"/>
    <n v="0.2727"/>
    <x v="8"/>
    <x v="0"/>
    <x v="0"/>
    <x v="12"/>
    <x v="27"/>
    <x v="2"/>
  </r>
  <r>
    <n v="410"/>
    <x v="7"/>
    <n v="1"/>
    <n v="1"/>
    <x v="0"/>
    <b v="0"/>
    <s v="Working"/>
    <n v="3"/>
    <x v="3"/>
    <n v="3"/>
    <n v="0.22"/>
    <x v="0"/>
    <n v="0.2273"/>
    <x v="8"/>
    <x v="0"/>
    <x v="9"/>
    <x v="2"/>
    <x v="24"/>
    <x v="23"/>
  </r>
  <r>
    <n v="411"/>
    <x v="7"/>
    <n v="1"/>
    <n v="1"/>
    <x v="1"/>
    <b v="0"/>
    <s v="Working"/>
    <n v="3"/>
    <x v="3"/>
    <n v="3"/>
    <n v="0.22"/>
    <x v="0"/>
    <n v="0.2273"/>
    <x v="8"/>
    <x v="0"/>
    <x v="9"/>
    <x v="12"/>
    <x v="27"/>
    <x v="2"/>
  </r>
  <r>
    <n v="412"/>
    <x v="7"/>
    <n v="1"/>
    <n v="1"/>
    <x v="22"/>
    <b v="0"/>
    <s v="Working"/>
    <n v="3"/>
    <x v="3"/>
    <n v="3"/>
    <n v="0.22"/>
    <x v="0"/>
    <n v="0.2273"/>
    <x v="8"/>
    <x v="0"/>
    <x v="9"/>
    <x v="2"/>
    <x v="25"/>
    <x v="34"/>
  </r>
  <r>
    <n v="413"/>
    <x v="7"/>
    <n v="1"/>
    <n v="1"/>
    <x v="18"/>
    <b v="0"/>
    <s v="Working"/>
    <n v="3"/>
    <x v="3"/>
    <n v="2"/>
    <n v="0.22"/>
    <x v="0"/>
    <n v="0.2576"/>
    <x v="8"/>
    <x v="0"/>
    <x v="8"/>
    <x v="12"/>
    <x v="23"/>
    <x v="23"/>
  </r>
  <r>
    <n v="414"/>
    <x v="7"/>
    <n v="1"/>
    <n v="1"/>
    <x v="19"/>
    <b v="0"/>
    <s v="Working"/>
    <n v="3"/>
    <x v="3"/>
    <n v="2"/>
    <n v="0.22"/>
    <x v="0"/>
    <n v="0.2576"/>
    <x v="8"/>
    <x v="0"/>
    <x v="8"/>
    <x v="12"/>
    <x v="20"/>
    <x v="1"/>
  </r>
  <r>
    <n v="415"/>
    <x v="7"/>
    <n v="1"/>
    <n v="1"/>
    <x v="2"/>
    <b v="0"/>
    <s v="Working"/>
    <n v="3"/>
    <x v="3"/>
    <n v="2"/>
    <n v="0.24"/>
    <x v="0"/>
    <n v="0.2576"/>
    <x v="9"/>
    <x v="0"/>
    <x v="7"/>
    <x v="2"/>
    <x v="35"/>
    <x v="35"/>
  </r>
  <r>
    <n v="416"/>
    <x v="7"/>
    <n v="1"/>
    <n v="1"/>
    <x v="14"/>
    <b v="0"/>
    <s v="Working"/>
    <n v="3"/>
    <x v="3"/>
    <n v="2"/>
    <n v="0.24"/>
    <x v="0"/>
    <n v="0.2576"/>
    <x v="8"/>
    <x v="0"/>
    <x v="7"/>
    <x v="2"/>
    <x v="36"/>
    <x v="36"/>
  </r>
  <r>
    <n v="417"/>
    <x v="7"/>
    <n v="1"/>
    <n v="1"/>
    <x v="15"/>
    <b v="0"/>
    <s v="Working"/>
    <n v="3"/>
    <x v="3"/>
    <n v="2"/>
    <n v="0.24"/>
    <x v="0"/>
    <n v="0.2576"/>
    <x v="8"/>
    <x v="0"/>
    <x v="7"/>
    <x v="9"/>
    <x v="37"/>
    <x v="37"/>
  </r>
  <r>
    <n v="418"/>
    <x v="7"/>
    <n v="1"/>
    <n v="1"/>
    <x v="12"/>
    <b v="0"/>
    <s v="Working"/>
    <n v="3"/>
    <x v="3"/>
    <n v="2"/>
    <n v="0.26"/>
    <x v="1"/>
    <n v="0.2727"/>
    <x v="8"/>
    <x v="0"/>
    <x v="9"/>
    <x v="2"/>
    <x v="12"/>
    <x v="38"/>
  </r>
  <r>
    <n v="419"/>
    <x v="7"/>
    <n v="1"/>
    <n v="1"/>
    <x v="3"/>
    <b v="0"/>
    <s v="Working"/>
    <n v="3"/>
    <x v="3"/>
    <n v="2"/>
    <n v="0.28000000000000003"/>
    <x v="1"/>
    <n v="0.30299999999999999"/>
    <x v="5"/>
    <x v="0"/>
    <x v="8"/>
    <x v="1"/>
    <x v="38"/>
    <x v="39"/>
  </r>
  <r>
    <n v="420"/>
    <x v="7"/>
    <n v="1"/>
    <n v="1"/>
    <x v="20"/>
    <b v="0"/>
    <s v="Working"/>
    <n v="3"/>
    <x v="3"/>
    <n v="2"/>
    <n v="0.3"/>
    <x v="1"/>
    <n v="0.31819999999999998"/>
    <x v="0"/>
    <x v="0"/>
    <x v="8"/>
    <x v="1"/>
    <x v="39"/>
    <x v="40"/>
  </r>
  <r>
    <n v="460"/>
    <x v="8"/>
    <n v="1"/>
    <n v="1"/>
    <x v="22"/>
    <b v="0"/>
    <s v="Working"/>
    <n v="5"/>
    <x v="5"/>
    <n v="2"/>
    <n v="0.22"/>
    <x v="0"/>
    <n v="0.2576"/>
    <x v="5"/>
    <x v="0"/>
    <x v="8"/>
    <x v="12"/>
    <x v="25"/>
    <x v="24"/>
  </r>
  <r>
    <n v="575"/>
    <x v="9"/>
    <n v="1"/>
    <n v="1"/>
    <x v="18"/>
    <b v="0"/>
    <s v="Working"/>
    <n v="3"/>
    <x v="3"/>
    <n v="3"/>
    <n v="0.2"/>
    <x v="0"/>
    <n v="0.18179999999999999"/>
    <x v="2"/>
    <x v="0"/>
    <x v="1"/>
    <x v="12"/>
    <x v="25"/>
    <x v="24"/>
  </r>
  <r>
    <n v="576"/>
    <x v="9"/>
    <n v="1"/>
    <n v="1"/>
    <x v="19"/>
    <b v="0"/>
    <s v="Working"/>
    <n v="3"/>
    <x v="3"/>
    <n v="3"/>
    <n v="0.2"/>
    <x v="0"/>
    <n v="0.18179999999999999"/>
    <x v="2"/>
    <x v="0"/>
    <x v="1"/>
    <x v="12"/>
    <x v="10"/>
    <x v="41"/>
  </r>
  <r>
    <n v="577"/>
    <x v="9"/>
    <n v="1"/>
    <n v="1"/>
    <x v="2"/>
    <b v="0"/>
    <s v="Working"/>
    <n v="3"/>
    <x v="3"/>
    <n v="3"/>
    <n v="0.22"/>
    <x v="0"/>
    <n v="0.21210000000000001"/>
    <x v="5"/>
    <x v="0"/>
    <x v="2"/>
    <x v="2"/>
    <x v="40"/>
    <x v="42"/>
  </r>
  <r>
    <n v="578"/>
    <x v="9"/>
    <n v="1"/>
    <n v="1"/>
    <x v="14"/>
    <b v="0"/>
    <s v="Working"/>
    <n v="3"/>
    <x v="3"/>
    <n v="3"/>
    <n v="0.22"/>
    <x v="0"/>
    <n v="0.21210000000000001"/>
    <x v="5"/>
    <x v="0"/>
    <x v="2"/>
    <x v="0"/>
    <x v="41"/>
    <x v="43"/>
  </r>
  <r>
    <n v="579"/>
    <x v="9"/>
    <n v="1"/>
    <n v="1"/>
    <x v="15"/>
    <b v="0"/>
    <s v="Working"/>
    <n v="3"/>
    <x v="3"/>
    <n v="3"/>
    <n v="0.22"/>
    <x v="0"/>
    <n v="0.21210000000000001"/>
    <x v="5"/>
    <x v="0"/>
    <x v="2"/>
    <x v="0"/>
    <x v="13"/>
    <x v="44"/>
  </r>
  <r>
    <n v="580"/>
    <x v="9"/>
    <n v="1"/>
    <n v="1"/>
    <x v="12"/>
    <b v="0"/>
    <s v="Working"/>
    <n v="3"/>
    <x v="3"/>
    <n v="3"/>
    <n v="0.22"/>
    <x v="0"/>
    <n v="0.21210000000000001"/>
    <x v="8"/>
    <x v="0"/>
    <x v="1"/>
    <x v="9"/>
    <x v="5"/>
    <x v="9"/>
  </r>
  <r>
    <n v="581"/>
    <x v="9"/>
    <n v="1"/>
    <n v="1"/>
    <x v="3"/>
    <b v="0"/>
    <s v="Working"/>
    <n v="3"/>
    <x v="3"/>
    <n v="3"/>
    <n v="0.22"/>
    <x v="0"/>
    <n v="0.19700000000000001"/>
    <x v="8"/>
    <x v="0"/>
    <x v="10"/>
    <x v="6"/>
    <x v="42"/>
    <x v="32"/>
  </r>
  <r>
    <n v="582"/>
    <x v="9"/>
    <n v="1"/>
    <n v="1"/>
    <x v="20"/>
    <b v="0"/>
    <s v="Working"/>
    <n v="3"/>
    <x v="3"/>
    <n v="3"/>
    <n v="0.22"/>
    <x v="0"/>
    <n v="0.19700000000000001"/>
    <x v="8"/>
    <x v="0"/>
    <x v="10"/>
    <x v="10"/>
    <x v="32"/>
    <x v="45"/>
  </r>
  <r>
    <n v="583"/>
    <x v="9"/>
    <n v="1"/>
    <n v="1"/>
    <x v="21"/>
    <b v="0"/>
    <s v="Working"/>
    <n v="3"/>
    <x v="3"/>
    <n v="3"/>
    <n v="0.22"/>
    <x v="0"/>
    <n v="0.19700000000000001"/>
    <x v="8"/>
    <x v="0"/>
    <x v="10"/>
    <x v="8"/>
    <x v="43"/>
    <x v="38"/>
  </r>
  <r>
    <n v="584"/>
    <x v="9"/>
    <n v="1"/>
    <n v="1"/>
    <x v="23"/>
    <b v="0"/>
    <s v="Working"/>
    <n v="3"/>
    <x v="3"/>
    <n v="3"/>
    <n v="0.22"/>
    <x v="0"/>
    <n v="0.19700000000000001"/>
    <x v="8"/>
    <x v="0"/>
    <x v="11"/>
    <x v="12"/>
    <x v="44"/>
    <x v="7"/>
  </r>
  <r>
    <n v="585"/>
    <x v="9"/>
    <n v="1"/>
    <n v="1"/>
    <x v="13"/>
    <b v="0"/>
    <s v="Working"/>
    <n v="3"/>
    <x v="3"/>
    <n v="3"/>
    <n v="0.22"/>
    <x v="0"/>
    <n v="0.18179999999999999"/>
    <x v="8"/>
    <x v="0"/>
    <x v="12"/>
    <x v="2"/>
    <x v="45"/>
    <x v="46"/>
  </r>
  <r>
    <n v="586"/>
    <x v="9"/>
    <n v="1"/>
    <n v="1"/>
    <x v="4"/>
    <b v="0"/>
    <s v="Working"/>
    <n v="3"/>
    <x v="3"/>
    <n v="4"/>
    <n v="0.22"/>
    <x v="0"/>
    <n v="0.19700000000000001"/>
    <x v="8"/>
    <x v="0"/>
    <x v="10"/>
    <x v="2"/>
    <x v="42"/>
    <x v="7"/>
  </r>
  <r>
    <n v="587"/>
    <x v="9"/>
    <n v="1"/>
    <n v="1"/>
    <x v="16"/>
    <b v="0"/>
    <s v="Working"/>
    <n v="3"/>
    <x v="3"/>
    <n v="3"/>
    <n v="0.2"/>
    <x v="0"/>
    <n v="0.18179999999999999"/>
    <x v="8"/>
    <x v="0"/>
    <x v="11"/>
    <x v="12"/>
    <x v="5"/>
    <x v="47"/>
  </r>
  <r>
    <n v="602"/>
    <x v="10"/>
    <n v="1"/>
    <n v="1"/>
    <x v="2"/>
    <b v="0"/>
    <s v="Working"/>
    <n v="5"/>
    <x v="5"/>
    <n v="2"/>
    <n v="0.16"/>
    <x v="0"/>
    <n v="0.19700000000000001"/>
    <x v="2"/>
    <x v="0"/>
    <x v="8"/>
    <x v="9"/>
    <x v="46"/>
    <x v="48"/>
  </r>
  <r>
    <n v="603"/>
    <x v="10"/>
    <n v="1"/>
    <n v="1"/>
    <x v="14"/>
    <b v="0"/>
    <s v="Working"/>
    <n v="5"/>
    <x v="5"/>
    <n v="2"/>
    <n v="0.16"/>
    <x v="0"/>
    <n v="0.19700000000000001"/>
    <x v="2"/>
    <x v="0"/>
    <x v="8"/>
    <x v="9"/>
    <x v="47"/>
    <x v="49"/>
  </r>
  <r>
    <n v="604"/>
    <x v="10"/>
    <n v="1"/>
    <n v="1"/>
    <x v="15"/>
    <b v="0"/>
    <s v="Working"/>
    <n v="5"/>
    <x v="5"/>
    <n v="3"/>
    <n v="0.18"/>
    <x v="0"/>
    <n v="0.21210000000000001"/>
    <x v="2"/>
    <x v="0"/>
    <x v="8"/>
    <x v="6"/>
    <x v="48"/>
    <x v="50"/>
  </r>
  <r>
    <n v="605"/>
    <x v="10"/>
    <n v="1"/>
    <n v="1"/>
    <x v="12"/>
    <b v="0"/>
    <s v="Working"/>
    <n v="5"/>
    <x v="5"/>
    <n v="3"/>
    <n v="0.18"/>
    <x v="0"/>
    <n v="0.21210000000000001"/>
    <x v="2"/>
    <x v="0"/>
    <x v="7"/>
    <x v="12"/>
    <x v="49"/>
    <x v="51"/>
  </r>
  <r>
    <n v="606"/>
    <x v="10"/>
    <n v="1"/>
    <n v="1"/>
    <x v="3"/>
    <b v="0"/>
    <s v="Working"/>
    <n v="5"/>
    <x v="5"/>
    <n v="3"/>
    <n v="0.18"/>
    <x v="0"/>
    <n v="0.21210000000000001"/>
    <x v="8"/>
    <x v="0"/>
    <x v="7"/>
    <x v="12"/>
    <x v="3"/>
    <x v="42"/>
  </r>
  <r>
    <n v="607"/>
    <x v="10"/>
    <n v="1"/>
    <n v="1"/>
    <x v="20"/>
    <b v="0"/>
    <s v="Working"/>
    <n v="5"/>
    <x v="5"/>
    <n v="3"/>
    <n v="0.18"/>
    <x v="0"/>
    <n v="0.21210000000000001"/>
    <x v="8"/>
    <x v="0"/>
    <x v="7"/>
    <x v="2"/>
    <x v="21"/>
    <x v="21"/>
  </r>
  <r>
    <n v="608"/>
    <x v="10"/>
    <n v="1"/>
    <n v="1"/>
    <x v="21"/>
    <b v="0"/>
    <s v="Working"/>
    <n v="5"/>
    <x v="5"/>
    <n v="3"/>
    <n v="0.18"/>
    <x v="0"/>
    <n v="0.21210000000000001"/>
    <x v="8"/>
    <x v="0"/>
    <x v="7"/>
    <x v="12"/>
    <x v="6"/>
    <x v="52"/>
  </r>
  <r>
    <n v="610"/>
    <x v="10"/>
    <n v="1"/>
    <n v="1"/>
    <x v="13"/>
    <b v="0"/>
    <s v="Working"/>
    <n v="5"/>
    <x v="5"/>
    <n v="2"/>
    <n v="0.2"/>
    <x v="0"/>
    <n v="0.2576"/>
    <x v="2"/>
    <x v="0"/>
    <x v="0"/>
    <x v="2"/>
    <x v="50"/>
    <x v="32"/>
  </r>
  <r>
    <n v="611"/>
    <x v="0"/>
    <n v="1"/>
    <n v="1"/>
    <x v="10"/>
    <b v="0"/>
    <s v="Working"/>
    <n v="6"/>
    <x v="0"/>
    <n v="1"/>
    <n v="0.24"/>
    <x v="0"/>
    <n v="0.28789999999999999"/>
    <x v="0"/>
    <x v="0"/>
    <x v="0"/>
    <x v="0"/>
    <x v="0"/>
    <x v="0"/>
  </r>
  <r>
    <n v="618"/>
    <x v="0"/>
    <n v="1"/>
    <n v="1"/>
    <x v="2"/>
    <b v="0"/>
    <s v="Working"/>
    <n v="6"/>
    <x v="0"/>
    <n v="1"/>
    <n v="0.2"/>
    <x v="0"/>
    <n v="0.2576"/>
    <x v="2"/>
    <x v="0"/>
    <x v="0"/>
    <x v="2"/>
    <x v="2"/>
    <x v="2"/>
  </r>
  <r>
    <n v="622"/>
    <x v="0"/>
    <n v="1"/>
    <n v="1"/>
    <x v="3"/>
    <b v="0"/>
    <s v="Working"/>
    <n v="6"/>
    <x v="0"/>
    <n v="1"/>
    <n v="0.36"/>
    <x v="1"/>
    <n v="0.33329999999999999"/>
    <x v="0"/>
    <x v="0"/>
    <x v="1"/>
    <x v="3"/>
    <x v="3"/>
    <x v="3"/>
  </r>
  <r>
    <n v="627"/>
    <x v="0"/>
    <n v="1"/>
    <n v="1"/>
    <x v="4"/>
    <b v="0"/>
    <s v="Working"/>
    <n v="6"/>
    <x v="0"/>
    <n v="2"/>
    <n v="0.42"/>
    <x v="1"/>
    <n v="0.42420000000000002"/>
    <x v="3"/>
    <x v="0"/>
    <x v="2"/>
    <x v="4"/>
    <x v="4"/>
    <x v="4"/>
  </r>
  <r>
    <n v="629"/>
    <x v="0"/>
    <n v="1"/>
    <n v="1"/>
    <x v="5"/>
    <b v="0"/>
    <s v="Working"/>
    <n v="6"/>
    <x v="0"/>
    <n v="3"/>
    <n v="0.42"/>
    <x v="1"/>
    <n v="0.42420000000000002"/>
    <x v="4"/>
    <x v="0"/>
    <x v="3"/>
    <x v="5"/>
    <x v="5"/>
    <x v="5"/>
  </r>
  <r>
    <n v="630"/>
    <x v="0"/>
    <n v="1"/>
    <n v="1"/>
    <x v="6"/>
    <b v="0"/>
    <s v="Working"/>
    <n v="6"/>
    <x v="0"/>
    <n v="3"/>
    <n v="0.42"/>
    <x v="1"/>
    <n v="0.42420000000000002"/>
    <x v="4"/>
    <x v="0"/>
    <x v="3"/>
    <x v="6"/>
    <x v="6"/>
    <x v="6"/>
  </r>
  <r>
    <n v="631"/>
    <x v="0"/>
    <n v="1"/>
    <n v="1"/>
    <x v="7"/>
    <b v="0"/>
    <s v="Working"/>
    <n v="6"/>
    <x v="0"/>
    <n v="2"/>
    <n v="0.4"/>
    <x v="1"/>
    <n v="0.40910000000000002"/>
    <x v="5"/>
    <x v="0"/>
    <x v="3"/>
    <x v="7"/>
    <x v="7"/>
    <x v="7"/>
  </r>
  <r>
    <n v="632"/>
    <x v="0"/>
    <n v="1"/>
    <n v="1"/>
    <x v="8"/>
    <b v="0"/>
    <s v="Working"/>
    <n v="6"/>
    <x v="0"/>
    <n v="2"/>
    <n v="0.4"/>
    <x v="1"/>
    <n v="0.40910000000000002"/>
    <x v="5"/>
    <x v="0"/>
    <x v="4"/>
    <x v="0"/>
    <x v="6"/>
    <x v="8"/>
  </r>
  <r>
    <n v="633"/>
    <x v="0"/>
    <n v="1"/>
    <n v="1"/>
    <x v="9"/>
    <b v="0"/>
    <s v="Working"/>
    <n v="6"/>
    <x v="0"/>
    <n v="2"/>
    <n v="0.4"/>
    <x v="1"/>
    <n v="0.40910000000000002"/>
    <x v="6"/>
    <x v="0"/>
    <x v="5"/>
    <x v="7"/>
    <x v="8"/>
    <x v="9"/>
  </r>
  <r>
    <n v="635"/>
    <x v="1"/>
    <n v="1"/>
    <n v="1"/>
    <x v="10"/>
    <b v="0"/>
    <s v="Working"/>
    <n v="0"/>
    <x v="1"/>
    <n v="2"/>
    <n v="0.46"/>
    <x v="1"/>
    <n v="0.45450000000000002"/>
    <x v="4"/>
    <x v="0"/>
    <x v="2"/>
    <x v="8"/>
    <x v="0"/>
    <x v="10"/>
  </r>
  <r>
    <n v="636"/>
    <x v="1"/>
    <n v="1"/>
    <n v="1"/>
    <x v="0"/>
    <b v="0"/>
    <s v="Working"/>
    <n v="0"/>
    <x v="1"/>
    <n v="2"/>
    <n v="0.44"/>
    <x v="1"/>
    <n v="0.43940000000000001"/>
    <x v="6"/>
    <x v="0"/>
    <x v="3"/>
    <x v="2"/>
    <x v="9"/>
    <x v="10"/>
  </r>
  <r>
    <n v="637"/>
    <x v="1"/>
    <n v="1"/>
    <n v="1"/>
    <x v="1"/>
    <b v="0"/>
    <s v="Working"/>
    <n v="0"/>
    <x v="1"/>
    <n v="2"/>
    <n v="0.42"/>
    <x v="1"/>
    <n v="0.42420000000000002"/>
    <x v="7"/>
    <x v="0"/>
    <x v="1"/>
    <x v="2"/>
    <x v="10"/>
    <x v="11"/>
  </r>
  <r>
    <n v="638"/>
    <x v="1"/>
    <n v="1"/>
    <n v="1"/>
    <x v="11"/>
    <b v="0"/>
    <s v="Working"/>
    <n v="0"/>
    <x v="1"/>
    <n v="2"/>
    <n v="0.46"/>
    <x v="1"/>
    <n v="0.45450000000000002"/>
    <x v="6"/>
    <x v="0"/>
    <x v="4"/>
    <x v="9"/>
    <x v="11"/>
    <x v="12"/>
  </r>
  <r>
    <n v="644"/>
    <x v="1"/>
    <n v="1"/>
    <n v="1"/>
    <x v="12"/>
    <b v="0"/>
    <s v="Working"/>
    <n v="0"/>
    <x v="1"/>
    <n v="2"/>
    <n v="0.36"/>
    <x v="1"/>
    <n v="0.34849999999999998"/>
    <x v="0"/>
    <x v="0"/>
    <x v="5"/>
    <x v="10"/>
    <x v="12"/>
    <x v="13"/>
  </r>
  <r>
    <n v="649"/>
    <x v="1"/>
    <n v="1"/>
    <n v="1"/>
    <x v="13"/>
    <b v="0"/>
    <s v="Working"/>
    <n v="0"/>
    <x v="1"/>
    <n v="3"/>
    <n v="0.34"/>
    <x v="1"/>
    <n v="0.33329999999999999"/>
    <x v="0"/>
    <x v="0"/>
    <x v="6"/>
    <x v="11"/>
    <x v="13"/>
    <x v="14"/>
  </r>
  <r>
    <n v="780"/>
    <x v="2"/>
    <n v="1"/>
    <n v="1"/>
    <x v="14"/>
    <b v="0"/>
    <s v="Working"/>
    <n v="6"/>
    <x v="0"/>
    <n v="3"/>
    <n v="0.16"/>
    <x v="0"/>
    <n v="0.18179999999999999"/>
    <x v="8"/>
    <x v="0"/>
    <x v="7"/>
    <x v="12"/>
    <x v="14"/>
    <x v="15"/>
  </r>
  <r>
    <n v="781"/>
    <x v="2"/>
    <n v="1"/>
    <n v="1"/>
    <x v="15"/>
    <b v="0"/>
    <s v="Working"/>
    <n v="6"/>
    <x v="0"/>
    <n v="3"/>
    <n v="0.16"/>
    <x v="0"/>
    <n v="0.18179999999999999"/>
    <x v="8"/>
    <x v="0"/>
    <x v="7"/>
    <x v="12"/>
    <x v="15"/>
    <x v="16"/>
  </r>
  <r>
    <n v="858"/>
    <x v="3"/>
    <n v="1"/>
    <n v="1"/>
    <x v="4"/>
    <b v="0"/>
    <s v="Working"/>
    <n v="2"/>
    <x v="2"/>
    <n v="2"/>
    <n v="0.16"/>
    <x v="0"/>
    <n v="0.1515"/>
    <x v="2"/>
    <x v="0"/>
    <x v="5"/>
    <x v="8"/>
    <x v="16"/>
    <x v="17"/>
  </r>
  <r>
    <n v="859"/>
    <x v="3"/>
    <n v="1"/>
    <n v="1"/>
    <x v="16"/>
    <b v="0"/>
    <s v="Working"/>
    <n v="2"/>
    <x v="2"/>
    <n v="2"/>
    <n v="0.16"/>
    <x v="0"/>
    <n v="0.1515"/>
    <x v="2"/>
    <x v="0"/>
    <x v="5"/>
    <x v="6"/>
    <x v="17"/>
    <x v="18"/>
  </r>
  <r>
    <n v="860"/>
    <x v="3"/>
    <n v="1"/>
    <n v="1"/>
    <x v="5"/>
    <b v="0"/>
    <s v="Working"/>
    <n v="2"/>
    <x v="2"/>
    <n v="3"/>
    <n v="0.16"/>
    <x v="0"/>
    <n v="0.18179999999999999"/>
    <x v="8"/>
    <x v="0"/>
    <x v="7"/>
    <x v="2"/>
    <x v="18"/>
    <x v="19"/>
  </r>
  <r>
    <n v="861"/>
    <x v="3"/>
    <n v="1"/>
    <n v="1"/>
    <x v="6"/>
    <b v="0"/>
    <s v="Working"/>
    <n v="2"/>
    <x v="2"/>
    <n v="3"/>
    <n v="0.16"/>
    <x v="0"/>
    <n v="0.2273"/>
    <x v="8"/>
    <x v="0"/>
    <x v="0"/>
    <x v="12"/>
    <x v="19"/>
    <x v="20"/>
  </r>
  <r>
    <n v="862"/>
    <x v="3"/>
    <n v="1"/>
    <n v="1"/>
    <x v="7"/>
    <b v="0"/>
    <s v="Working"/>
    <n v="2"/>
    <x v="2"/>
    <n v="3"/>
    <n v="0.16"/>
    <x v="0"/>
    <n v="0.1515"/>
    <x v="8"/>
    <x v="0"/>
    <x v="4"/>
    <x v="12"/>
    <x v="20"/>
    <x v="1"/>
  </r>
  <r>
    <n v="863"/>
    <x v="3"/>
    <n v="1"/>
    <n v="1"/>
    <x v="8"/>
    <b v="0"/>
    <s v="Working"/>
    <n v="2"/>
    <x v="2"/>
    <n v="3"/>
    <n v="0.16"/>
    <x v="0"/>
    <n v="0.19700000000000001"/>
    <x v="2"/>
    <x v="0"/>
    <x v="8"/>
    <x v="12"/>
    <x v="15"/>
    <x v="16"/>
  </r>
  <r>
    <n v="864"/>
    <x v="3"/>
    <n v="1"/>
    <n v="1"/>
    <x v="9"/>
    <b v="0"/>
    <s v="Working"/>
    <n v="2"/>
    <x v="2"/>
    <n v="3"/>
    <n v="0.16"/>
    <x v="0"/>
    <n v="0.18179999999999999"/>
    <x v="8"/>
    <x v="0"/>
    <x v="7"/>
    <x v="2"/>
    <x v="21"/>
    <x v="21"/>
  </r>
  <r>
    <n v="865"/>
    <x v="3"/>
    <n v="1"/>
    <n v="1"/>
    <x v="17"/>
    <b v="0"/>
    <s v="Working"/>
    <n v="2"/>
    <x v="2"/>
    <n v="3"/>
    <n v="0.16"/>
    <x v="0"/>
    <n v="0.19700000000000001"/>
    <x v="8"/>
    <x v="0"/>
    <x v="8"/>
    <x v="2"/>
    <x v="22"/>
    <x v="22"/>
  </r>
  <r>
    <n v="866"/>
    <x v="4"/>
    <n v="1"/>
    <n v="1"/>
    <x v="10"/>
    <b v="0"/>
    <s v="Working"/>
    <n v="3"/>
    <x v="3"/>
    <n v="2"/>
    <n v="0.16"/>
    <x v="0"/>
    <n v="0.19700000000000001"/>
    <x v="2"/>
    <x v="0"/>
    <x v="8"/>
    <x v="12"/>
    <x v="23"/>
    <x v="23"/>
  </r>
  <r>
    <n v="867"/>
    <x v="4"/>
    <n v="1"/>
    <n v="1"/>
    <x v="0"/>
    <b v="0"/>
    <s v="Working"/>
    <n v="3"/>
    <x v="3"/>
    <n v="2"/>
    <n v="0.16"/>
    <x v="0"/>
    <n v="0.18179999999999999"/>
    <x v="2"/>
    <x v="0"/>
    <x v="7"/>
    <x v="12"/>
    <x v="24"/>
    <x v="12"/>
  </r>
  <r>
    <n v="868"/>
    <x v="4"/>
    <n v="1"/>
    <n v="1"/>
    <x v="1"/>
    <b v="0"/>
    <s v="Working"/>
    <n v="3"/>
    <x v="3"/>
    <n v="1"/>
    <n v="0.14000000000000001"/>
    <x v="0"/>
    <n v="0.1515"/>
    <x v="2"/>
    <x v="0"/>
    <x v="9"/>
    <x v="12"/>
    <x v="25"/>
    <x v="24"/>
  </r>
  <r>
    <n v="869"/>
    <x v="4"/>
    <n v="1"/>
    <n v="1"/>
    <x v="18"/>
    <b v="0"/>
    <s v="Working"/>
    <n v="3"/>
    <x v="3"/>
    <n v="1"/>
    <n v="0.14000000000000001"/>
    <x v="0"/>
    <n v="0.1515"/>
    <x v="2"/>
    <x v="0"/>
    <x v="6"/>
    <x v="12"/>
    <x v="26"/>
    <x v="25"/>
  </r>
  <r>
    <n v="870"/>
    <x v="4"/>
    <n v="1"/>
    <n v="1"/>
    <x v="19"/>
    <b v="0"/>
    <s v="Working"/>
    <n v="3"/>
    <x v="3"/>
    <n v="1"/>
    <n v="0.12"/>
    <x v="0"/>
    <n v="0.1515"/>
    <x v="8"/>
    <x v="0"/>
    <x v="9"/>
    <x v="12"/>
    <x v="9"/>
    <x v="0"/>
  </r>
  <r>
    <n v="1005"/>
    <x v="5"/>
    <n v="1"/>
    <n v="1"/>
    <x v="9"/>
    <b v="1"/>
    <s v="Holiday"/>
    <n v="1"/>
    <x v="4"/>
    <n v="3"/>
    <n v="0.14000000000000001"/>
    <x v="0"/>
    <n v="0.1212"/>
    <x v="8"/>
    <x v="0"/>
    <x v="3"/>
    <x v="12"/>
    <x v="0"/>
    <x v="26"/>
  </r>
  <r>
    <n v="1006"/>
    <x v="5"/>
    <n v="1"/>
    <n v="1"/>
    <x v="17"/>
    <b v="1"/>
    <s v="Holiday"/>
    <n v="1"/>
    <x v="4"/>
    <n v="3"/>
    <n v="0.16"/>
    <x v="0"/>
    <n v="0.13639999999999999"/>
    <x v="2"/>
    <x v="0"/>
    <x v="1"/>
    <x v="2"/>
    <x v="27"/>
    <x v="27"/>
  </r>
  <r>
    <n v="1007"/>
    <x v="6"/>
    <n v="1"/>
    <n v="1"/>
    <x v="20"/>
    <b v="0"/>
    <s v="Working"/>
    <n v="2"/>
    <x v="2"/>
    <n v="2"/>
    <n v="0.2"/>
    <x v="0"/>
    <n v="0.18179999999999999"/>
    <x v="2"/>
    <x v="0"/>
    <x v="10"/>
    <x v="12"/>
    <x v="27"/>
    <x v="2"/>
  </r>
  <r>
    <n v="1008"/>
    <x v="6"/>
    <n v="1"/>
    <n v="1"/>
    <x v="21"/>
    <b v="0"/>
    <s v="Working"/>
    <n v="2"/>
    <x v="2"/>
    <n v="2"/>
    <n v="0.2"/>
    <x v="0"/>
    <n v="0.19700000000000001"/>
    <x v="2"/>
    <x v="0"/>
    <x v="5"/>
    <x v="12"/>
    <x v="28"/>
    <x v="28"/>
  </r>
  <r>
    <n v="1010"/>
    <x v="6"/>
    <n v="1"/>
    <n v="1"/>
    <x v="13"/>
    <b v="0"/>
    <s v="Working"/>
    <n v="2"/>
    <x v="2"/>
    <n v="2"/>
    <n v="0.22"/>
    <x v="0"/>
    <n v="0.2273"/>
    <x v="5"/>
    <x v="0"/>
    <x v="6"/>
    <x v="0"/>
    <x v="20"/>
    <x v="5"/>
  </r>
  <r>
    <n v="1011"/>
    <x v="6"/>
    <n v="1"/>
    <n v="1"/>
    <x v="4"/>
    <b v="0"/>
    <s v="Working"/>
    <n v="2"/>
    <x v="2"/>
    <n v="2"/>
    <n v="0.22"/>
    <x v="0"/>
    <n v="0.2273"/>
    <x v="5"/>
    <x v="0"/>
    <x v="4"/>
    <x v="12"/>
    <x v="29"/>
    <x v="29"/>
  </r>
  <r>
    <n v="1012"/>
    <x v="6"/>
    <n v="1"/>
    <n v="1"/>
    <x v="16"/>
    <b v="0"/>
    <s v="Working"/>
    <n v="2"/>
    <x v="2"/>
    <n v="2"/>
    <n v="0.22"/>
    <x v="0"/>
    <n v="0.2273"/>
    <x v="3"/>
    <x v="0"/>
    <x v="4"/>
    <x v="2"/>
    <x v="30"/>
    <x v="30"/>
  </r>
  <r>
    <n v="1015"/>
    <x v="6"/>
    <n v="1"/>
    <n v="1"/>
    <x v="7"/>
    <b v="0"/>
    <s v="Working"/>
    <n v="2"/>
    <x v="2"/>
    <n v="2"/>
    <n v="0.22"/>
    <x v="0"/>
    <n v="0.2727"/>
    <x v="5"/>
    <x v="0"/>
    <x v="0"/>
    <x v="12"/>
    <x v="31"/>
    <x v="31"/>
  </r>
  <r>
    <n v="1016"/>
    <x v="6"/>
    <n v="1"/>
    <n v="1"/>
    <x v="8"/>
    <b v="0"/>
    <s v="Working"/>
    <n v="2"/>
    <x v="2"/>
    <n v="2"/>
    <n v="0.22"/>
    <x v="0"/>
    <n v="0.2424"/>
    <x v="8"/>
    <x v="0"/>
    <x v="7"/>
    <x v="12"/>
    <x v="32"/>
    <x v="32"/>
  </r>
  <r>
    <n v="1017"/>
    <x v="6"/>
    <n v="1"/>
    <n v="1"/>
    <x v="9"/>
    <b v="0"/>
    <s v="Working"/>
    <n v="2"/>
    <x v="2"/>
    <n v="2"/>
    <n v="0.22"/>
    <x v="0"/>
    <n v="0.2576"/>
    <x v="8"/>
    <x v="0"/>
    <x v="8"/>
    <x v="12"/>
    <x v="33"/>
    <x v="33"/>
  </r>
  <r>
    <n v="1018"/>
    <x v="6"/>
    <n v="1"/>
    <n v="1"/>
    <x v="17"/>
    <b v="0"/>
    <s v="Working"/>
    <n v="2"/>
    <x v="2"/>
    <n v="2"/>
    <n v="0.22"/>
    <x v="0"/>
    <n v="0.2727"/>
    <x v="8"/>
    <x v="0"/>
    <x v="0"/>
    <x v="2"/>
    <x v="34"/>
    <x v="16"/>
  </r>
  <r>
    <n v="1019"/>
    <x v="7"/>
    <n v="1"/>
    <n v="1"/>
    <x v="10"/>
    <b v="0"/>
    <s v="Working"/>
    <n v="3"/>
    <x v="3"/>
    <n v="2"/>
    <n v="0.22"/>
    <x v="0"/>
    <n v="0.2727"/>
    <x v="8"/>
    <x v="0"/>
    <x v="0"/>
    <x v="12"/>
    <x v="27"/>
    <x v="2"/>
  </r>
  <r>
    <n v="1020"/>
    <x v="7"/>
    <n v="1"/>
    <n v="1"/>
    <x v="0"/>
    <b v="0"/>
    <s v="Working"/>
    <n v="3"/>
    <x v="3"/>
    <n v="3"/>
    <n v="0.22"/>
    <x v="0"/>
    <n v="0.2273"/>
    <x v="8"/>
    <x v="0"/>
    <x v="9"/>
    <x v="2"/>
    <x v="24"/>
    <x v="23"/>
  </r>
  <r>
    <n v="1021"/>
    <x v="7"/>
    <n v="1"/>
    <n v="1"/>
    <x v="1"/>
    <b v="0"/>
    <s v="Working"/>
    <n v="3"/>
    <x v="3"/>
    <n v="3"/>
    <n v="0.22"/>
    <x v="0"/>
    <n v="0.2273"/>
    <x v="8"/>
    <x v="0"/>
    <x v="9"/>
    <x v="12"/>
    <x v="27"/>
    <x v="2"/>
  </r>
  <r>
    <n v="1022"/>
    <x v="7"/>
    <n v="1"/>
    <n v="1"/>
    <x v="22"/>
    <b v="0"/>
    <s v="Working"/>
    <n v="3"/>
    <x v="3"/>
    <n v="3"/>
    <n v="0.22"/>
    <x v="0"/>
    <n v="0.2273"/>
    <x v="8"/>
    <x v="0"/>
    <x v="9"/>
    <x v="2"/>
    <x v="25"/>
    <x v="34"/>
  </r>
  <r>
    <n v="1023"/>
    <x v="7"/>
    <n v="1"/>
    <n v="1"/>
    <x v="18"/>
    <b v="0"/>
    <s v="Working"/>
    <n v="3"/>
    <x v="3"/>
    <n v="2"/>
    <n v="0.22"/>
    <x v="0"/>
    <n v="0.2576"/>
    <x v="8"/>
    <x v="0"/>
    <x v="8"/>
    <x v="12"/>
    <x v="23"/>
    <x v="23"/>
  </r>
  <r>
    <n v="1024"/>
    <x v="7"/>
    <n v="1"/>
    <n v="1"/>
    <x v="19"/>
    <b v="0"/>
    <s v="Working"/>
    <n v="3"/>
    <x v="3"/>
    <n v="2"/>
    <n v="0.22"/>
    <x v="0"/>
    <n v="0.2576"/>
    <x v="8"/>
    <x v="0"/>
    <x v="8"/>
    <x v="12"/>
    <x v="20"/>
    <x v="1"/>
  </r>
  <r>
    <n v="1025"/>
    <x v="7"/>
    <n v="1"/>
    <n v="1"/>
    <x v="2"/>
    <b v="0"/>
    <s v="Working"/>
    <n v="3"/>
    <x v="3"/>
    <n v="2"/>
    <n v="0.24"/>
    <x v="0"/>
    <n v="0.2576"/>
    <x v="9"/>
    <x v="0"/>
    <x v="7"/>
    <x v="2"/>
    <x v="35"/>
    <x v="35"/>
  </r>
  <r>
    <n v="1026"/>
    <x v="7"/>
    <n v="1"/>
    <n v="1"/>
    <x v="14"/>
    <b v="0"/>
    <s v="Working"/>
    <n v="3"/>
    <x v="3"/>
    <n v="2"/>
    <n v="0.24"/>
    <x v="0"/>
    <n v="0.2576"/>
    <x v="8"/>
    <x v="0"/>
    <x v="7"/>
    <x v="2"/>
    <x v="36"/>
    <x v="36"/>
  </r>
  <r>
    <n v="1027"/>
    <x v="7"/>
    <n v="1"/>
    <n v="1"/>
    <x v="15"/>
    <b v="0"/>
    <s v="Working"/>
    <n v="3"/>
    <x v="3"/>
    <n v="2"/>
    <n v="0.24"/>
    <x v="0"/>
    <n v="0.2576"/>
    <x v="8"/>
    <x v="0"/>
    <x v="7"/>
    <x v="9"/>
    <x v="37"/>
    <x v="37"/>
  </r>
  <r>
    <n v="1028"/>
    <x v="7"/>
    <n v="1"/>
    <n v="1"/>
    <x v="12"/>
    <b v="0"/>
    <s v="Working"/>
    <n v="3"/>
    <x v="3"/>
    <n v="2"/>
    <n v="0.26"/>
    <x v="1"/>
    <n v="0.2727"/>
    <x v="8"/>
    <x v="0"/>
    <x v="9"/>
    <x v="2"/>
    <x v="12"/>
    <x v="38"/>
  </r>
  <r>
    <n v="1029"/>
    <x v="7"/>
    <n v="1"/>
    <n v="1"/>
    <x v="3"/>
    <b v="0"/>
    <s v="Working"/>
    <n v="3"/>
    <x v="3"/>
    <n v="2"/>
    <n v="0.28000000000000003"/>
    <x v="1"/>
    <n v="0.30299999999999999"/>
    <x v="5"/>
    <x v="0"/>
    <x v="8"/>
    <x v="1"/>
    <x v="38"/>
    <x v="39"/>
  </r>
  <r>
    <n v="1030"/>
    <x v="7"/>
    <n v="1"/>
    <n v="1"/>
    <x v="20"/>
    <b v="0"/>
    <s v="Working"/>
    <n v="3"/>
    <x v="3"/>
    <n v="2"/>
    <n v="0.3"/>
    <x v="1"/>
    <n v="0.31819999999999998"/>
    <x v="0"/>
    <x v="0"/>
    <x v="8"/>
    <x v="1"/>
    <x v="39"/>
    <x v="40"/>
  </r>
  <r>
    <n v="1070"/>
    <x v="8"/>
    <n v="1"/>
    <n v="1"/>
    <x v="22"/>
    <b v="0"/>
    <s v="Working"/>
    <n v="5"/>
    <x v="5"/>
    <n v="2"/>
    <n v="0.22"/>
    <x v="0"/>
    <n v="0.2576"/>
    <x v="5"/>
    <x v="0"/>
    <x v="8"/>
    <x v="12"/>
    <x v="25"/>
    <x v="24"/>
  </r>
  <r>
    <n v="1185"/>
    <x v="9"/>
    <n v="1"/>
    <n v="1"/>
    <x v="18"/>
    <b v="0"/>
    <s v="Working"/>
    <n v="3"/>
    <x v="3"/>
    <n v="3"/>
    <n v="0.2"/>
    <x v="0"/>
    <n v="0.18179999999999999"/>
    <x v="2"/>
    <x v="0"/>
    <x v="1"/>
    <x v="12"/>
    <x v="25"/>
    <x v="24"/>
  </r>
  <r>
    <n v="1186"/>
    <x v="9"/>
    <n v="1"/>
    <n v="1"/>
    <x v="19"/>
    <b v="0"/>
    <s v="Working"/>
    <n v="3"/>
    <x v="3"/>
    <n v="3"/>
    <n v="0.2"/>
    <x v="0"/>
    <n v="0.18179999999999999"/>
    <x v="2"/>
    <x v="0"/>
    <x v="1"/>
    <x v="12"/>
    <x v="10"/>
    <x v="41"/>
  </r>
  <r>
    <n v="1187"/>
    <x v="9"/>
    <n v="1"/>
    <n v="1"/>
    <x v="2"/>
    <b v="0"/>
    <s v="Working"/>
    <n v="3"/>
    <x v="3"/>
    <n v="3"/>
    <n v="0.22"/>
    <x v="0"/>
    <n v="0.21210000000000001"/>
    <x v="5"/>
    <x v="0"/>
    <x v="2"/>
    <x v="2"/>
    <x v="40"/>
    <x v="42"/>
  </r>
  <r>
    <n v="1188"/>
    <x v="9"/>
    <n v="1"/>
    <n v="1"/>
    <x v="14"/>
    <b v="0"/>
    <s v="Working"/>
    <n v="3"/>
    <x v="3"/>
    <n v="3"/>
    <n v="0.22"/>
    <x v="0"/>
    <n v="0.21210000000000001"/>
    <x v="5"/>
    <x v="0"/>
    <x v="2"/>
    <x v="0"/>
    <x v="41"/>
    <x v="43"/>
  </r>
  <r>
    <n v="1189"/>
    <x v="9"/>
    <n v="1"/>
    <n v="1"/>
    <x v="15"/>
    <b v="0"/>
    <s v="Working"/>
    <n v="3"/>
    <x v="3"/>
    <n v="3"/>
    <n v="0.22"/>
    <x v="0"/>
    <n v="0.21210000000000001"/>
    <x v="5"/>
    <x v="0"/>
    <x v="2"/>
    <x v="0"/>
    <x v="13"/>
    <x v="44"/>
  </r>
  <r>
    <n v="1190"/>
    <x v="9"/>
    <n v="1"/>
    <n v="1"/>
    <x v="12"/>
    <b v="0"/>
    <s v="Working"/>
    <n v="3"/>
    <x v="3"/>
    <n v="3"/>
    <n v="0.22"/>
    <x v="0"/>
    <n v="0.21210000000000001"/>
    <x v="8"/>
    <x v="0"/>
    <x v="1"/>
    <x v="9"/>
    <x v="5"/>
    <x v="9"/>
  </r>
  <r>
    <n v="1191"/>
    <x v="9"/>
    <n v="1"/>
    <n v="1"/>
    <x v="3"/>
    <b v="0"/>
    <s v="Working"/>
    <n v="3"/>
    <x v="3"/>
    <n v="3"/>
    <n v="0.22"/>
    <x v="0"/>
    <n v="0.19700000000000001"/>
    <x v="8"/>
    <x v="0"/>
    <x v="10"/>
    <x v="6"/>
    <x v="42"/>
    <x v="32"/>
  </r>
  <r>
    <n v="1192"/>
    <x v="9"/>
    <n v="1"/>
    <n v="1"/>
    <x v="20"/>
    <b v="0"/>
    <s v="Working"/>
    <n v="3"/>
    <x v="3"/>
    <n v="3"/>
    <n v="0.22"/>
    <x v="0"/>
    <n v="0.19700000000000001"/>
    <x v="8"/>
    <x v="0"/>
    <x v="10"/>
    <x v="10"/>
    <x v="32"/>
    <x v="45"/>
  </r>
  <r>
    <n v="1193"/>
    <x v="9"/>
    <n v="1"/>
    <n v="1"/>
    <x v="21"/>
    <b v="0"/>
    <s v="Working"/>
    <n v="3"/>
    <x v="3"/>
    <n v="3"/>
    <n v="0.22"/>
    <x v="0"/>
    <n v="0.19700000000000001"/>
    <x v="8"/>
    <x v="0"/>
    <x v="10"/>
    <x v="8"/>
    <x v="43"/>
    <x v="38"/>
  </r>
  <r>
    <n v="1194"/>
    <x v="9"/>
    <n v="1"/>
    <n v="1"/>
    <x v="23"/>
    <b v="0"/>
    <s v="Working"/>
    <n v="3"/>
    <x v="3"/>
    <n v="3"/>
    <n v="0.22"/>
    <x v="0"/>
    <n v="0.19700000000000001"/>
    <x v="8"/>
    <x v="0"/>
    <x v="11"/>
    <x v="12"/>
    <x v="44"/>
    <x v="7"/>
  </r>
  <r>
    <n v="1195"/>
    <x v="9"/>
    <n v="1"/>
    <n v="1"/>
    <x v="13"/>
    <b v="0"/>
    <s v="Working"/>
    <n v="3"/>
    <x v="3"/>
    <n v="3"/>
    <n v="0.22"/>
    <x v="0"/>
    <n v="0.18179999999999999"/>
    <x v="8"/>
    <x v="0"/>
    <x v="12"/>
    <x v="2"/>
    <x v="45"/>
    <x v="46"/>
  </r>
  <r>
    <n v="1196"/>
    <x v="9"/>
    <n v="1"/>
    <n v="1"/>
    <x v="4"/>
    <b v="0"/>
    <s v="Working"/>
    <n v="3"/>
    <x v="3"/>
    <n v="4"/>
    <n v="0.22"/>
    <x v="0"/>
    <n v="0.19700000000000001"/>
    <x v="8"/>
    <x v="0"/>
    <x v="10"/>
    <x v="2"/>
    <x v="42"/>
    <x v="7"/>
  </r>
  <r>
    <n v="1197"/>
    <x v="9"/>
    <n v="1"/>
    <n v="1"/>
    <x v="16"/>
    <b v="0"/>
    <s v="Working"/>
    <n v="3"/>
    <x v="3"/>
    <n v="3"/>
    <n v="0.2"/>
    <x v="0"/>
    <n v="0.18179999999999999"/>
    <x v="8"/>
    <x v="0"/>
    <x v="11"/>
    <x v="12"/>
    <x v="5"/>
    <x v="47"/>
  </r>
  <r>
    <n v="1212"/>
    <x v="10"/>
    <n v="1"/>
    <n v="1"/>
    <x v="2"/>
    <b v="0"/>
    <s v="Working"/>
    <n v="5"/>
    <x v="5"/>
    <n v="2"/>
    <n v="0.16"/>
    <x v="0"/>
    <n v="0.19700000000000001"/>
    <x v="2"/>
    <x v="0"/>
    <x v="8"/>
    <x v="9"/>
    <x v="46"/>
    <x v="48"/>
  </r>
  <r>
    <n v="1213"/>
    <x v="10"/>
    <n v="1"/>
    <n v="1"/>
    <x v="14"/>
    <b v="0"/>
    <s v="Working"/>
    <n v="5"/>
    <x v="5"/>
    <n v="2"/>
    <n v="0.16"/>
    <x v="0"/>
    <n v="0.19700000000000001"/>
    <x v="2"/>
    <x v="0"/>
    <x v="8"/>
    <x v="9"/>
    <x v="47"/>
    <x v="49"/>
  </r>
  <r>
    <n v="1214"/>
    <x v="10"/>
    <n v="1"/>
    <n v="1"/>
    <x v="15"/>
    <b v="0"/>
    <s v="Working"/>
    <n v="5"/>
    <x v="5"/>
    <n v="3"/>
    <n v="0.18"/>
    <x v="0"/>
    <n v="0.21210000000000001"/>
    <x v="2"/>
    <x v="0"/>
    <x v="8"/>
    <x v="6"/>
    <x v="48"/>
    <x v="50"/>
  </r>
  <r>
    <n v="1215"/>
    <x v="10"/>
    <n v="1"/>
    <n v="1"/>
    <x v="12"/>
    <b v="0"/>
    <s v="Working"/>
    <n v="5"/>
    <x v="5"/>
    <n v="3"/>
    <n v="0.18"/>
    <x v="0"/>
    <n v="0.21210000000000001"/>
    <x v="2"/>
    <x v="0"/>
    <x v="7"/>
    <x v="12"/>
    <x v="49"/>
    <x v="51"/>
  </r>
  <r>
    <n v="1216"/>
    <x v="10"/>
    <n v="1"/>
    <n v="1"/>
    <x v="3"/>
    <b v="0"/>
    <s v="Working"/>
    <n v="5"/>
    <x v="5"/>
    <n v="3"/>
    <n v="0.18"/>
    <x v="0"/>
    <n v="0.21210000000000001"/>
    <x v="8"/>
    <x v="0"/>
    <x v="7"/>
    <x v="12"/>
    <x v="3"/>
    <x v="42"/>
  </r>
  <r>
    <n v="1217"/>
    <x v="10"/>
    <n v="1"/>
    <n v="1"/>
    <x v="20"/>
    <b v="0"/>
    <s v="Working"/>
    <n v="5"/>
    <x v="5"/>
    <n v="3"/>
    <n v="0.18"/>
    <x v="0"/>
    <n v="0.21210000000000001"/>
    <x v="8"/>
    <x v="0"/>
    <x v="7"/>
    <x v="2"/>
    <x v="21"/>
    <x v="21"/>
  </r>
  <r>
    <n v="1218"/>
    <x v="10"/>
    <n v="1"/>
    <n v="1"/>
    <x v="21"/>
    <b v="0"/>
    <s v="Working"/>
    <n v="5"/>
    <x v="5"/>
    <n v="3"/>
    <n v="0.18"/>
    <x v="0"/>
    <n v="0.21210000000000001"/>
    <x v="8"/>
    <x v="0"/>
    <x v="7"/>
    <x v="12"/>
    <x v="6"/>
    <x v="52"/>
  </r>
  <r>
    <n v="1220"/>
    <x v="10"/>
    <n v="1"/>
    <n v="1"/>
    <x v="13"/>
    <b v="0"/>
    <s v="Working"/>
    <n v="5"/>
    <x v="5"/>
    <n v="2"/>
    <n v="0.2"/>
    <x v="0"/>
    <n v="0.2576"/>
    <x v="2"/>
    <x v="0"/>
    <x v="0"/>
    <x v="2"/>
    <x v="50"/>
    <x v="32"/>
  </r>
  <r>
    <n v="2"/>
    <x v="0"/>
    <n v="1"/>
    <n v="1"/>
    <x v="0"/>
    <b v="0"/>
    <s v="Working"/>
    <n v="6"/>
    <x v="0"/>
    <n v="1"/>
    <n v="0.22"/>
    <x v="0"/>
    <n v="0.2727"/>
    <x v="1"/>
    <x v="1"/>
    <x v="0"/>
    <x v="13"/>
    <x v="20"/>
    <x v="53"/>
  </r>
  <r>
    <n v="7"/>
    <x v="0"/>
    <n v="1"/>
    <n v="1"/>
    <x v="19"/>
    <b v="0"/>
    <s v="Working"/>
    <n v="6"/>
    <x v="0"/>
    <n v="1"/>
    <n v="0.22"/>
    <x v="0"/>
    <n v="0.2727"/>
    <x v="1"/>
    <x v="1"/>
    <x v="0"/>
    <x v="9"/>
    <x v="51"/>
    <x v="34"/>
  </r>
  <r>
    <n v="172"/>
    <x v="2"/>
    <n v="1"/>
    <n v="1"/>
    <x v="12"/>
    <b v="0"/>
    <s v="Working"/>
    <n v="6"/>
    <x v="0"/>
    <n v="2"/>
    <n v="0.18"/>
    <x v="0"/>
    <n v="0.19700000000000001"/>
    <x v="1"/>
    <x v="1"/>
    <x v="6"/>
    <x v="1"/>
    <x v="52"/>
    <x v="29"/>
  </r>
  <r>
    <n v="247"/>
    <x v="3"/>
    <n v="1"/>
    <n v="1"/>
    <x v="13"/>
    <b v="0"/>
    <s v="Working"/>
    <n v="2"/>
    <x v="2"/>
    <n v="2"/>
    <n v="0.16"/>
    <x v="0"/>
    <n v="0.19700000000000001"/>
    <x v="1"/>
    <x v="1"/>
    <x v="8"/>
    <x v="9"/>
    <x v="53"/>
    <x v="38"/>
  </r>
  <r>
    <n v="393"/>
    <x v="5"/>
    <n v="1"/>
    <n v="1"/>
    <x v="7"/>
    <b v="1"/>
    <s v="Holiday"/>
    <n v="1"/>
    <x v="4"/>
    <n v="3"/>
    <n v="0.16"/>
    <x v="0"/>
    <n v="0.1515"/>
    <x v="1"/>
    <x v="1"/>
    <x v="4"/>
    <x v="8"/>
    <x v="40"/>
    <x v="33"/>
  </r>
  <r>
    <n v="394"/>
    <x v="5"/>
    <n v="1"/>
    <n v="1"/>
    <x v="8"/>
    <b v="1"/>
    <s v="Holiday"/>
    <n v="1"/>
    <x v="4"/>
    <n v="3"/>
    <n v="0.16"/>
    <x v="0"/>
    <n v="0.1515"/>
    <x v="1"/>
    <x v="1"/>
    <x v="4"/>
    <x v="0"/>
    <x v="54"/>
    <x v="54"/>
  </r>
  <r>
    <n v="399"/>
    <x v="6"/>
    <n v="1"/>
    <n v="1"/>
    <x v="23"/>
    <b v="0"/>
    <s v="Working"/>
    <n v="2"/>
    <x v="2"/>
    <n v="2"/>
    <n v="0.22"/>
    <x v="0"/>
    <n v="0.2273"/>
    <x v="1"/>
    <x v="1"/>
    <x v="6"/>
    <x v="9"/>
    <x v="5"/>
    <x v="9"/>
  </r>
  <r>
    <n v="403"/>
    <x v="6"/>
    <n v="1"/>
    <n v="1"/>
    <x v="5"/>
    <b v="0"/>
    <s v="Working"/>
    <n v="2"/>
    <x v="2"/>
    <n v="2"/>
    <n v="0.22"/>
    <x v="0"/>
    <n v="0.2273"/>
    <x v="1"/>
    <x v="1"/>
    <x v="6"/>
    <x v="2"/>
    <x v="55"/>
    <x v="55"/>
  </r>
  <r>
    <n v="404"/>
    <x v="6"/>
    <n v="1"/>
    <n v="1"/>
    <x v="6"/>
    <b v="0"/>
    <s v="Working"/>
    <n v="2"/>
    <x v="2"/>
    <n v="2"/>
    <n v="0.22"/>
    <x v="0"/>
    <n v="0.2273"/>
    <x v="1"/>
    <x v="1"/>
    <x v="9"/>
    <x v="2"/>
    <x v="56"/>
    <x v="56"/>
  </r>
  <r>
    <n v="459"/>
    <x v="8"/>
    <n v="1"/>
    <n v="1"/>
    <x v="11"/>
    <b v="0"/>
    <s v="Working"/>
    <n v="5"/>
    <x v="5"/>
    <n v="3"/>
    <n v="0.22"/>
    <x v="0"/>
    <n v="0.21210000000000001"/>
    <x v="1"/>
    <x v="1"/>
    <x v="2"/>
    <x v="12"/>
    <x v="25"/>
    <x v="24"/>
  </r>
  <r>
    <n v="595"/>
    <x v="11"/>
    <n v="1"/>
    <n v="1"/>
    <x v="17"/>
    <b v="0"/>
    <s v="Working"/>
    <n v="4"/>
    <x v="6"/>
    <n v="1"/>
    <n v="0.18"/>
    <x v="0"/>
    <n v="0.19700000000000001"/>
    <x v="1"/>
    <x v="1"/>
    <x v="6"/>
    <x v="12"/>
    <x v="9"/>
    <x v="0"/>
  </r>
  <r>
    <n v="600"/>
    <x v="10"/>
    <n v="1"/>
    <n v="1"/>
    <x v="18"/>
    <b v="0"/>
    <s v="Working"/>
    <n v="5"/>
    <x v="5"/>
    <n v="2"/>
    <n v="0.18"/>
    <x v="0"/>
    <n v="0.21210000000000001"/>
    <x v="1"/>
    <x v="1"/>
    <x v="7"/>
    <x v="12"/>
    <x v="11"/>
    <x v="27"/>
  </r>
  <r>
    <n v="601"/>
    <x v="10"/>
    <n v="1"/>
    <n v="1"/>
    <x v="19"/>
    <b v="0"/>
    <s v="Working"/>
    <n v="5"/>
    <x v="5"/>
    <n v="2"/>
    <n v="0.18"/>
    <x v="0"/>
    <n v="0.19700000000000001"/>
    <x v="1"/>
    <x v="1"/>
    <x v="9"/>
    <x v="12"/>
    <x v="9"/>
    <x v="0"/>
  </r>
  <r>
    <n v="609"/>
    <x v="10"/>
    <n v="1"/>
    <n v="1"/>
    <x v="23"/>
    <b v="0"/>
    <s v="Working"/>
    <n v="5"/>
    <x v="5"/>
    <n v="3"/>
    <n v="0.22"/>
    <x v="0"/>
    <n v="0.2727"/>
    <x v="1"/>
    <x v="1"/>
    <x v="0"/>
    <x v="9"/>
    <x v="44"/>
    <x v="57"/>
  </r>
  <r>
    <n v="612"/>
    <x v="0"/>
    <n v="1"/>
    <n v="1"/>
    <x v="0"/>
    <b v="0"/>
    <s v="Working"/>
    <n v="6"/>
    <x v="0"/>
    <n v="1"/>
    <n v="0.22"/>
    <x v="0"/>
    <n v="0.2727"/>
    <x v="1"/>
    <x v="1"/>
    <x v="0"/>
    <x v="13"/>
    <x v="20"/>
    <x v="53"/>
  </r>
  <r>
    <n v="613"/>
    <x v="0"/>
    <n v="1"/>
    <n v="1"/>
    <x v="1"/>
    <b v="0"/>
    <s v="Working"/>
    <n v="6"/>
    <x v="0"/>
    <n v="1"/>
    <n v="0.22"/>
    <x v="0"/>
    <n v="0.2727"/>
    <x v="1"/>
    <x v="1"/>
    <x v="0"/>
    <x v="1"/>
    <x v="1"/>
    <x v="1"/>
  </r>
  <r>
    <n v="617"/>
    <x v="0"/>
    <n v="1"/>
    <n v="1"/>
    <x v="19"/>
    <b v="0"/>
    <s v="Working"/>
    <n v="6"/>
    <x v="0"/>
    <n v="1"/>
    <n v="0.22"/>
    <x v="0"/>
    <n v="0.2727"/>
    <x v="1"/>
    <x v="1"/>
    <x v="0"/>
    <x v="9"/>
    <x v="51"/>
    <x v="34"/>
  </r>
  <r>
    <n v="782"/>
    <x v="2"/>
    <n v="1"/>
    <n v="1"/>
    <x v="12"/>
    <b v="0"/>
    <s v="Working"/>
    <n v="6"/>
    <x v="0"/>
    <n v="2"/>
    <n v="0.18"/>
    <x v="0"/>
    <n v="0.19700000000000001"/>
    <x v="1"/>
    <x v="1"/>
    <x v="6"/>
    <x v="1"/>
    <x v="52"/>
    <x v="29"/>
  </r>
  <r>
    <n v="857"/>
    <x v="3"/>
    <n v="1"/>
    <n v="1"/>
    <x v="13"/>
    <b v="0"/>
    <s v="Working"/>
    <n v="2"/>
    <x v="2"/>
    <n v="2"/>
    <n v="0.16"/>
    <x v="0"/>
    <n v="0.19700000000000001"/>
    <x v="1"/>
    <x v="1"/>
    <x v="8"/>
    <x v="9"/>
    <x v="53"/>
    <x v="38"/>
  </r>
  <r>
    <n v="1003"/>
    <x v="5"/>
    <n v="1"/>
    <n v="1"/>
    <x v="7"/>
    <b v="1"/>
    <s v="Holiday"/>
    <n v="1"/>
    <x v="4"/>
    <n v="3"/>
    <n v="0.16"/>
    <x v="0"/>
    <n v="0.1515"/>
    <x v="1"/>
    <x v="1"/>
    <x v="4"/>
    <x v="8"/>
    <x v="40"/>
    <x v="33"/>
  </r>
  <r>
    <n v="1004"/>
    <x v="5"/>
    <n v="1"/>
    <n v="1"/>
    <x v="8"/>
    <b v="1"/>
    <s v="Holiday"/>
    <n v="1"/>
    <x v="4"/>
    <n v="3"/>
    <n v="0.16"/>
    <x v="0"/>
    <n v="0.1515"/>
    <x v="1"/>
    <x v="1"/>
    <x v="4"/>
    <x v="0"/>
    <x v="54"/>
    <x v="54"/>
  </r>
  <r>
    <n v="1009"/>
    <x v="6"/>
    <n v="1"/>
    <n v="1"/>
    <x v="23"/>
    <b v="0"/>
    <s v="Working"/>
    <n v="2"/>
    <x v="2"/>
    <n v="2"/>
    <n v="0.22"/>
    <x v="0"/>
    <n v="0.2273"/>
    <x v="1"/>
    <x v="1"/>
    <x v="6"/>
    <x v="9"/>
    <x v="5"/>
    <x v="9"/>
  </r>
  <r>
    <n v="1013"/>
    <x v="6"/>
    <n v="1"/>
    <n v="1"/>
    <x v="5"/>
    <b v="0"/>
    <s v="Working"/>
    <n v="2"/>
    <x v="2"/>
    <n v="2"/>
    <n v="0.22"/>
    <x v="0"/>
    <n v="0.2273"/>
    <x v="1"/>
    <x v="1"/>
    <x v="6"/>
    <x v="2"/>
    <x v="55"/>
    <x v="55"/>
  </r>
  <r>
    <n v="1014"/>
    <x v="6"/>
    <n v="1"/>
    <n v="1"/>
    <x v="6"/>
    <b v="0"/>
    <s v="Working"/>
    <n v="2"/>
    <x v="2"/>
    <n v="2"/>
    <n v="0.22"/>
    <x v="0"/>
    <n v="0.2273"/>
    <x v="1"/>
    <x v="1"/>
    <x v="9"/>
    <x v="2"/>
    <x v="56"/>
    <x v="56"/>
  </r>
  <r>
    <n v="1069"/>
    <x v="8"/>
    <n v="1"/>
    <n v="1"/>
    <x v="11"/>
    <b v="0"/>
    <s v="Working"/>
    <n v="5"/>
    <x v="5"/>
    <n v="3"/>
    <n v="0.22"/>
    <x v="0"/>
    <n v="0.21210000000000001"/>
    <x v="1"/>
    <x v="1"/>
    <x v="2"/>
    <x v="12"/>
    <x v="25"/>
    <x v="24"/>
  </r>
  <r>
    <n v="1205"/>
    <x v="11"/>
    <n v="1"/>
    <n v="1"/>
    <x v="17"/>
    <b v="0"/>
    <s v="Working"/>
    <n v="4"/>
    <x v="6"/>
    <n v="1"/>
    <n v="0.18"/>
    <x v="0"/>
    <n v="0.19700000000000001"/>
    <x v="1"/>
    <x v="1"/>
    <x v="6"/>
    <x v="12"/>
    <x v="9"/>
    <x v="0"/>
  </r>
  <r>
    <n v="1210"/>
    <x v="10"/>
    <n v="1"/>
    <n v="1"/>
    <x v="18"/>
    <b v="0"/>
    <s v="Working"/>
    <n v="5"/>
    <x v="5"/>
    <n v="2"/>
    <n v="0.18"/>
    <x v="0"/>
    <n v="0.21210000000000001"/>
    <x v="1"/>
    <x v="1"/>
    <x v="7"/>
    <x v="12"/>
    <x v="11"/>
    <x v="27"/>
  </r>
  <r>
    <n v="1211"/>
    <x v="10"/>
    <n v="1"/>
    <n v="1"/>
    <x v="19"/>
    <b v="0"/>
    <s v="Working"/>
    <n v="5"/>
    <x v="5"/>
    <n v="2"/>
    <n v="0.18"/>
    <x v="0"/>
    <n v="0.19700000000000001"/>
    <x v="1"/>
    <x v="1"/>
    <x v="9"/>
    <x v="12"/>
    <x v="9"/>
    <x v="0"/>
  </r>
  <r>
    <n v="1219"/>
    <x v="10"/>
    <n v="1"/>
    <n v="1"/>
    <x v="23"/>
    <b v="0"/>
    <s v="Working"/>
    <n v="5"/>
    <x v="5"/>
    <n v="3"/>
    <n v="0.22"/>
    <x v="0"/>
    <n v="0.2727"/>
    <x v="1"/>
    <x v="1"/>
    <x v="0"/>
    <x v="9"/>
    <x v="44"/>
    <x v="57"/>
  </r>
  <r>
    <n v="4"/>
    <x v="0"/>
    <n v="1"/>
    <n v="1"/>
    <x v="11"/>
    <b v="0"/>
    <s v="Working"/>
    <n v="6"/>
    <x v="0"/>
    <n v="1"/>
    <n v="0.24"/>
    <x v="0"/>
    <n v="0.28789999999999999"/>
    <x v="10"/>
    <x v="2"/>
    <x v="0"/>
    <x v="0"/>
    <x v="57"/>
    <x v="26"/>
  </r>
  <r>
    <n v="5"/>
    <x v="0"/>
    <n v="1"/>
    <n v="1"/>
    <x v="22"/>
    <b v="0"/>
    <s v="Working"/>
    <n v="6"/>
    <x v="0"/>
    <n v="1"/>
    <n v="0.24"/>
    <x v="0"/>
    <n v="0.28789999999999999"/>
    <x v="10"/>
    <x v="2"/>
    <x v="0"/>
    <x v="12"/>
    <x v="25"/>
    <x v="24"/>
  </r>
  <r>
    <n v="6"/>
    <x v="0"/>
    <n v="1"/>
    <n v="1"/>
    <x v="18"/>
    <b v="0"/>
    <s v="Working"/>
    <n v="6"/>
    <x v="0"/>
    <n v="2"/>
    <n v="0.24"/>
    <x v="0"/>
    <n v="0.2576"/>
    <x v="10"/>
    <x v="2"/>
    <x v="8"/>
    <x v="12"/>
    <x v="25"/>
    <x v="24"/>
  </r>
  <r>
    <n v="10"/>
    <x v="0"/>
    <n v="1"/>
    <n v="1"/>
    <x v="15"/>
    <b v="0"/>
    <s v="Working"/>
    <n v="6"/>
    <x v="0"/>
    <n v="1"/>
    <n v="0.32"/>
    <x v="1"/>
    <n v="0.34849999999999998"/>
    <x v="11"/>
    <x v="2"/>
    <x v="0"/>
    <x v="13"/>
    <x v="24"/>
    <x v="58"/>
  </r>
  <r>
    <n v="11"/>
    <x v="0"/>
    <n v="1"/>
    <n v="1"/>
    <x v="12"/>
    <b v="0"/>
    <s v="Working"/>
    <n v="6"/>
    <x v="0"/>
    <n v="1"/>
    <n v="0.38"/>
    <x v="1"/>
    <n v="0.39389999999999997"/>
    <x v="11"/>
    <x v="2"/>
    <x v="3"/>
    <x v="14"/>
    <x v="54"/>
    <x v="7"/>
  </r>
  <r>
    <n v="13"/>
    <x v="0"/>
    <n v="1"/>
    <n v="1"/>
    <x v="20"/>
    <b v="0"/>
    <s v="Working"/>
    <n v="6"/>
    <x v="0"/>
    <n v="1"/>
    <n v="0.42"/>
    <x v="1"/>
    <n v="0.42420000000000002"/>
    <x v="12"/>
    <x v="2"/>
    <x v="1"/>
    <x v="15"/>
    <x v="13"/>
    <x v="59"/>
  </r>
  <r>
    <n v="14"/>
    <x v="0"/>
    <n v="1"/>
    <n v="1"/>
    <x v="21"/>
    <b v="0"/>
    <s v="Working"/>
    <n v="6"/>
    <x v="0"/>
    <n v="2"/>
    <n v="0.46"/>
    <x v="1"/>
    <n v="0.45450000000000002"/>
    <x v="13"/>
    <x v="2"/>
    <x v="2"/>
    <x v="16"/>
    <x v="38"/>
    <x v="60"/>
  </r>
  <r>
    <n v="15"/>
    <x v="0"/>
    <n v="1"/>
    <n v="1"/>
    <x v="23"/>
    <b v="0"/>
    <s v="Working"/>
    <n v="6"/>
    <x v="0"/>
    <n v="2"/>
    <n v="0.46"/>
    <x v="1"/>
    <n v="0.45450000000000002"/>
    <x v="13"/>
    <x v="2"/>
    <x v="1"/>
    <x v="17"/>
    <x v="58"/>
    <x v="61"/>
  </r>
  <r>
    <n v="16"/>
    <x v="0"/>
    <n v="1"/>
    <n v="1"/>
    <x v="13"/>
    <b v="0"/>
    <s v="Working"/>
    <n v="6"/>
    <x v="0"/>
    <n v="2"/>
    <n v="0.44"/>
    <x v="1"/>
    <n v="0.43940000000000001"/>
    <x v="12"/>
    <x v="2"/>
    <x v="2"/>
    <x v="18"/>
    <x v="59"/>
    <x v="62"/>
  </r>
  <r>
    <n v="30"/>
    <x v="1"/>
    <n v="1"/>
    <n v="1"/>
    <x v="19"/>
    <b v="0"/>
    <s v="Working"/>
    <n v="0"/>
    <x v="1"/>
    <n v="3"/>
    <n v="0.42"/>
    <x v="1"/>
    <n v="0.42420000000000002"/>
    <x v="12"/>
    <x v="2"/>
    <x v="2"/>
    <x v="12"/>
    <x v="2"/>
    <x v="34"/>
  </r>
  <r>
    <n v="31"/>
    <x v="1"/>
    <n v="1"/>
    <n v="1"/>
    <x v="2"/>
    <b v="0"/>
    <s v="Working"/>
    <n v="0"/>
    <x v="1"/>
    <n v="2"/>
    <n v="0.4"/>
    <x v="1"/>
    <n v="0.40910000000000002"/>
    <x v="11"/>
    <x v="2"/>
    <x v="4"/>
    <x v="12"/>
    <x v="25"/>
    <x v="24"/>
  </r>
  <r>
    <n v="32"/>
    <x v="1"/>
    <n v="1"/>
    <n v="1"/>
    <x v="14"/>
    <b v="0"/>
    <s v="Working"/>
    <n v="0"/>
    <x v="1"/>
    <n v="3"/>
    <n v="0.4"/>
    <x v="1"/>
    <n v="0.40910000000000002"/>
    <x v="14"/>
    <x v="2"/>
    <x v="5"/>
    <x v="12"/>
    <x v="10"/>
    <x v="41"/>
  </r>
  <r>
    <n v="35"/>
    <x v="1"/>
    <n v="1"/>
    <n v="1"/>
    <x v="3"/>
    <b v="0"/>
    <s v="Working"/>
    <n v="0"/>
    <x v="1"/>
    <n v="2"/>
    <n v="0.36"/>
    <x v="1"/>
    <n v="0.33329999999999999"/>
    <x v="14"/>
    <x v="2"/>
    <x v="3"/>
    <x v="19"/>
    <x v="60"/>
    <x v="40"/>
  </r>
  <r>
    <n v="36"/>
    <x v="1"/>
    <n v="1"/>
    <n v="1"/>
    <x v="20"/>
    <b v="0"/>
    <s v="Working"/>
    <n v="0"/>
    <x v="1"/>
    <n v="2"/>
    <n v="0.36"/>
    <x v="1"/>
    <n v="0.33329999999999999"/>
    <x v="15"/>
    <x v="2"/>
    <x v="2"/>
    <x v="20"/>
    <x v="61"/>
    <x v="4"/>
  </r>
  <r>
    <n v="37"/>
    <x v="1"/>
    <n v="1"/>
    <n v="1"/>
    <x v="21"/>
    <b v="0"/>
    <s v="Working"/>
    <n v="0"/>
    <x v="1"/>
    <n v="2"/>
    <n v="0.36"/>
    <x v="1"/>
    <n v="0.34849999999999998"/>
    <x v="15"/>
    <x v="2"/>
    <x v="9"/>
    <x v="7"/>
    <x v="62"/>
    <x v="63"/>
  </r>
  <r>
    <n v="40"/>
    <x v="1"/>
    <n v="1"/>
    <n v="1"/>
    <x v="4"/>
    <b v="0"/>
    <s v="Working"/>
    <n v="0"/>
    <x v="1"/>
    <n v="3"/>
    <n v="0.34"/>
    <x v="1"/>
    <n v="0.33329999999999999"/>
    <x v="14"/>
    <x v="2"/>
    <x v="6"/>
    <x v="5"/>
    <x v="63"/>
    <x v="17"/>
  </r>
  <r>
    <n v="41"/>
    <x v="1"/>
    <n v="1"/>
    <n v="1"/>
    <x v="16"/>
    <b v="0"/>
    <s v="Working"/>
    <n v="0"/>
    <x v="1"/>
    <n v="1"/>
    <n v="0.34"/>
    <x v="1"/>
    <n v="0.33329999999999999"/>
    <x v="16"/>
    <x v="2"/>
    <x v="4"/>
    <x v="10"/>
    <x v="46"/>
    <x v="64"/>
  </r>
  <r>
    <n v="42"/>
    <x v="1"/>
    <n v="1"/>
    <n v="1"/>
    <x v="5"/>
    <b v="0"/>
    <s v="Working"/>
    <n v="0"/>
    <x v="1"/>
    <n v="2"/>
    <n v="0.36"/>
    <x v="1"/>
    <n v="0.33329999999999999"/>
    <x v="17"/>
    <x v="2"/>
    <x v="10"/>
    <x v="21"/>
    <x v="43"/>
    <x v="13"/>
  </r>
  <r>
    <n v="43"/>
    <x v="1"/>
    <n v="1"/>
    <n v="1"/>
    <x v="6"/>
    <b v="0"/>
    <s v="Working"/>
    <n v="0"/>
    <x v="1"/>
    <n v="1"/>
    <n v="0.32"/>
    <x v="1"/>
    <n v="0.28789999999999999"/>
    <x v="18"/>
    <x v="2"/>
    <x v="13"/>
    <x v="2"/>
    <x v="40"/>
    <x v="42"/>
  </r>
  <r>
    <n v="45"/>
    <x v="1"/>
    <n v="1"/>
    <n v="1"/>
    <x v="8"/>
    <b v="0"/>
    <s v="Working"/>
    <n v="0"/>
    <x v="1"/>
    <n v="1"/>
    <n v="0.26"/>
    <x v="1"/>
    <n v="0.2273"/>
    <x v="19"/>
    <x v="2"/>
    <x v="10"/>
    <x v="7"/>
    <x v="15"/>
    <x v="52"/>
  </r>
  <r>
    <n v="46"/>
    <x v="1"/>
    <n v="1"/>
    <n v="1"/>
    <x v="9"/>
    <b v="0"/>
    <s v="Working"/>
    <n v="0"/>
    <x v="1"/>
    <n v="1"/>
    <n v="0.24"/>
    <x v="0"/>
    <n v="0.21210000000000001"/>
    <x v="19"/>
    <x v="2"/>
    <x v="2"/>
    <x v="12"/>
    <x v="64"/>
    <x v="11"/>
  </r>
  <r>
    <n v="47"/>
    <x v="1"/>
    <n v="1"/>
    <n v="1"/>
    <x v="17"/>
    <b v="0"/>
    <s v="Working"/>
    <n v="0"/>
    <x v="1"/>
    <n v="1"/>
    <n v="0.22"/>
    <x v="0"/>
    <n v="0.2273"/>
    <x v="20"/>
    <x v="2"/>
    <x v="6"/>
    <x v="12"/>
    <x v="10"/>
    <x v="41"/>
  </r>
  <r>
    <n v="48"/>
    <x v="12"/>
    <n v="1"/>
    <n v="1"/>
    <x v="10"/>
    <b v="0"/>
    <s v="Working"/>
    <n v="1"/>
    <x v="4"/>
    <n v="1"/>
    <n v="0.22"/>
    <x v="0"/>
    <n v="0.19700000000000001"/>
    <x v="19"/>
    <x v="2"/>
    <x v="11"/>
    <x v="12"/>
    <x v="26"/>
    <x v="25"/>
  </r>
  <r>
    <n v="50"/>
    <x v="12"/>
    <n v="1"/>
    <n v="1"/>
    <x v="22"/>
    <b v="0"/>
    <s v="Working"/>
    <n v="1"/>
    <x v="4"/>
    <n v="1"/>
    <n v="0.16"/>
    <x v="0"/>
    <n v="0.13639999999999999"/>
    <x v="20"/>
    <x v="2"/>
    <x v="14"/>
    <x v="12"/>
    <x v="25"/>
    <x v="24"/>
  </r>
  <r>
    <n v="51"/>
    <x v="12"/>
    <n v="1"/>
    <n v="1"/>
    <x v="18"/>
    <b v="0"/>
    <s v="Working"/>
    <n v="1"/>
    <x v="4"/>
    <n v="1"/>
    <n v="0.16"/>
    <x v="0"/>
    <n v="0.13639999999999999"/>
    <x v="20"/>
    <x v="2"/>
    <x v="1"/>
    <x v="12"/>
    <x v="27"/>
    <x v="2"/>
  </r>
  <r>
    <n v="52"/>
    <x v="12"/>
    <n v="1"/>
    <n v="1"/>
    <x v="19"/>
    <b v="0"/>
    <s v="Working"/>
    <n v="1"/>
    <x v="4"/>
    <n v="1"/>
    <n v="0.14000000000000001"/>
    <x v="0"/>
    <n v="0.1061"/>
    <x v="21"/>
    <x v="2"/>
    <x v="14"/>
    <x v="12"/>
    <x v="3"/>
    <x v="42"/>
  </r>
  <r>
    <n v="53"/>
    <x v="12"/>
    <n v="1"/>
    <n v="1"/>
    <x v="2"/>
    <b v="0"/>
    <s v="Working"/>
    <n v="1"/>
    <x v="4"/>
    <n v="1"/>
    <n v="0.14000000000000001"/>
    <x v="0"/>
    <n v="0.13639999999999999"/>
    <x v="21"/>
    <x v="2"/>
    <x v="4"/>
    <x v="2"/>
    <x v="65"/>
    <x v="65"/>
  </r>
  <r>
    <n v="54"/>
    <x v="12"/>
    <n v="1"/>
    <n v="1"/>
    <x v="14"/>
    <b v="0"/>
    <s v="Working"/>
    <n v="1"/>
    <x v="4"/>
    <n v="1"/>
    <n v="0.14000000000000001"/>
    <x v="0"/>
    <n v="0.1212"/>
    <x v="21"/>
    <x v="2"/>
    <x v="1"/>
    <x v="2"/>
    <x v="66"/>
    <x v="66"/>
  </r>
  <r>
    <n v="55"/>
    <x v="12"/>
    <n v="1"/>
    <n v="1"/>
    <x v="15"/>
    <b v="0"/>
    <s v="Working"/>
    <n v="1"/>
    <x v="4"/>
    <n v="1"/>
    <n v="0.16"/>
    <x v="0"/>
    <n v="0.13639999999999999"/>
    <x v="22"/>
    <x v="2"/>
    <x v="14"/>
    <x v="10"/>
    <x v="67"/>
    <x v="67"/>
  </r>
  <r>
    <n v="56"/>
    <x v="12"/>
    <n v="1"/>
    <n v="1"/>
    <x v="12"/>
    <b v="0"/>
    <s v="Working"/>
    <n v="1"/>
    <x v="4"/>
    <n v="1"/>
    <n v="0.18"/>
    <x v="0"/>
    <n v="0.16669999999999999"/>
    <x v="22"/>
    <x v="2"/>
    <x v="3"/>
    <x v="7"/>
    <x v="33"/>
    <x v="68"/>
  </r>
  <r>
    <n v="57"/>
    <x v="12"/>
    <n v="1"/>
    <n v="1"/>
    <x v="3"/>
    <b v="0"/>
    <s v="Working"/>
    <n v="1"/>
    <x v="4"/>
    <n v="1"/>
    <n v="0.2"/>
    <x v="0"/>
    <n v="0.18179999999999999"/>
    <x v="23"/>
    <x v="2"/>
    <x v="10"/>
    <x v="21"/>
    <x v="32"/>
    <x v="20"/>
  </r>
  <r>
    <n v="58"/>
    <x v="12"/>
    <n v="1"/>
    <n v="1"/>
    <x v="20"/>
    <b v="0"/>
    <s v="Working"/>
    <n v="1"/>
    <x v="4"/>
    <n v="1"/>
    <n v="0.22"/>
    <x v="0"/>
    <n v="0.21210000000000001"/>
    <x v="24"/>
    <x v="2"/>
    <x v="2"/>
    <x v="22"/>
    <x v="68"/>
    <x v="29"/>
  </r>
  <r>
    <n v="60"/>
    <x v="12"/>
    <n v="1"/>
    <n v="1"/>
    <x v="23"/>
    <b v="0"/>
    <s v="Working"/>
    <n v="1"/>
    <x v="4"/>
    <n v="1"/>
    <n v="0.26"/>
    <x v="1"/>
    <n v="0.2424"/>
    <x v="25"/>
    <x v="2"/>
    <x v="1"/>
    <x v="7"/>
    <x v="69"/>
    <x v="69"/>
  </r>
  <r>
    <n v="61"/>
    <x v="12"/>
    <n v="1"/>
    <n v="1"/>
    <x v="13"/>
    <b v="0"/>
    <s v="Working"/>
    <n v="1"/>
    <x v="4"/>
    <n v="1"/>
    <n v="0.26"/>
    <x v="1"/>
    <n v="0.2424"/>
    <x v="25"/>
    <x v="2"/>
    <x v="3"/>
    <x v="23"/>
    <x v="46"/>
    <x v="43"/>
  </r>
  <r>
    <n v="62"/>
    <x v="12"/>
    <n v="1"/>
    <n v="1"/>
    <x v="4"/>
    <b v="0"/>
    <s v="Working"/>
    <n v="1"/>
    <x v="4"/>
    <n v="1"/>
    <n v="0.26"/>
    <x v="1"/>
    <n v="0.2424"/>
    <x v="25"/>
    <x v="2"/>
    <x v="3"/>
    <x v="5"/>
    <x v="63"/>
    <x v="17"/>
  </r>
  <r>
    <n v="63"/>
    <x v="12"/>
    <n v="1"/>
    <n v="1"/>
    <x v="16"/>
    <b v="0"/>
    <s v="Working"/>
    <n v="1"/>
    <x v="4"/>
    <n v="1"/>
    <n v="0.24"/>
    <x v="0"/>
    <n v="0.2273"/>
    <x v="25"/>
    <x v="2"/>
    <x v="5"/>
    <x v="7"/>
    <x v="70"/>
    <x v="49"/>
  </r>
  <r>
    <n v="64"/>
    <x v="12"/>
    <n v="1"/>
    <n v="1"/>
    <x v="5"/>
    <b v="0"/>
    <s v="Working"/>
    <n v="1"/>
    <x v="4"/>
    <n v="1"/>
    <n v="0.24"/>
    <x v="0"/>
    <n v="0.2576"/>
    <x v="26"/>
    <x v="2"/>
    <x v="7"/>
    <x v="5"/>
    <x v="71"/>
    <x v="49"/>
  </r>
  <r>
    <n v="65"/>
    <x v="12"/>
    <n v="1"/>
    <n v="1"/>
    <x v="6"/>
    <b v="0"/>
    <s v="Working"/>
    <n v="1"/>
    <x v="4"/>
    <n v="1"/>
    <n v="0.2"/>
    <x v="0"/>
    <n v="0.2576"/>
    <x v="20"/>
    <x v="2"/>
    <x v="0"/>
    <x v="13"/>
    <x v="72"/>
    <x v="62"/>
  </r>
  <r>
    <n v="67"/>
    <x v="12"/>
    <n v="1"/>
    <n v="1"/>
    <x v="8"/>
    <b v="0"/>
    <s v="Working"/>
    <n v="1"/>
    <x v="4"/>
    <n v="1"/>
    <n v="0.18"/>
    <x v="0"/>
    <n v="0.19700000000000001"/>
    <x v="27"/>
    <x v="2"/>
    <x v="9"/>
    <x v="0"/>
    <x v="49"/>
    <x v="39"/>
  </r>
  <r>
    <n v="68"/>
    <x v="12"/>
    <n v="1"/>
    <n v="1"/>
    <x v="9"/>
    <b v="0"/>
    <s v="Working"/>
    <n v="1"/>
    <x v="4"/>
    <n v="1"/>
    <n v="0.14000000000000001"/>
    <x v="0"/>
    <n v="0.1515"/>
    <x v="28"/>
    <x v="2"/>
    <x v="9"/>
    <x v="12"/>
    <x v="15"/>
    <x v="16"/>
  </r>
  <r>
    <n v="69"/>
    <x v="12"/>
    <n v="1"/>
    <n v="1"/>
    <x v="17"/>
    <b v="0"/>
    <s v="Working"/>
    <n v="1"/>
    <x v="4"/>
    <n v="1"/>
    <n v="0.18"/>
    <x v="0"/>
    <n v="0.21210000000000001"/>
    <x v="29"/>
    <x v="2"/>
    <x v="7"/>
    <x v="2"/>
    <x v="73"/>
    <x v="70"/>
  </r>
  <r>
    <n v="71"/>
    <x v="13"/>
    <n v="1"/>
    <n v="1"/>
    <x v="0"/>
    <b v="0"/>
    <s v="Working"/>
    <n v="2"/>
    <x v="2"/>
    <n v="1"/>
    <n v="0.16"/>
    <x v="0"/>
    <n v="0.18179999999999999"/>
    <x v="30"/>
    <x v="2"/>
    <x v="7"/>
    <x v="12"/>
    <x v="2"/>
    <x v="34"/>
  </r>
  <r>
    <n v="72"/>
    <x v="13"/>
    <n v="1"/>
    <n v="1"/>
    <x v="1"/>
    <b v="0"/>
    <s v="Working"/>
    <n v="2"/>
    <x v="2"/>
    <n v="1"/>
    <n v="0.14000000000000001"/>
    <x v="0"/>
    <n v="0.1515"/>
    <x v="31"/>
    <x v="2"/>
    <x v="9"/>
    <x v="12"/>
    <x v="25"/>
    <x v="24"/>
  </r>
  <r>
    <n v="73"/>
    <x v="13"/>
    <n v="1"/>
    <n v="1"/>
    <x v="22"/>
    <b v="0"/>
    <s v="Working"/>
    <n v="2"/>
    <x v="2"/>
    <n v="1"/>
    <n v="0.14000000000000001"/>
    <x v="0"/>
    <n v="0.18179999999999999"/>
    <x v="31"/>
    <x v="2"/>
    <x v="8"/>
    <x v="12"/>
    <x v="2"/>
    <x v="34"/>
  </r>
  <r>
    <n v="74"/>
    <x v="13"/>
    <n v="1"/>
    <n v="1"/>
    <x v="18"/>
    <b v="0"/>
    <s v="Working"/>
    <n v="2"/>
    <x v="2"/>
    <n v="1"/>
    <n v="0.12"/>
    <x v="0"/>
    <n v="0.1515"/>
    <x v="32"/>
    <x v="2"/>
    <x v="7"/>
    <x v="12"/>
    <x v="11"/>
    <x v="27"/>
  </r>
  <r>
    <n v="75"/>
    <x v="13"/>
    <n v="1"/>
    <n v="1"/>
    <x v="19"/>
    <b v="0"/>
    <s v="Working"/>
    <n v="2"/>
    <x v="2"/>
    <n v="1"/>
    <n v="0.12"/>
    <x v="0"/>
    <n v="0.1515"/>
    <x v="33"/>
    <x v="2"/>
    <x v="7"/>
    <x v="12"/>
    <x v="44"/>
    <x v="7"/>
  </r>
  <r>
    <n v="76"/>
    <x v="13"/>
    <n v="1"/>
    <n v="1"/>
    <x v="2"/>
    <b v="0"/>
    <s v="Working"/>
    <n v="2"/>
    <x v="2"/>
    <n v="1"/>
    <n v="0.12"/>
    <x v="0"/>
    <n v="0.1515"/>
    <x v="33"/>
    <x v="2"/>
    <x v="9"/>
    <x v="9"/>
    <x v="74"/>
    <x v="60"/>
  </r>
  <r>
    <n v="77"/>
    <x v="13"/>
    <n v="1"/>
    <n v="1"/>
    <x v="14"/>
    <b v="0"/>
    <s v="Working"/>
    <n v="2"/>
    <x v="2"/>
    <n v="1"/>
    <n v="0.14000000000000001"/>
    <x v="0"/>
    <n v="0.1515"/>
    <x v="28"/>
    <x v="2"/>
    <x v="6"/>
    <x v="9"/>
    <x v="75"/>
    <x v="71"/>
  </r>
  <r>
    <n v="78"/>
    <x v="13"/>
    <n v="1"/>
    <n v="1"/>
    <x v="15"/>
    <b v="0"/>
    <s v="Working"/>
    <n v="2"/>
    <x v="2"/>
    <n v="1"/>
    <n v="0.16"/>
    <x v="0"/>
    <n v="0.1515"/>
    <x v="27"/>
    <x v="2"/>
    <x v="5"/>
    <x v="9"/>
    <x v="56"/>
    <x v="72"/>
  </r>
  <r>
    <n v="79"/>
    <x v="13"/>
    <n v="1"/>
    <n v="1"/>
    <x v="12"/>
    <b v="0"/>
    <s v="Working"/>
    <n v="2"/>
    <x v="2"/>
    <n v="2"/>
    <n v="0.16"/>
    <x v="0"/>
    <n v="0.13639999999999999"/>
    <x v="28"/>
    <x v="2"/>
    <x v="10"/>
    <x v="1"/>
    <x v="76"/>
    <x v="73"/>
  </r>
  <r>
    <n v="80"/>
    <x v="13"/>
    <n v="1"/>
    <n v="1"/>
    <x v="3"/>
    <b v="0"/>
    <s v="Working"/>
    <n v="2"/>
    <x v="2"/>
    <n v="1"/>
    <n v="0.22"/>
    <x v="0"/>
    <n v="0.21210000000000001"/>
    <x v="34"/>
    <x v="2"/>
    <x v="2"/>
    <x v="10"/>
    <x v="77"/>
    <x v="74"/>
  </r>
  <r>
    <n v="81"/>
    <x v="13"/>
    <n v="1"/>
    <n v="1"/>
    <x v="20"/>
    <b v="0"/>
    <s v="Working"/>
    <n v="2"/>
    <x v="2"/>
    <n v="1"/>
    <n v="0.22"/>
    <x v="0"/>
    <n v="0.2273"/>
    <x v="34"/>
    <x v="2"/>
    <x v="6"/>
    <x v="14"/>
    <x v="69"/>
    <x v="75"/>
  </r>
  <r>
    <n v="82"/>
    <x v="13"/>
    <n v="1"/>
    <n v="1"/>
    <x v="21"/>
    <b v="0"/>
    <s v="Working"/>
    <n v="2"/>
    <x v="2"/>
    <n v="1"/>
    <n v="0.24"/>
    <x v="0"/>
    <n v="0.2273"/>
    <x v="35"/>
    <x v="2"/>
    <x v="4"/>
    <x v="24"/>
    <x v="78"/>
    <x v="76"/>
  </r>
  <r>
    <n v="83"/>
    <x v="13"/>
    <n v="1"/>
    <n v="1"/>
    <x v="23"/>
    <b v="0"/>
    <s v="Working"/>
    <n v="2"/>
    <x v="2"/>
    <n v="1"/>
    <n v="0.26"/>
    <x v="1"/>
    <n v="0.2576"/>
    <x v="36"/>
    <x v="2"/>
    <x v="5"/>
    <x v="5"/>
    <x v="60"/>
    <x v="77"/>
  </r>
  <r>
    <n v="84"/>
    <x v="13"/>
    <n v="1"/>
    <n v="1"/>
    <x v="13"/>
    <b v="0"/>
    <s v="Working"/>
    <n v="2"/>
    <x v="2"/>
    <n v="1"/>
    <n v="0.28000000000000003"/>
    <x v="1"/>
    <n v="0.2727"/>
    <x v="36"/>
    <x v="2"/>
    <x v="3"/>
    <x v="25"/>
    <x v="68"/>
    <x v="64"/>
  </r>
  <r>
    <n v="85"/>
    <x v="13"/>
    <n v="1"/>
    <n v="1"/>
    <x v="4"/>
    <b v="0"/>
    <s v="Working"/>
    <n v="2"/>
    <x v="2"/>
    <n v="1"/>
    <n v="0.3"/>
    <x v="1"/>
    <n v="0.28789999999999999"/>
    <x v="37"/>
    <x v="2"/>
    <x v="3"/>
    <x v="26"/>
    <x v="79"/>
    <x v="31"/>
  </r>
  <r>
    <n v="86"/>
    <x v="13"/>
    <n v="1"/>
    <n v="1"/>
    <x v="16"/>
    <b v="0"/>
    <s v="Working"/>
    <n v="2"/>
    <x v="2"/>
    <n v="1"/>
    <n v="0.28000000000000003"/>
    <x v="1"/>
    <n v="0.2727"/>
    <x v="38"/>
    <x v="2"/>
    <x v="5"/>
    <x v="21"/>
    <x v="80"/>
    <x v="78"/>
  </r>
  <r>
    <n v="87"/>
    <x v="13"/>
    <n v="1"/>
    <n v="1"/>
    <x v="5"/>
    <b v="0"/>
    <s v="Working"/>
    <n v="2"/>
    <x v="2"/>
    <n v="1"/>
    <n v="0.26"/>
    <x v="1"/>
    <n v="0.2576"/>
    <x v="38"/>
    <x v="2"/>
    <x v="4"/>
    <x v="0"/>
    <x v="81"/>
    <x v="79"/>
  </r>
  <r>
    <n v="88"/>
    <x v="13"/>
    <n v="1"/>
    <n v="1"/>
    <x v="6"/>
    <b v="0"/>
    <s v="Working"/>
    <n v="2"/>
    <x v="2"/>
    <n v="1"/>
    <n v="0.24"/>
    <x v="0"/>
    <n v="0.2576"/>
    <x v="38"/>
    <x v="2"/>
    <x v="7"/>
    <x v="9"/>
    <x v="82"/>
    <x v="80"/>
  </r>
  <r>
    <n v="89"/>
    <x v="13"/>
    <n v="1"/>
    <n v="1"/>
    <x v="7"/>
    <b v="0"/>
    <s v="Working"/>
    <n v="2"/>
    <x v="2"/>
    <n v="1"/>
    <n v="0.24"/>
    <x v="0"/>
    <n v="0.2576"/>
    <x v="38"/>
    <x v="2"/>
    <x v="7"/>
    <x v="2"/>
    <x v="83"/>
    <x v="81"/>
  </r>
  <r>
    <n v="90"/>
    <x v="13"/>
    <n v="1"/>
    <n v="1"/>
    <x v="8"/>
    <b v="0"/>
    <s v="Working"/>
    <n v="2"/>
    <x v="2"/>
    <n v="1"/>
    <n v="0.22"/>
    <x v="0"/>
    <n v="0.2727"/>
    <x v="27"/>
    <x v="2"/>
    <x v="0"/>
    <x v="12"/>
    <x v="68"/>
    <x v="45"/>
  </r>
  <r>
    <n v="91"/>
    <x v="13"/>
    <n v="1"/>
    <n v="1"/>
    <x v="9"/>
    <b v="0"/>
    <s v="Working"/>
    <n v="2"/>
    <x v="2"/>
    <n v="1"/>
    <n v="0.22"/>
    <x v="0"/>
    <n v="0.2576"/>
    <x v="27"/>
    <x v="2"/>
    <x v="8"/>
    <x v="2"/>
    <x v="84"/>
    <x v="5"/>
  </r>
  <r>
    <n v="92"/>
    <x v="13"/>
    <n v="1"/>
    <n v="1"/>
    <x v="17"/>
    <b v="0"/>
    <s v="Working"/>
    <n v="2"/>
    <x v="2"/>
    <n v="1"/>
    <n v="0.2"/>
    <x v="0"/>
    <n v="0.2273"/>
    <x v="28"/>
    <x v="2"/>
    <x v="8"/>
    <x v="9"/>
    <x v="64"/>
    <x v="82"/>
  </r>
  <r>
    <n v="93"/>
    <x v="14"/>
    <n v="1"/>
    <n v="1"/>
    <x v="10"/>
    <b v="0"/>
    <s v="Working"/>
    <n v="3"/>
    <x v="3"/>
    <n v="1"/>
    <n v="0.2"/>
    <x v="0"/>
    <n v="0.2576"/>
    <x v="27"/>
    <x v="2"/>
    <x v="0"/>
    <x v="12"/>
    <x v="24"/>
    <x v="12"/>
  </r>
  <r>
    <n v="94"/>
    <x v="14"/>
    <n v="1"/>
    <n v="1"/>
    <x v="0"/>
    <b v="0"/>
    <s v="Working"/>
    <n v="3"/>
    <x v="3"/>
    <n v="1"/>
    <n v="0.16"/>
    <x v="0"/>
    <n v="0.19700000000000001"/>
    <x v="33"/>
    <x v="2"/>
    <x v="8"/>
    <x v="12"/>
    <x v="24"/>
    <x v="12"/>
  </r>
  <r>
    <n v="95"/>
    <x v="14"/>
    <n v="1"/>
    <n v="1"/>
    <x v="1"/>
    <b v="0"/>
    <s v="Working"/>
    <n v="3"/>
    <x v="3"/>
    <n v="1"/>
    <n v="0.16"/>
    <x v="0"/>
    <n v="0.19700000000000001"/>
    <x v="33"/>
    <x v="2"/>
    <x v="8"/>
    <x v="12"/>
    <x v="2"/>
    <x v="34"/>
  </r>
  <r>
    <n v="96"/>
    <x v="14"/>
    <n v="1"/>
    <n v="1"/>
    <x v="22"/>
    <b v="0"/>
    <s v="Working"/>
    <n v="3"/>
    <x v="3"/>
    <n v="1"/>
    <n v="0.24"/>
    <x v="0"/>
    <n v="0.2273"/>
    <x v="38"/>
    <x v="2"/>
    <x v="5"/>
    <x v="12"/>
    <x v="2"/>
    <x v="34"/>
  </r>
  <r>
    <n v="97"/>
    <x v="14"/>
    <n v="1"/>
    <n v="1"/>
    <x v="18"/>
    <b v="0"/>
    <s v="Working"/>
    <n v="3"/>
    <x v="3"/>
    <n v="1"/>
    <n v="0.22"/>
    <x v="0"/>
    <n v="0.2273"/>
    <x v="20"/>
    <x v="2"/>
    <x v="6"/>
    <x v="12"/>
    <x v="27"/>
    <x v="2"/>
  </r>
  <r>
    <n v="98"/>
    <x v="14"/>
    <n v="1"/>
    <n v="1"/>
    <x v="19"/>
    <b v="0"/>
    <s v="Working"/>
    <n v="3"/>
    <x v="3"/>
    <n v="1"/>
    <n v="0.2"/>
    <x v="0"/>
    <n v="0.19700000000000001"/>
    <x v="20"/>
    <x v="2"/>
    <x v="5"/>
    <x v="12"/>
    <x v="33"/>
    <x v="33"/>
  </r>
  <r>
    <n v="99"/>
    <x v="14"/>
    <n v="1"/>
    <n v="1"/>
    <x v="2"/>
    <b v="0"/>
    <s v="Working"/>
    <n v="3"/>
    <x v="3"/>
    <n v="1"/>
    <n v="0.18"/>
    <x v="0"/>
    <n v="0.18179999999999999"/>
    <x v="22"/>
    <x v="2"/>
    <x v="4"/>
    <x v="2"/>
    <x v="85"/>
    <x v="67"/>
  </r>
  <r>
    <n v="100"/>
    <x v="14"/>
    <n v="1"/>
    <n v="1"/>
    <x v="14"/>
    <b v="0"/>
    <s v="Working"/>
    <n v="3"/>
    <x v="3"/>
    <n v="1"/>
    <n v="0.2"/>
    <x v="0"/>
    <n v="0.18179999999999999"/>
    <x v="23"/>
    <x v="2"/>
    <x v="2"/>
    <x v="0"/>
    <x v="86"/>
    <x v="83"/>
  </r>
  <r>
    <n v="101"/>
    <x v="14"/>
    <n v="1"/>
    <n v="1"/>
    <x v="15"/>
    <b v="0"/>
    <s v="Working"/>
    <n v="3"/>
    <x v="3"/>
    <n v="1"/>
    <n v="0.22"/>
    <x v="0"/>
    <n v="0.19700000000000001"/>
    <x v="39"/>
    <x v="2"/>
    <x v="10"/>
    <x v="6"/>
    <x v="87"/>
    <x v="84"/>
  </r>
  <r>
    <n v="102"/>
    <x v="14"/>
    <n v="1"/>
    <n v="1"/>
    <x v="12"/>
    <b v="0"/>
    <s v="Working"/>
    <n v="3"/>
    <x v="3"/>
    <n v="1"/>
    <n v="0.22"/>
    <x v="0"/>
    <n v="0.19700000000000001"/>
    <x v="39"/>
    <x v="2"/>
    <x v="10"/>
    <x v="8"/>
    <x v="83"/>
    <x v="74"/>
  </r>
  <r>
    <n v="103"/>
    <x v="14"/>
    <n v="1"/>
    <n v="1"/>
    <x v="3"/>
    <b v="0"/>
    <s v="Working"/>
    <n v="3"/>
    <x v="3"/>
    <n v="1"/>
    <n v="0.26"/>
    <x v="1"/>
    <n v="0.2273"/>
    <x v="40"/>
    <x v="2"/>
    <x v="10"/>
    <x v="14"/>
    <x v="84"/>
    <x v="85"/>
  </r>
  <r>
    <n v="104"/>
    <x v="14"/>
    <n v="1"/>
    <n v="1"/>
    <x v="20"/>
    <b v="0"/>
    <s v="Working"/>
    <n v="3"/>
    <x v="3"/>
    <n v="1"/>
    <n v="0.26"/>
    <x v="1"/>
    <n v="0.2273"/>
    <x v="40"/>
    <x v="2"/>
    <x v="10"/>
    <x v="1"/>
    <x v="88"/>
    <x v="86"/>
  </r>
  <r>
    <n v="105"/>
    <x v="14"/>
    <n v="1"/>
    <n v="1"/>
    <x v="21"/>
    <b v="0"/>
    <s v="Working"/>
    <n v="3"/>
    <x v="3"/>
    <n v="1"/>
    <n v="0.28000000000000003"/>
    <x v="1"/>
    <n v="0.2576"/>
    <x v="25"/>
    <x v="2"/>
    <x v="2"/>
    <x v="6"/>
    <x v="39"/>
    <x v="87"/>
  </r>
  <r>
    <n v="106"/>
    <x v="14"/>
    <n v="1"/>
    <n v="1"/>
    <x v="23"/>
    <b v="0"/>
    <s v="Working"/>
    <n v="3"/>
    <x v="3"/>
    <n v="1"/>
    <n v="0.3"/>
    <x v="1"/>
    <n v="0.28789999999999999"/>
    <x v="41"/>
    <x v="2"/>
    <x v="4"/>
    <x v="21"/>
    <x v="4"/>
    <x v="88"/>
  </r>
  <r>
    <n v="107"/>
    <x v="14"/>
    <n v="1"/>
    <n v="1"/>
    <x v="13"/>
    <b v="0"/>
    <s v="Working"/>
    <n v="3"/>
    <x v="3"/>
    <n v="1"/>
    <n v="0.3"/>
    <x v="1"/>
    <n v="0.28789999999999999"/>
    <x v="41"/>
    <x v="2"/>
    <x v="4"/>
    <x v="10"/>
    <x v="13"/>
    <x v="88"/>
  </r>
  <r>
    <n v="108"/>
    <x v="14"/>
    <n v="1"/>
    <n v="1"/>
    <x v="4"/>
    <b v="0"/>
    <s v="Working"/>
    <n v="3"/>
    <x v="3"/>
    <n v="1"/>
    <n v="0.3"/>
    <x v="1"/>
    <n v="0.31819999999999998"/>
    <x v="41"/>
    <x v="2"/>
    <x v="8"/>
    <x v="8"/>
    <x v="89"/>
    <x v="89"/>
  </r>
  <r>
    <n v="109"/>
    <x v="14"/>
    <n v="1"/>
    <n v="1"/>
    <x v="16"/>
    <b v="0"/>
    <s v="Working"/>
    <n v="3"/>
    <x v="3"/>
    <n v="1"/>
    <n v="0.24"/>
    <x v="0"/>
    <n v="0.2273"/>
    <x v="42"/>
    <x v="2"/>
    <x v="4"/>
    <x v="8"/>
    <x v="90"/>
    <x v="90"/>
  </r>
  <r>
    <n v="110"/>
    <x v="14"/>
    <n v="1"/>
    <n v="1"/>
    <x v="5"/>
    <b v="0"/>
    <s v="Working"/>
    <n v="3"/>
    <x v="3"/>
    <n v="1"/>
    <n v="0.24"/>
    <x v="0"/>
    <n v="0.2424"/>
    <x v="42"/>
    <x v="2"/>
    <x v="9"/>
    <x v="0"/>
    <x v="91"/>
    <x v="91"/>
  </r>
  <r>
    <n v="111"/>
    <x v="14"/>
    <n v="1"/>
    <n v="1"/>
    <x v="6"/>
    <b v="0"/>
    <s v="Working"/>
    <n v="3"/>
    <x v="3"/>
    <n v="1"/>
    <n v="0.24"/>
    <x v="0"/>
    <n v="0.2576"/>
    <x v="42"/>
    <x v="2"/>
    <x v="7"/>
    <x v="1"/>
    <x v="92"/>
    <x v="92"/>
  </r>
  <r>
    <n v="112"/>
    <x v="14"/>
    <n v="1"/>
    <n v="1"/>
    <x v="7"/>
    <b v="0"/>
    <s v="Working"/>
    <n v="3"/>
    <x v="3"/>
    <n v="1"/>
    <n v="0.22"/>
    <x v="0"/>
    <n v="0.2273"/>
    <x v="20"/>
    <x v="2"/>
    <x v="6"/>
    <x v="10"/>
    <x v="93"/>
    <x v="89"/>
  </r>
  <r>
    <n v="113"/>
    <x v="14"/>
    <n v="1"/>
    <n v="1"/>
    <x v="8"/>
    <b v="0"/>
    <s v="Working"/>
    <n v="3"/>
    <x v="3"/>
    <n v="1"/>
    <n v="0.2"/>
    <x v="0"/>
    <n v="0.19700000000000001"/>
    <x v="34"/>
    <x v="2"/>
    <x v="4"/>
    <x v="0"/>
    <x v="50"/>
    <x v="46"/>
  </r>
  <r>
    <n v="114"/>
    <x v="14"/>
    <n v="1"/>
    <n v="1"/>
    <x v="9"/>
    <b v="0"/>
    <s v="Working"/>
    <n v="3"/>
    <x v="3"/>
    <n v="1"/>
    <n v="0.18"/>
    <x v="0"/>
    <n v="0.19700000000000001"/>
    <x v="29"/>
    <x v="2"/>
    <x v="9"/>
    <x v="2"/>
    <x v="32"/>
    <x v="73"/>
  </r>
  <r>
    <n v="115"/>
    <x v="14"/>
    <n v="1"/>
    <n v="1"/>
    <x v="17"/>
    <b v="0"/>
    <s v="Working"/>
    <n v="3"/>
    <x v="3"/>
    <n v="1"/>
    <n v="0.2"/>
    <x v="0"/>
    <n v="0.2576"/>
    <x v="20"/>
    <x v="2"/>
    <x v="0"/>
    <x v="2"/>
    <x v="22"/>
    <x v="22"/>
  </r>
  <r>
    <n v="116"/>
    <x v="15"/>
    <n v="1"/>
    <n v="1"/>
    <x v="10"/>
    <b v="0"/>
    <s v="Working"/>
    <n v="4"/>
    <x v="6"/>
    <n v="1"/>
    <n v="0.18"/>
    <x v="0"/>
    <n v="0.2424"/>
    <x v="29"/>
    <x v="2"/>
    <x v="0"/>
    <x v="12"/>
    <x v="73"/>
    <x v="82"/>
  </r>
  <r>
    <n v="117"/>
    <x v="15"/>
    <n v="1"/>
    <n v="1"/>
    <x v="0"/>
    <b v="0"/>
    <s v="Working"/>
    <n v="4"/>
    <x v="6"/>
    <n v="1"/>
    <n v="0.16"/>
    <x v="0"/>
    <n v="0.2273"/>
    <x v="27"/>
    <x v="2"/>
    <x v="0"/>
    <x v="12"/>
    <x v="11"/>
    <x v="27"/>
  </r>
  <r>
    <n v="118"/>
    <x v="15"/>
    <n v="1"/>
    <n v="1"/>
    <x v="1"/>
    <b v="0"/>
    <s v="Working"/>
    <n v="4"/>
    <x v="6"/>
    <n v="1"/>
    <n v="0.16"/>
    <x v="0"/>
    <n v="0.2273"/>
    <x v="27"/>
    <x v="2"/>
    <x v="0"/>
    <x v="12"/>
    <x v="2"/>
    <x v="34"/>
  </r>
  <r>
    <n v="119"/>
    <x v="15"/>
    <n v="1"/>
    <n v="1"/>
    <x v="22"/>
    <b v="0"/>
    <s v="Working"/>
    <n v="4"/>
    <x v="6"/>
    <n v="2"/>
    <n v="0.16"/>
    <x v="0"/>
    <n v="0.19700000000000001"/>
    <x v="27"/>
    <x v="2"/>
    <x v="8"/>
    <x v="12"/>
    <x v="25"/>
    <x v="24"/>
  </r>
  <r>
    <n v="120"/>
    <x v="15"/>
    <n v="1"/>
    <n v="1"/>
    <x v="18"/>
    <b v="0"/>
    <s v="Working"/>
    <n v="4"/>
    <x v="6"/>
    <n v="2"/>
    <n v="0.14000000000000001"/>
    <x v="0"/>
    <n v="0.18179999999999999"/>
    <x v="28"/>
    <x v="2"/>
    <x v="8"/>
    <x v="12"/>
    <x v="11"/>
    <x v="27"/>
  </r>
  <r>
    <n v="121"/>
    <x v="15"/>
    <n v="1"/>
    <n v="1"/>
    <x v="19"/>
    <b v="0"/>
    <s v="Working"/>
    <n v="4"/>
    <x v="6"/>
    <n v="2"/>
    <n v="0.14000000000000001"/>
    <x v="0"/>
    <n v="0.16669999999999999"/>
    <x v="31"/>
    <x v="2"/>
    <x v="7"/>
    <x v="12"/>
    <x v="44"/>
    <x v="7"/>
  </r>
  <r>
    <n v="122"/>
    <x v="15"/>
    <n v="1"/>
    <n v="1"/>
    <x v="2"/>
    <b v="0"/>
    <s v="Working"/>
    <n v="4"/>
    <x v="6"/>
    <n v="2"/>
    <n v="0.16"/>
    <x v="0"/>
    <n v="0.2273"/>
    <x v="30"/>
    <x v="2"/>
    <x v="0"/>
    <x v="12"/>
    <x v="48"/>
    <x v="19"/>
  </r>
  <r>
    <n v="123"/>
    <x v="15"/>
    <n v="1"/>
    <n v="1"/>
    <x v="14"/>
    <b v="0"/>
    <s v="Working"/>
    <n v="4"/>
    <x v="6"/>
    <n v="1"/>
    <n v="0.16"/>
    <x v="0"/>
    <n v="0.2273"/>
    <x v="30"/>
    <x v="2"/>
    <x v="0"/>
    <x v="0"/>
    <x v="94"/>
    <x v="93"/>
  </r>
  <r>
    <n v="124"/>
    <x v="15"/>
    <n v="1"/>
    <n v="1"/>
    <x v="15"/>
    <b v="0"/>
    <s v="Working"/>
    <n v="4"/>
    <x v="6"/>
    <n v="2"/>
    <n v="0.18"/>
    <x v="0"/>
    <n v="0.2424"/>
    <x v="34"/>
    <x v="2"/>
    <x v="0"/>
    <x v="6"/>
    <x v="95"/>
    <x v="94"/>
  </r>
  <r>
    <n v="125"/>
    <x v="15"/>
    <n v="1"/>
    <n v="1"/>
    <x v="12"/>
    <b v="0"/>
    <s v="Working"/>
    <n v="4"/>
    <x v="6"/>
    <n v="1"/>
    <n v="0.2"/>
    <x v="0"/>
    <n v="0.2576"/>
    <x v="20"/>
    <x v="2"/>
    <x v="0"/>
    <x v="0"/>
    <x v="45"/>
    <x v="95"/>
  </r>
  <r>
    <n v="126"/>
    <x v="15"/>
    <n v="1"/>
    <n v="1"/>
    <x v="3"/>
    <b v="0"/>
    <s v="Working"/>
    <n v="4"/>
    <x v="6"/>
    <n v="1"/>
    <n v="0.22"/>
    <x v="0"/>
    <n v="0.2576"/>
    <x v="19"/>
    <x v="2"/>
    <x v="8"/>
    <x v="9"/>
    <x v="96"/>
    <x v="96"/>
  </r>
  <r>
    <n v="127"/>
    <x v="15"/>
    <n v="1"/>
    <n v="1"/>
    <x v="20"/>
    <b v="0"/>
    <s v="Working"/>
    <n v="4"/>
    <x v="6"/>
    <n v="1"/>
    <n v="0.26"/>
    <x v="1"/>
    <n v="0.28789999999999999"/>
    <x v="24"/>
    <x v="2"/>
    <x v="0"/>
    <x v="6"/>
    <x v="97"/>
    <x v="59"/>
  </r>
  <r>
    <n v="128"/>
    <x v="15"/>
    <n v="1"/>
    <n v="1"/>
    <x v="21"/>
    <b v="0"/>
    <s v="Working"/>
    <n v="4"/>
    <x v="6"/>
    <n v="1"/>
    <n v="0.26"/>
    <x v="1"/>
    <n v="0.2727"/>
    <x v="24"/>
    <x v="2"/>
    <x v="7"/>
    <x v="14"/>
    <x v="13"/>
    <x v="97"/>
  </r>
  <r>
    <n v="129"/>
    <x v="15"/>
    <n v="1"/>
    <n v="1"/>
    <x v="23"/>
    <b v="0"/>
    <s v="Working"/>
    <n v="4"/>
    <x v="6"/>
    <n v="1"/>
    <n v="0.28000000000000003"/>
    <x v="1"/>
    <n v="0.2727"/>
    <x v="43"/>
    <x v="2"/>
    <x v="6"/>
    <x v="7"/>
    <x v="98"/>
    <x v="40"/>
  </r>
  <r>
    <n v="130"/>
    <x v="15"/>
    <n v="1"/>
    <n v="1"/>
    <x v="13"/>
    <b v="0"/>
    <s v="Working"/>
    <n v="4"/>
    <x v="6"/>
    <n v="1"/>
    <n v="0.28000000000000003"/>
    <x v="1"/>
    <n v="0.2727"/>
    <x v="43"/>
    <x v="2"/>
    <x v="0"/>
    <x v="13"/>
    <x v="60"/>
    <x v="88"/>
  </r>
  <r>
    <n v="131"/>
    <x v="15"/>
    <n v="1"/>
    <n v="1"/>
    <x v="4"/>
    <b v="0"/>
    <s v="Working"/>
    <n v="4"/>
    <x v="6"/>
    <n v="1"/>
    <n v="0.26"/>
    <x v="1"/>
    <n v="0.2576"/>
    <x v="42"/>
    <x v="2"/>
    <x v="6"/>
    <x v="14"/>
    <x v="88"/>
    <x v="98"/>
  </r>
  <r>
    <n v="132"/>
    <x v="15"/>
    <n v="1"/>
    <n v="1"/>
    <x v="16"/>
    <b v="0"/>
    <s v="Working"/>
    <n v="4"/>
    <x v="6"/>
    <n v="1"/>
    <n v="0.22"/>
    <x v="0"/>
    <n v="0.2273"/>
    <x v="34"/>
    <x v="2"/>
    <x v="6"/>
    <x v="5"/>
    <x v="99"/>
    <x v="99"/>
  </r>
  <r>
    <n v="133"/>
    <x v="15"/>
    <n v="1"/>
    <n v="1"/>
    <x v="5"/>
    <b v="0"/>
    <s v="Working"/>
    <n v="4"/>
    <x v="6"/>
    <n v="1"/>
    <n v="0.22"/>
    <x v="0"/>
    <n v="0.2273"/>
    <x v="34"/>
    <x v="2"/>
    <x v="9"/>
    <x v="1"/>
    <x v="100"/>
    <x v="100"/>
  </r>
  <r>
    <n v="134"/>
    <x v="15"/>
    <n v="1"/>
    <n v="1"/>
    <x v="6"/>
    <b v="0"/>
    <s v="Working"/>
    <n v="4"/>
    <x v="6"/>
    <n v="1"/>
    <n v="0.22"/>
    <x v="0"/>
    <n v="0.2576"/>
    <x v="29"/>
    <x v="2"/>
    <x v="8"/>
    <x v="0"/>
    <x v="87"/>
    <x v="80"/>
  </r>
  <r>
    <n v="135"/>
    <x v="15"/>
    <n v="1"/>
    <n v="1"/>
    <x v="7"/>
    <b v="0"/>
    <s v="Working"/>
    <n v="4"/>
    <x v="6"/>
    <n v="1"/>
    <n v="0.2"/>
    <x v="0"/>
    <n v="0.21210000000000001"/>
    <x v="34"/>
    <x v="2"/>
    <x v="6"/>
    <x v="0"/>
    <x v="69"/>
    <x v="101"/>
  </r>
  <r>
    <n v="136"/>
    <x v="15"/>
    <n v="1"/>
    <n v="1"/>
    <x v="8"/>
    <b v="0"/>
    <s v="Working"/>
    <n v="4"/>
    <x v="6"/>
    <n v="2"/>
    <n v="0.22"/>
    <x v="0"/>
    <n v="0.21210000000000001"/>
    <x v="29"/>
    <x v="2"/>
    <x v="5"/>
    <x v="12"/>
    <x v="68"/>
    <x v="45"/>
  </r>
  <r>
    <n v="137"/>
    <x v="15"/>
    <n v="1"/>
    <n v="1"/>
    <x v="9"/>
    <b v="0"/>
    <s v="Working"/>
    <n v="4"/>
    <x v="6"/>
    <n v="2"/>
    <n v="0.22"/>
    <x v="0"/>
    <n v="0.21210000000000001"/>
    <x v="34"/>
    <x v="2"/>
    <x v="1"/>
    <x v="2"/>
    <x v="19"/>
    <x v="39"/>
  </r>
  <r>
    <n v="138"/>
    <x v="15"/>
    <n v="1"/>
    <n v="1"/>
    <x v="17"/>
    <b v="0"/>
    <s v="Working"/>
    <n v="4"/>
    <x v="6"/>
    <n v="2"/>
    <n v="0.2"/>
    <x v="0"/>
    <n v="0.19700000000000001"/>
    <x v="30"/>
    <x v="2"/>
    <x v="4"/>
    <x v="8"/>
    <x v="34"/>
    <x v="102"/>
  </r>
  <r>
    <n v="139"/>
    <x v="16"/>
    <n v="1"/>
    <n v="1"/>
    <x v="10"/>
    <b v="0"/>
    <s v="Working"/>
    <n v="5"/>
    <x v="5"/>
    <n v="2"/>
    <n v="0.2"/>
    <x v="0"/>
    <n v="0.19700000000000001"/>
    <x v="27"/>
    <x v="2"/>
    <x v="4"/>
    <x v="8"/>
    <x v="0"/>
    <x v="10"/>
  </r>
  <r>
    <n v="140"/>
    <x v="16"/>
    <n v="1"/>
    <n v="1"/>
    <x v="0"/>
    <b v="0"/>
    <s v="Working"/>
    <n v="5"/>
    <x v="5"/>
    <n v="2"/>
    <n v="0.2"/>
    <x v="0"/>
    <n v="0.19700000000000001"/>
    <x v="28"/>
    <x v="2"/>
    <x v="5"/>
    <x v="9"/>
    <x v="26"/>
    <x v="23"/>
  </r>
  <r>
    <n v="141"/>
    <x v="16"/>
    <n v="1"/>
    <n v="1"/>
    <x v="1"/>
    <b v="0"/>
    <s v="Working"/>
    <n v="5"/>
    <x v="5"/>
    <n v="2"/>
    <n v="0.2"/>
    <x v="0"/>
    <n v="0.19700000000000001"/>
    <x v="28"/>
    <x v="2"/>
    <x v="5"/>
    <x v="12"/>
    <x v="25"/>
    <x v="24"/>
  </r>
  <r>
    <n v="142"/>
    <x v="16"/>
    <n v="1"/>
    <n v="1"/>
    <x v="22"/>
    <b v="0"/>
    <s v="Working"/>
    <n v="5"/>
    <x v="5"/>
    <n v="2"/>
    <n v="0.2"/>
    <x v="0"/>
    <n v="0.21210000000000001"/>
    <x v="28"/>
    <x v="2"/>
    <x v="9"/>
    <x v="12"/>
    <x v="25"/>
    <x v="24"/>
  </r>
  <r>
    <n v="143"/>
    <x v="16"/>
    <n v="1"/>
    <n v="1"/>
    <x v="18"/>
    <b v="0"/>
    <s v="Working"/>
    <n v="5"/>
    <x v="5"/>
    <n v="3"/>
    <n v="0.22"/>
    <x v="0"/>
    <n v="0.2727"/>
    <x v="29"/>
    <x v="2"/>
    <x v="0"/>
    <x v="12"/>
    <x v="26"/>
    <x v="25"/>
  </r>
  <r>
    <n v="144"/>
    <x v="16"/>
    <n v="1"/>
    <n v="1"/>
    <x v="19"/>
    <b v="0"/>
    <s v="Working"/>
    <n v="5"/>
    <x v="5"/>
    <n v="2"/>
    <n v="0.2"/>
    <x v="0"/>
    <n v="0.2576"/>
    <x v="28"/>
    <x v="2"/>
    <x v="0"/>
    <x v="13"/>
    <x v="5"/>
    <x v="8"/>
  </r>
  <r>
    <n v="145"/>
    <x v="16"/>
    <n v="1"/>
    <n v="1"/>
    <x v="2"/>
    <b v="0"/>
    <s v="Working"/>
    <n v="5"/>
    <x v="5"/>
    <n v="1"/>
    <n v="0.2"/>
    <x v="0"/>
    <n v="0.21210000000000001"/>
    <x v="28"/>
    <x v="2"/>
    <x v="9"/>
    <x v="13"/>
    <x v="101"/>
    <x v="59"/>
  </r>
  <r>
    <n v="146"/>
    <x v="16"/>
    <n v="1"/>
    <n v="1"/>
    <x v="14"/>
    <b v="0"/>
    <s v="Working"/>
    <n v="5"/>
    <x v="5"/>
    <n v="1"/>
    <n v="0.2"/>
    <x v="0"/>
    <n v="0.19700000000000001"/>
    <x v="34"/>
    <x v="2"/>
    <x v="3"/>
    <x v="20"/>
    <x v="102"/>
    <x v="103"/>
  </r>
  <r>
    <n v="147"/>
    <x v="16"/>
    <n v="1"/>
    <n v="1"/>
    <x v="15"/>
    <b v="0"/>
    <s v="Working"/>
    <n v="5"/>
    <x v="5"/>
    <n v="1"/>
    <n v="0.2"/>
    <x v="0"/>
    <n v="0.18179999999999999"/>
    <x v="20"/>
    <x v="2"/>
    <x v="2"/>
    <x v="5"/>
    <x v="103"/>
    <x v="104"/>
  </r>
  <r>
    <n v="148"/>
    <x v="16"/>
    <n v="1"/>
    <n v="1"/>
    <x v="12"/>
    <b v="0"/>
    <s v="Working"/>
    <n v="5"/>
    <x v="5"/>
    <n v="1"/>
    <n v="0.22"/>
    <x v="0"/>
    <n v="0.19700000000000001"/>
    <x v="39"/>
    <x v="2"/>
    <x v="10"/>
    <x v="19"/>
    <x v="38"/>
    <x v="77"/>
  </r>
  <r>
    <n v="149"/>
    <x v="16"/>
    <n v="1"/>
    <n v="1"/>
    <x v="3"/>
    <b v="0"/>
    <s v="Working"/>
    <n v="5"/>
    <x v="5"/>
    <n v="2"/>
    <n v="0.2"/>
    <x v="0"/>
    <n v="0.19700000000000001"/>
    <x v="23"/>
    <x v="2"/>
    <x v="5"/>
    <x v="11"/>
    <x v="68"/>
    <x v="97"/>
  </r>
  <r>
    <n v="150"/>
    <x v="16"/>
    <n v="1"/>
    <n v="1"/>
    <x v="20"/>
    <b v="0"/>
    <s v="Working"/>
    <n v="5"/>
    <x v="5"/>
    <n v="2"/>
    <n v="0.2"/>
    <x v="0"/>
    <n v="0.19700000000000001"/>
    <x v="39"/>
    <x v="2"/>
    <x v="3"/>
    <x v="5"/>
    <x v="77"/>
    <x v="96"/>
  </r>
  <r>
    <n v="151"/>
    <x v="16"/>
    <n v="1"/>
    <n v="1"/>
    <x v="21"/>
    <b v="0"/>
    <s v="Working"/>
    <n v="5"/>
    <x v="5"/>
    <n v="2"/>
    <n v="0.2"/>
    <x v="0"/>
    <n v="0.18179999999999999"/>
    <x v="39"/>
    <x v="2"/>
    <x v="1"/>
    <x v="5"/>
    <x v="62"/>
    <x v="105"/>
  </r>
  <r>
    <n v="152"/>
    <x v="16"/>
    <n v="1"/>
    <n v="1"/>
    <x v="23"/>
    <b v="0"/>
    <s v="Working"/>
    <n v="5"/>
    <x v="5"/>
    <n v="2"/>
    <n v="0.2"/>
    <x v="0"/>
    <n v="0.19700000000000001"/>
    <x v="23"/>
    <x v="2"/>
    <x v="3"/>
    <x v="10"/>
    <x v="43"/>
    <x v="106"/>
  </r>
  <r>
    <n v="153"/>
    <x v="16"/>
    <n v="1"/>
    <n v="1"/>
    <x v="13"/>
    <b v="0"/>
    <s v="Working"/>
    <n v="5"/>
    <x v="5"/>
    <n v="2"/>
    <n v="0.2"/>
    <x v="0"/>
    <n v="0.21210000000000001"/>
    <x v="39"/>
    <x v="2"/>
    <x v="6"/>
    <x v="5"/>
    <x v="65"/>
    <x v="43"/>
  </r>
  <r>
    <n v="154"/>
    <x v="16"/>
    <n v="1"/>
    <n v="1"/>
    <x v="4"/>
    <b v="0"/>
    <s v="Working"/>
    <n v="5"/>
    <x v="5"/>
    <n v="2"/>
    <n v="0.2"/>
    <x v="0"/>
    <n v="0.21210000000000001"/>
    <x v="39"/>
    <x v="2"/>
    <x v="6"/>
    <x v="1"/>
    <x v="93"/>
    <x v="107"/>
  </r>
  <r>
    <n v="155"/>
    <x v="16"/>
    <n v="1"/>
    <n v="1"/>
    <x v="16"/>
    <b v="0"/>
    <s v="Working"/>
    <n v="5"/>
    <x v="5"/>
    <n v="2"/>
    <n v="0.2"/>
    <x v="0"/>
    <n v="0.2576"/>
    <x v="39"/>
    <x v="2"/>
    <x v="0"/>
    <x v="5"/>
    <x v="104"/>
    <x v="108"/>
  </r>
  <r>
    <n v="156"/>
    <x v="16"/>
    <n v="1"/>
    <n v="1"/>
    <x v="5"/>
    <b v="0"/>
    <s v="Working"/>
    <n v="5"/>
    <x v="5"/>
    <n v="1"/>
    <n v="0.2"/>
    <x v="0"/>
    <n v="0.2273"/>
    <x v="23"/>
    <x v="2"/>
    <x v="8"/>
    <x v="10"/>
    <x v="95"/>
    <x v="109"/>
  </r>
  <r>
    <n v="157"/>
    <x v="16"/>
    <n v="1"/>
    <n v="1"/>
    <x v="6"/>
    <b v="0"/>
    <s v="Working"/>
    <n v="5"/>
    <x v="5"/>
    <n v="1"/>
    <n v="0.16"/>
    <x v="0"/>
    <n v="0.19700000000000001"/>
    <x v="29"/>
    <x v="2"/>
    <x v="8"/>
    <x v="0"/>
    <x v="74"/>
    <x v="19"/>
  </r>
  <r>
    <n v="158"/>
    <x v="16"/>
    <n v="1"/>
    <n v="1"/>
    <x v="7"/>
    <b v="0"/>
    <s v="Working"/>
    <n v="5"/>
    <x v="5"/>
    <n v="1"/>
    <n v="0.18"/>
    <x v="0"/>
    <n v="0.21210000000000001"/>
    <x v="20"/>
    <x v="2"/>
    <x v="7"/>
    <x v="2"/>
    <x v="77"/>
    <x v="20"/>
  </r>
  <r>
    <n v="159"/>
    <x v="16"/>
    <n v="1"/>
    <n v="1"/>
    <x v="8"/>
    <b v="0"/>
    <s v="Working"/>
    <n v="5"/>
    <x v="5"/>
    <n v="1"/>
    <n v="0.18"/>
    <x v="0"/>
    <n v="0.19700000000000001"/>
    <x v="20"/>
    <x v="2"/>
    <x v="9"/>
    <x v="12"/>
    <x v="105"/>
    <x v="110"/>
  </r>
  <r>
    <n v="160"/>
    <x v="16"/>
    <n v="1"/>
    <n v="1"/>
    <x v="9"/>
    <b v="0"/>
    <s v="Working"/>
    <n v="5"/>
    <x v="5"/>
    <n v="2"/>
    <n v="0.18"/>
    <x v="0"/>
    <n v="0.19700000000000001"/>
    <x v="22"/>
    <x v="2"/>
    <x v="6"/>
    <x v="9"/>
    <x v="84"/>
    <x v="7"/>
  </r>
  <r>
    <n v="161"/>
    <x v="16"/>
    <n v="1"/>
    <n v="1"/>
    <x v="17"/>
    <b v="0"/>
    <s v="Working"/>
    <n v="5"/>
    <x v="5"/>
    <n v="2"/>
    <n v="0.18"/>
    <x v="0"/>
    <n v="0.19700000000000001"/>
    <x v="34"/>
    <x v="2"/>
    <x v="6"/>
    <x v="2"/>
    <x v="106"/>
    <x v="15"/>
  </r>
  <r>
    <n v="162"/>
    <x v="2"/>
    <n v="1"/>
    <n v="1"/>
    <x v="10"/>
    <b v="0"/>
    <s v="Working"/>
    <n v="6"/>
    <x v="0"/>
    <n v="2"/>
    <n v="0.18"/>
    <x v="0"/>
    <n v="0.19700000000000001"/>
    <x v="34"/>
    <x v="2"/>
    <x v="6"/>
    <x v="2"/>
    <x v="54"/>
    <x v="111"/>
  </r>
  <r>
    <n v="163"/>
    <x v="2"/>
    <n v="1"/>
    <n v="1"/>
    <x v="0"/>
    <b v="0"/>
    <s v="Working"/>
    <n v="6"/>
    <x v="0"/>
    <n v="2"/>
    <n v="0.18"/>
    <x v="0"/>
    <n v="0.21210000000000001"/>
    <x v="29"/>
    <x v="2"/>
    <x v="8"/>
    <x v="2"/>
    <x v="14"/>
    <x v="0"/>
  </r>
  <r>
    <n v="164"/>
    <x v="2"/>
    <n v="1"/>
    <n v="1"/>
    <x v="1"/>
    <b v="0"/>
    <s v="Working"/>
    <n v="6"/>
    <x v="0"/>
    <n v="2"/>
    <n v="0.18"/>
    <x v="0"/>
    <n v="0.2424"/>
    <x v="29"/>
    <x v="2"/>
    <x v="0"/>
    <x v="0"/>
    <x v="0"/>
    <x v="0"/>
  </r>
  <r>
    <n v="165"/>
    <x v="2"/>
    <n v="1"/>
    <n v="1"/>
    <x v="11"/>
    <b v="0"/>
    <s v="Working"/>
    <n v="6"/>
    <x v="0"/>
    <n v="3"/>
    <n v="0.18"/>
    <x v="0"/>
    <n v="0.19700000000000001"/>
    <x v="29"/>
    <x v="2"/>
    <x v="6"/>
    <x v="12"/>
    <x v="23"/>
    <x v="23"/>
  </r>
  <r>
    <n v="166"/>
    <x v="2"/>
    <n v="1"/>
    <n v="1"/>
    <x v="22"/>
    <b v="0"/>
    <s v="Working"/>
    <n v="6"/>
    <x v="0"/>
    <n v="3"/>
    <n v="0.18"/>
    <x v="0"/>
    <n v="0.19700000000000001"/>
    <x v="29"/>
    <x v="2"/>
    <x v="6"/>
    <x v="12"/>
    <x v="25"/>
    <x v="24"/>
  </r>
  <r>
    <n v="167"/>
    <x v="2"/>
    <n v="1"/>
    <n v="1"/>
    <x v="18"/>
    <b v="0"/>
    <s v="Working"/>
    <n v="6"/>
    <x v="0"/>
    <n v="2"/>
    <n v="0.16"/>
    <x v="0"/>
    <n v="0.16669999999999999"/>
    <x v="33"/>
    <x v="2"/>
    <x v="6"/>
    <x v="12"/>
    <x v="26"/>
    <x v="25"/>
  </r>
  <r>
    <n v="168"/>
    <x v="2"/>
    <n v="1"/>
    <n v="1"/>
    <x v="19"/>
    <b v="0"/>
    <s v="Working"/>
    <n v="6"/>
    <x v="0"/>
    <n v="2"/>
    <n v="0.16"/>
    <x v="0"/>
    <n v="0.16669999999999999"/>
    <x v="33"/>
    <x v="2"/>
    <x v="6"/>
    <x v="12"/>
    <x v="2"/>
    <x v="34"/>
  </r>
  <r>
    <n v="169"/>
    <x v="2"/>
    <n v="1"/>
    <n v="1"/>
    <x v="2"/>
    <b v="0"/>
    <s v="Working"/>
    <n v="6"/>
    <x v="0"/>
    <n v="2"/>
    <n v="0.16"/>
    <x v="0"/>
    <n v="0.18179999999999999"/>
    <x v="33"/>
    <x v="2"/>
    <x v="7"/>
    <x v="2"/>
    <x v="10"/>
    <x v="11"/>
  </r>
  <r>
    <n v="173"/>
    <x v="2"/>
    <n v="1"/>
    <n v="1"/>
    <x v="3"/>
    <b v="0"/>
    <s v="Working"/>
    <n v="6"/>
    <x v="0"/>
    <n v="2"/>
    <n v="0.2"/>
    <x v="0"/>
    <n v="0.18179999999999999"/>
    <x v="28"/>
    <x v="2"/>
    <x v="14"/>
    <x v="9"/>
    <x v="107"/>
    <x v="88"/>
  </r>
  <r>
    <n v="174"/>
    <x v="2"/>
    <n v="1"/>
    <n v="1"/>
    <x v="20"/>
    <b v="0"/>
    <s v="Working"/>
    <n v="6"/>
    <x v="0"/>
    <n v="2"/>
    <n v="0.2"/>
    <x v="0"/>
    <n v="0.18179999999999999"/>
    <x v="30"/>
    <x v="2"/>
    <x v="11"/>
    <x v="13"/>
    <x v="108"/>
    <x v="112"/>
  </r>
  <r>
    <n v="175"/>
    <x v="2"/>
    <n v="1"/>
    <n v="1"/>
    <x v="21"/>
    <b v="0"/>
    <s v="Working"/>
    <n v="6"/>
    <x v="0"/>
    <n v="1"/>
    <n v="0.2"/>
    <x v="0"/>
    <n v="0.18179999999999999"/>
    <x v="19"/>
    <x v="2"/>
    <x v="10"/>
    <x v="10"/>
    <x v="48"/>
    <x v="113"/>
  </r>
  <r>
    <n v="176"/>
    <x v="2"/>
    <n v="1"/>
    <n v="1"/>
    <x v="23"/>
    <b v="0"/>
    <s v="Working"/>
    <n v="6"/>
    <x v="0"/>
    <n v="1"/>
    <n v="0.2"/>
    <x v="0"/>
    <n v="0.16669999999999999"/>
    <x v="26"/>
    <x v="2"/>
    <x v="15"/>
    <x v="14"/>
    <x v="31"/>
    <x v="19"/>
  </r>
  <r>
    <n v="177"/>
    <x v="2"/>
    <n v="1"/>
    <n v="1"/>
    <x v="13"/>
    <b v="0"/>
    <s v="Working"/>
    <n v="6"/>
    <x v="0"/>
    <n v="1"/>
    <n v="0.2"/>
    <x v="0"/>
    <n v="0.16669999999999999"/>
    <x v="26"/>
    <x v="2"/>
    <x v="13"/>
    <x v="1"/>
    <x v="41"/>
    <x v="14"/>
  </r>
  <r>
    <n v="178"/>
    <x v="2"/>
    <n v="1"/>
    <n v="1"/>
    <x v="4"/>
    <b v="0"/>
    <s v="Working"/>
    <n v="6"/>
    <x v="0"/>
    <n v="1"/>
    <n v="0.18"/>
    <x v="0"/>
    <n v="0.13639999999999999"/>
    <x v="44"/>
    <x v="2"/>
    <x v="13"/>
    <x v="13"/>
    <x v="79"/>
    <x v="17"/>
  </r>
  <r>
    <n v="179"/>
    <x v="2"/>
    <n v="1"/>
    <n v="1"/>
    <x v="16"/>
    <b v="0"/>
    <s v="Working"/>
    <n v="6"/>
    <x v="0"/>
    <n v="1"/>
    <n v="0.16"/>
    <x v="0"/>
    <n v="0.1212"/>
    <x v="39"/>
    <x v="2"/>
    <x v="16"/>
    <x v="1"/>
    <x v="62"/>
    <x v="101"/>
  </r>
  <r>
    <n v="180"/>
    <x v="2"/>
    <n v="1"/>
    <n v="1"/>
    <x v="5"/>
    <b v="0"/>
    <s v="Working"/>
    <n v="6"/>
    <x v="0"/>
    <n v="1"/>
    <n v="0.14000000000000001"/>
    <x v="0"/>
    <n v="0.1212"/>
    <x v="45"/>
    <x v="2"/>
    <x v="2"/>
    <x v="0"/>
    <x v="4"/>
    <x v="114"/>
  </r>
  <r>
    <n v="181"/>
    <x v="2"/>
    <n v="1"/>
    <n v="1"/>
    <x v="6"/>
    <b v="0"/>
    <s v="Working"/>
    <n v="6"/>
    <x v="0"/>
    <n v="1"/>
    <n v="0.14000000000000001"/>
    <x v="0"/>
    <n v="0.1212"/>
    <x v="43"/>
    <x v="2"/>
    <x v="3"/>
    <x v="8"/>
    <x v="5"/>
    <x v="42"/>
  </r>
  <r>
    <n v="182"/>
    <x v="2"/>
    <n v="1"/>
    <n v="1"/>
    <x v="7"/>
    <b v="0"/>
    <s v="Working"/>
    <n v="6"/>
    <x v="0"/>
    <n v="1"/>
    <n v="0.12"/>
    <x v="0"/>
    <n v="0.1212"/>
    <x v="43"/>
    <x v="2"/>
    <x v="3"/>
    <x v="12"/>
    <x v="21"/>
    <x v="9"/>
  </r>
  <r>
    <n v="183"/>
    <x v="2"/>
    <n v="1"/>
    <n v="1"/>
    <x v="8"/>
    <b v="0"/>
    <s v="Working"/>
    <n v="6"/>
    <x v="0"/>
    <n v="1"/>
    <n v="0.12"/>
    <x v="0"/>
    <n v="0.1061"/>
    <x v="45"/>
    <x v="2"/>
    <x v="11"/>
    <x v="9"/>
    <x v="42"/>
    <x v="6"/>
  </r>
  <r>
    <n v="184"/>
    <x v="2"/>
    <n v="1"/>
    <n v="1"/>
    <x v="9"/>
    <b v="0"/>
    <s v="Working"/>
    <n v="6"/>
    <x v="0"/>
    <n v="1"/>
    <n v="0.12"/>
    <x v="0"/>
    <n v="0.1061"/>
    <x v="43"/>
    <x v="2"/>
    <x v="14"/>
    <x v="2"/>
    <x v="33"/>
    <x v="8"/>
  </r>
  <r>
    <n v="185"/>
    <x v="2"/>
    <n v="1"/>
    <n v="1"/>
    <x v="17"/>
    <b v="0"/>
    <s v="Working"/>
    <n v="6"/>
    <x v="0"/>
    <n v="1"/>
    <n v="0.1"/>
    <x v="0"/>
    <n v="6.0600000000000001E-2"/>
    <x v="45"/>
    <x v="2"/>
    <x v="13"/>
    <x v="12"/>
    <x v="28"/>
    <x v="28"/>
  </r>
  <r>
    <n v="186"/>
    <x v="17"/>
    <n v="1"/>
    <n v="1"/>
    <x v="10"/>
    <b v="0"/>
    <s v="Working"/>
    <n v="0"/>
    <x v="1"/>
    <n v="1"/>
    <n v="0.1"/>
    <x v="0"/>
    <n v="7.5800000000000006E-2"/>
    <x v="18"/>
    <x v="2"/>
    <x v="14"/>
    <x v="2"/>
    <x v="54"/>
    <x v="111"/>
  </r>
  <r>
    <n v="187"/>
    <x v="17"/>
    <n v="1"/>
    <n v="1"/>
    <x v="0"/>
    <b v="0"/>
    <s v="Working"/>
    <n v="0"/>
    <x v="1"/>
    <n v="1"/>
    <n v="0.1"/>
    <x v="0"/>
    <n v="6.0600000000000001E-2"/>
    <x v="18"/>
    <x v="2"/>
    <x v="12"/>
    <x v="12"/>
    <x v="109"/>
    <x v="70"/>
  </r>
  <r>
    <n v="188"/>
    <x v="17"/>
    <n v="1"/>
    <n v="1"/>
    <x v="1"/>
    <b v="0"/>
    <s v="Working"/>
    <n v="0"/>
    <x v="1"/>
    <n v="1"/>
    <n v="0.1"/>
    <x v="0"/>
    <n v="6.0600000000000001E-2"/>
    <x v="17"/>
    <x v="2"/>
    <x v="12"/>
    <x v="12"/>
    <x v="73"/>
    <x v="82"/>
  </r>
  <r>
    <n v="189"/>
    <x v="17"/>
    <n v="1"/>
    <n v="1"/>
    <x v="11"/>
    <b v="0"/>
    <s v="Working"/>
    <n v="0"/>
    <x v="1"/>
    <n v="1"/>
    <n v="0.1"/>
    <x v="0"/>
    <n v="7.5800000000000006E-2"/>
    <x v="17"/>
    <x v="2"/>
    <x v="17"/>
    <x v="12"/>
    <x v="11"/>
    <x v="27"/>
  </r>
  <r>
    <n v="190"/>
    <x v="17"/>
    <n v="1"/>
    <n v="1"/>
    <x v="22"/>
    <b v="0"/>
    <s v="Working"/>
    <n v="0"/>
    <x v="1"/>
    <n v="1"/>
    <n v="0.08"/>
    <x v="0"/>
    <n v="9.0899999999999995E-2"/>
    <x v="46"/>
    <x v="2"/>
    <x v="4"/>
    <x v="12"/>
    <x v="25"/>
    <x v="24"/>
  </r>
  <r>
    <n v="191"/>
    <x v="17"/>
    <n v="1"/>
    <n v="1"/>
    <x v="18"/>
    <b v="0"/>
    <s v="Working"/>
    <n v="0"/>
    <x v="1"/>
    <n v="1"/>
    <n v="0.08"/>
    <x v="0"/>
    <n v="9.0899999999999995E-2"/>
    <x v="46"/>
    <x v="2"/>
    <x v="4"/>
    <x v="12"/>
    <x v="25"/>
    <x v="24"/>
  </r>
  <r>
    <n v="192"/>
    <x v="17"/>
    <n v="1"/>
    <n v="1"/>
    <x v="19"/>
    <b v="0"/>
    <s v="Working"/>
    <n v="0"/>
    <x v="1"/>
    <n v="1"/>
    <n v="0.1"/>
    <x v="0"/>
    <n v="9.0899999999999995E-2"/>
    <x v="37"/>
    <x v="2"/>
    <x v="1"/>
    <x v="12"/>
    <x v="25"/>
    <x v="24"/>
  </r>
  <r>
    <n v="193"/>
    <x v="17"/>
    <n v="1"/>
    <n v="1"/>
    <x v="2"/>
    <b v="0"/>
    <s v="Working"/>
    <n v="0"/>
    <x v="1"/>
    <n v="1"/>
    <n v="0.08"/>
    <x v="0"/>
    <n v="9.0899999999999995E-2"/>
    <x v="46"/>
    <x v="2"/>
    <x v="4"/>
    <x v="2"/>
    <x v="26"/>
    <x v="12"/>
  </r>
  <r>
    <n v="194"/>
    <x v="17"/>
    <n v="1"/>
    <n v="1"/>
    <x v="14"/>
    <b v="0"/>
    <s v="Working"/>
    <n v="0"/>
    <x v="1"/>
    <n v="1"/>
    <n v="0.1"/>
    <x v="0"/>
    <n v="9.0899999999999995E-2"/>
    <x v="37"/>
    <x v="2"/>
    <x v="1"/>
    <x v="12"/>
    <x v="57"/>
    <x v="115"/>
  </r>
  <r>
    <n v="195"/>
    <x v="17"/>
    <n v="1"/>
    <n v="1"/>
    <x v="15"/>
    <b v="0"/>
    <s v="Working"/>
    <n v="0"/>
    <x v="1"/>
    <n v="1"/>
    <n v="0.12"/>
    <x v="0"/>
    <n v="7.5800000000000006E-2"/>
    <x v="17"/>
    <x v="2"/>
    <x v="18"/>
    <x v="12"/>
    <x v="34"/>
    <x v="22"/>
  </r>
  <r>
    <n v="196"/>
    <x v="17"/>
    <n v="1"/>
    <n v="1"/>
    <x v="12"/>
    <b v="0"/>
    <s v="Working"/>
    <n v="0"/>
    <x v="1"/>
    <n v="1"/>
    <n v="0.14000000000000001"/>
    <x v="0"/>
    <n v="0.1061"/>
    <x v="22"/>
    <x v="2"/>
    <x v="14"/>
    <x v="12"/>
    <x v="49"/>
    <x v="51"/>
  </r>
  <r>
    <n v="197"/>
    <x v="17"/>
    <n v="1"/>
    <n v="1"/>
    <x v="3"/>
    <b v="0"/>
    <s v="Working"/>
    <n v="0"/>
    <x v="1"/>
    <n v="1"/>
    <n v="0.16"/>
    <x v="0"/>
    <n v="0.1212"/>
    <x v="23"/>
    <x v="2"/>
    <x v="18"/>
    <x v="9"/>
    <x v="38"/>
    <x v="51"/>
  </r>
  <r>
    <n v="198"/>
    <x v="17"/>
    <n v="1"/>
    <n v="1"/>
    <x v="20"/>
    <b v="0"/>
    <s v="Working"/>
    <n v="0"/>
    <x v="1"/>
    <n v="1"/>
    <n v="0.18"/>
    <x v="0"/>
    <n v="0.13639999999999999"/>
    <x v="39"/>
    <x v="2"/>
    <x v="13"/>
    <x v="8"/>
    <x v="78"/>
    <x v="31"/>
  </r>
  <r>
    <n v="199"/>
    <x v="17"/>
    <n v="1"/>
    <n v="1"/>
    <x v="21"/>
    <b v="0"/>
    <s v="Working"/>
    <n v="0"/>
    <x v="1"/>
    <n v="1"/>
    <n v="0.2"/>
    <x v="0"/>
    <n v="0.16669999999999999"/>
    <x v="47"/>
    <x v="2"/>
    <x v="13"/>
    <x v="6"/>
    <x v="41"/>
    <x v="63"/>
  </r>
  <r>
    <n v="200"/>
    <x v="17"/>
    <n v="1"/>
    <n v="1"/>
    <x v="23"/>
    <b v="0"/>
    <s v="Working"/>
    <n v="0"/>
    <x v="1"/>
    <n v="1"/>
    <n v="0.22"/>
    <x v="0"/>
    <n v="0.18179999999999999"/>
    <x v="26"/>
    <x v="2"/>
    <x v="12"/>
    <x v="13"/>
    <x v="62"/>
    <x v="43"/>
  </r>
  <r>
    <n v="201"/>
    <x v="17"/>
    <n v="1"/>
    <n v="1"/>
    <x v="13"/>
    <b v="0"/>
    <s v="Working"/>
    <n v="0"/>
    <x v="1"/>
    <n v="1"/>
    <n v="0.22"/>
    <x v="0"/>
    <n v="0.19700000000000001"/>
    <x v="24"/>
    <x v="2"/>
    <x v="11"/>
    <x v="1"/>
    <x v="110"/>
    <x v="116"/>
  </r>
  <r>
    <n v="202"/>
    <x v="17"/>
    <n v="1"/>
    <n v="1"/>
    <x v="4"/>
    <b v="0"/>
    <s v="Working"/>
    <n v="0"/>
    <x v="1"/>
    <n v="1"/>
    <n v="0.2"/>
    <x v="0"/>
    <n v="0.16669999999999999"/>
    <x v="47"/>
    <x v="2"/>
    <x v="13"/>
    <x v="22"/>
    <x v="78"/>
    <x v="117"/>
  </r>
  <r>
    <n v="203"/>
    <x v="17"/>
    <n v="1"/>
    <n v="1"/>
    <x v="16"/>
    <b v="0"/>
    <s v="Working"/>
    <n v="0"/>
    <x v="1"/>
    <n v="1"/>
    <n v="0.18"/>
    <x v="0"/>
    <n v="0.1515"/>
    <x v="39"/>
    <x v="2"/>
    <x v="14"/>
    <x v="0"/>
    <x v="98"/>
    <x v="88"/>
  </r>
  <r>
    <n v="204"/>
    <x v="17"/>
    <n v="1"/>
    <n v="1"/>
    <x v="5"/>
    <b v="0"/>
    <s v="Working"/>
    <n v="0"/>
    <x v="1"/>
    <n v="1"/>
    <n v="0.16"/>
    <x v="0"/>
    <n v="0.13639999999999999"/>
    <x v="23"/>
    <x v="2"/>
    <x v="10"/>
    <x v="8"/>
    <x v="111"/>
    <x v="45"/>
  </r>
  <r>
    <n v="205"/>
    <x v="17"/>
    <n v="1"/>
    <n v="1"/>
    <x v="6"/>
    <b v="0"/>
    <s v="Working"/>
    <n v="0"/>
    <x v="1"/>
    <n v="1"/>
    <n v="0.16"/>
    <x v="0"/>
    <n v="0.13639999999999999"/>
    <x v="22"/>
    <x v="2"/>
    <x v="10"/>
    <x v="2"/>
    <x v="50"/>
    <x v="32"/>
  </r>
  <r>
    <n v="206"/>
    <x v="17"/>
    <n v="1"/>
    <n v="1"/>
    <x v="7"/>
    <b v="0"/>
    <s v="Working"/>
    <n v="0"/>
    <x v="1"/>
    <n v="1"/>
    <n v="0.14000000000000001"/>
    <x v="0"/>
    <n v="0.1212"/>
    <x v="17"/>
    <x v="2"/>
    <x v="3"/>
    <x v="12"/>
    <x v="112"/>
    <x v="57"/>
  </r>
  <r>
    <n v="207"/>
    <x v="17"/>
    <n v="1"/>
    <n v="1"/>
    <x v="8"/>
    <b v="0"/>
    <s v="Working"/>
    <n v="0"/>
    <x v="1"/>
    <n v="1"/>
    <n v="0.14000000000000001"/>
    <x v="0"/>
    <n v="0.1061"/>
    <x v="17"/>
    <x v="2"/>
    <x v="17"/>
    <x v="2"/>
    <x v="34"/>
    <x v="16"/>
  </r>
  <r>
    <n v="208"/>
    <x v="17"/>
    <n v="1"/>
    <n v="1"/>
    <x v="9"/>
    <b v="0"/>
    <s v="Working"/>
    <n v="0"/>
    <x v="1"/>
    <n v="1"/>
    <n v="0.14000000000000001"/>
    <x v="0"/>
    <n v="0.1212"/>
    <x v="17"/>
    <x v="2"/>
    <x v="2"/>
    <x v="1"/>
    <x v="57"/>
    <x v="15"/>
  </r>
  <r>
    <n v="209"/>
    <x v="17"/>
    <n v="1"/>
    <n v="1"/>
    <x v="17"/>
    <b v="0"/>
    <s v="Working"/>
    <n v="0"/>
    <x v="1"/>
    <n v="1"/>
    <n v="0.12"/>
    <x v="0"/>
    <n v="0.13639999999999999"/>
    <x v="21"/>
    <x v="2"/>
    <x v="4"/>
    <x v="12"/>
    <x v="24"/>
    <x v="12"/>
  </r>
  <r>
    <n v="210"/>
    <x v="18"/>
    <n v="1"/>
    <n v="1"/>
    <x v="10"/>
    <b v="0"/>
    <s v="Working"/>
    <n v="1"/>
    <x v="4"/>
    <n v="1"/>
    <n v="0.12"/>
    <x v="0"/>
    <n v="0.1212"/>
    <x v="21"/>
    <x v="2"/>
    <x v="1"/>
    <x v="9"/>
    <x v="27"/>
    <x v="25"/>
  </r>
  <r>
    <n v="211"/>
    <x v="18"/>
    <n v="1"/>
    <n v="1"/>
    <x v="0"/>
    <b v="0"/>
    <s v="Working"/>
    <n v="1"/>
    <x v="4"/>
    <n v="1"/>
    <n v="0.12"/>
    <x v="0"/>
    <n v="0.1212"/>
    <x v="21"/>
    <x v="2"/>
    <x v="1"/>
    <x v="2"/>
    <x v="51"/>
    <x v="24"/>
  </r>
  <r>
    <n v="212"/>
    <x v="18"/>
    <n v="1"/>
    <n v="1"/>
    <x v="1"/>
    <b v="0"/>
    <s v="Working"/>
    <n v="1"/>
    <x v="4"/>
    <n v="1"/>
    <n v="0.12"/>
    <x v="0"/>
    <n v="0.1212"/>
    <x v="21"/>
    <x v="2"/>
    <x v="5"/>
    <x v="12"/>
    <x v="27"/>
    <x v="2"/>
  </r>
  <r>
    <n v="213"/>
    <x v="18"/>
    <n v="1"/>
    <n v="1"/>
    <x v="11"/>
    <b v="0"/>
    <s v="Working"/>
    <n v="1"/>
    <x v="4"/>
    <n v="1"/>
    <n v="0.12"/>
    <x v="0"/>
    <n v="0.1212"/>
    <x v="21"/>
    <x v="2"/>
    <x v="5"/>
    <x v="12"/>
    <x v="25"/>
    <x v="24"/>
  </r>
  <r>
    <n v="214"/>
    <x v="18"/>
    <n v="1"/>
    <n v="1"/>
    <x v="22"/>
    <b v="0"/>
    <s v="Working"/>
    <n v="1"/>
    <x v="4"/>
    <n v="1"/>
    <n v="0.1"/>
    <x v="0"/>
    <n v="0.1212"/>
    <x v="48"/>
    <x v="2"/>
    <x v="9"/>
    <x v="2"/>
    <x v="2"/>
    <x v="2"/>
  </r>
  <r>
    <n v="215"/>
    <x v="18"/>
    <n v="1"/>
    <n v="1"/>
    <x v="18"/>
    <b v="0"/>
    <s v="Working"/>
    <n v="1"/>
    <x v="4"/>
    <n v="1"/>
    <n v="0.1"/>
    <x v="0"/>
    <n v="0.1061"/>
    <x v="48"/>
    <x v="2"/>
    <x v="3"/>
    <x v="12"/>
    <x v="27"/>
    <x v="2"/>
  </r>
  <r>
    <n v="216"/>
    <x v="18"/>
    <n v="1"/>
    <n v="1"/>
    <x v="19"/>
    <b v="0"/>
    <s v="Working"/>
    <n v="1"/>
    <x v="4"/>
    <n v="1"/>
    <n v="0.12"/>
    <x v="0"/>
    <n v="0.1212"/>
    <x v="21"/>
    <x v="2"/>
    <x v="1"/>
    <x v="12"/>
    <x v="6"/>
    <x v="52"/>
  </r>
  <r>
    <n v="217"/>
    <x v="18"/>
    <n v="1"/>
    <n v="1"/>
    <x v="2"/>
    <b v="0"/>
    <s v="Working"/>
    <n v="1"/>
    <x v="4"/>
    <n v="1"/>
    <n v="0.12"/>
    <x v="0"/>
    <n v="0.1212"/>
    <x v="21"/>
    <x v="2"/>
    <x v="5"/>
    <x v="9"/>
    <x v="113"/>
    <x v="69"/>
  </r>
  <r>
    <n v="218"/>
    <x v="18"/>
    <n v="1"/>
    <n v="1"/>
    <x v="14"/>
    <b v="0"/>
    <s v="Working"/>
    <n v="1"/>
    <x v="4"/>
    <n v="2"/>
    <n v="0.12"/>
    <x v="0"/>
    <n v="0.1212"/>
    <x v="21"/>
    <x v="2"/>
    <x v="1"/>
    <x v="8"/>
    <x v="114"/>
    <x v="118"/>
  </r>
  <r>
    <n v="219"/>
    <x v="18"/>
    <n v="1"/>
    <n v="1"/>
    <x v="15"/>
    <b v="0"/>
    <s v="Working"/>
    <n v="1"/>
    <x v="4"/>
    <n v="2"/>
    <n v="0.14000000000000001"/>
    <x v="0"/>
    <n v="0.1212"/>
    <x v="21"/>
    <x v="2"/>
    <x v="3"/>
    <x v="9"/>
    <x v="74"/>
    <x v="60"/>
  </r>
  <r>
    <n v="220"/>
    <x v="18"/>
    <n v="1"/>
    <n v="1"/>
    <x v="12"/>
    <b v="0"/>
    <s v="Working"/>
    <n v="1"/>
    <x v="4"/>
    <n v="2"/>
    <n v="0.14000000000000001"/>
    <x v="0"/>
    <n v="0.1212"/>
    <x v="21"/>
    <x v="2"/>
    <x v="2"/>
    <x v="12"/>
    <x v="6"/>
    <x v="52"/>
  </r>
  <r>
    <n v="221"/>
    <x v="18"/>
    <n v="1"/>
    <n v="1"/>
    <x v="3"/>
    <b v="0"/>
    <s v="Working"/>
    <n v="1"/>
    <x v="4"/>
    <n v="2"/>
    <n v="0.16"/>
    <x v="0"/>
    <n v="0.13639999999999999"/>
    <x v="20"/>
    <x v="2"/>
    <x v="1"/>
    <x v="9"/>
    <x v="21"/>
    <x v="42"/>
  </r>
  <r>
    <n v="222"/>
    <x v="18"/>
    <n v="1"/>
    <n v="1"/>
    <x v="20"/>
    <b v="0"/>
    <s v="Working"/>
    <n v="1"/>
    <x v="4"/>
    <n v="2"/>
    <n v="0.2"/>
    <x v="0"/>
    <n v="0.18179999999999999"/>
    <x v="23"/>
    <x v="2"/>
    <x v="1"/>
    <x v="1"/>
    <x v="38"/>
    <x v="39"/>
  </r>
  <r>
    <n v="223"/>
    <x v="18"/>
    <n v="1"/>
    <n v="1"/>
    <x v="21"/>
    <b v="0"/>
    <s v="Working"/>
    <n v="1"/>
    <x v="4"/>
    <n v="2"/>
    <n v="0.2"/>
    <x v="0"/>
    <n v="0.18179999999999999"/>
    <x v="23"/>
    <x v="2"/>
    <x v="1"/>
    <x v="8"/>
    <x v="77"/>
    <x v="81"/>
  </r>
  <r>
    <n v="224"/>
    <x v="18"/>
    <n v="1"/>
    <n v="1"/>
    <x v="23"/>
    <b v="0"/>
    <s v="Working"/>
    <n v="1"/>
    <x v="4"/>
    <n v="2"/>
    <n v="0.2"/>
    <x v="0"/>
    <n v="0.19700000000000001"/>
    <x v="23"/>
    <x v="2"/>
    <x v="5"/>
    <x v="12"/>
    <x v="38"/>
    <x v="38"/>
  </r>
  <r>
    <n v="225"/>
    <x v="18"/>
    <n v="1"/>
    <n v="1"/>
    <x v="13"/>
    <b v="0"/>
    <s v="Working"/>
    <n v="1"/>
    <x v="4"/>
    <n v="2"/>
    <n v="0.2"/>
    <x v="0"/>
    <n v="0.19700000000000001"/>
    <x v="23"/>
    <x v="2"/>
    <x v="5"/>
    <x v="9"/>
    <x v="43"/>
    <x v="95"/>
  </r>
  <r>
    <n v="226"/>
    <x v="18"/>
    <n v="1"/>
    <n v="1"/>
    <x v="4"/>
    <b v="0"/>
    <s v="Working"/>
    <n v="1"/>
    <x v="4"/>
    <n v="1"/>
    <n v="0.2"/>
    <x v="0"/>
    <n v="0.21210000000000001"/>
    <x v="23"/>
    <x v="2"/>
    <x v="9"/>
    <x v="8"/>
    <x v="59"/>
    <x v="14"/>
  </r>
  <r>
    <n v="227"/>
    <x v="18"/>
    <n v="1"/>
    <n v="1"/>
    <x v="16"/>
    <b v="0"/>
    <s v="Working"/>
    <n v="1"/>
    <x v="4"/>
    <n v="1"/>
    <n v="0.2"/>
    <x v="0"/>
    <n v="0.2273"/>
    <x v="23"/>
    <x v="2"/>
    <x v="7"/>
    <x v="8"/>
    <x v="115"/>
    <x v="119"/>
  </r>
  <r>
    <n v="228"/>
    <x v="18"/>
    <n v="1"/>
    <n v="1"/>
    <x v="5"/>
    <b v="0"/>
    <s v="Working"/>
    <n v="1"/>
    <x v="4"/>
    <n v="1"/>
    <n v="0.2"/>
    <x v="0"/>
    <n v="0.19700000000000001"/>
    <x v="23"/>
    <x v="2"/>
    <x v="5"/>
    <x v="2"/>
    <x v="116"/>
    <x v="120"/>
  </r>
  <r>
    <n v="229"/>
    <x v="18"/>
    <n v="1"/>
    <n v="1"/>
    <x v="6"/>
    <b v="0"/>
    <s v="Working"/>
    <n v="1"/>
    <x v="4"/>
    <n v="1"/>
    <n v="0.16"/>
    <x v="0"/>
    <n v="0.16669999999999999"/>
    <x v="20"/>
    <x v="2"/>
    <x v="6"/>
    <x v="0"/>
    <x v="74"/>
    <x v="19"/>
  </r>
  <r>
    <n v="230"/>
    <x v="18"/>
    <n v="1"/>
    <n v="1"/>
    <x v="7"/>
    <b v="0"/>
    <s v="Working"/>
    <n v="1"/>
    <x v="4"/>
    <n v="1"/>
    <n v="0.16"/>
    <x v="0"/>
    <n v="0.16669999999999999"/>
    <x v="21"/>
    <x v="2"/>
    <x v="6"/>
    <x v="2"/>
    <x v="61"/>
    <x v="14"/>
  </r>
  <r>
    <n v="231"/>
    <x v="18"/>
    <n v="1"/>
    <n v="1"/>
    <x v="8"/>
    <b v="0"/>
    <s v="Working"/>
    <n v="1"/>
    <x v="4"/>
    <n v="1"/>
    <n v="0.14000000000000001"/>
    <x v="0"/>
    <n v="0.13639999999999999"/>
    <x v="30"/>
    <x v="2"/>
    <x v="4"/>
    <x v="2"/>
    <x v="76"/>
    <x v="57"/>
  </r>
  <r>
    <n v="232"/>
    <x v="18"/>
    <n v="1"/>
    <n v="1"/>
    <x v="9"/>
    <b v="0"/>
    <s v="Working"/>
    <n v="1"/>
    <x v="4"/>
    <n v="1"/>
    <n v="0.14000000000000001"/>
    <x v="0"/>
    <n v="0.1515"/>
    <x v="30"/>
    <x v="2"/>
    <x v="6"/>
    <x v="9"/>
    <x v="28"/>
    <x v="121"/>
  </r>
  <r>
    <n v="233"/>
    <x v="18"/>
    <n v="1"/>
    <n v="1"/>
    <x v="17"/>
    <b v="0"/>
    <s v="Working"/>
    <n v="1"/>
    <x v="4"/>
    <n v="1"/>
    <n v="0.14000000000000001"/>
    <x v="0"/>
    <n v="0.1515"/>
    <x v="30"/>
    <x v="2"/>
    <x v="6"/>
    <x v="12"/>
    <x v="22"/>
    <x v="122"/>
  </r>
  <r>
    <n v="234"/>
    <x v="3"/>
    <n v="1"/>
    <n v="1"/>
    <x v="10"/>
    <b v="0"/>
    <s v="Working"/>
    <n v="2"/>
    <x v="2"/>
    <n v="1"/>
    <n v="0.14000000000000001"/>
    <x v="0"/>
    <n v="0.16669999999999999"/>
    <x v="30"/>
    <x v="2"/>
    <x v="7"/>
    <x v="9"/>
    <x v="57"/>
    <x v="70"/>
  </r>
  <r>
    <n v="235"/>
    <x v="3"/>
    <n v="1"/>
    <n v="1"/>
    <x v="0"/>
    <b v="0"/>
    <s v="Working"/>
    <n v="2"/>
    <x v="2"/>
    <n v="1"/>
    <n v="0.14000000000000001"/>
    <x v="0"/>
    <n v="0.1515"/>
    <x v="30"/>
    <x v="2"/>
    <x v="6"/>
    <x v="12"/>
    <x v="27"/>
    <x v="2"/>
  </r>
  <r>
    <n v="236"/>
    <x v="3"/>
    <n v="1"/>
    <n v="1"/>
    <x v="1"/>
    <b v="0"/>
    <s v="Working"/>
    <n v="2"/>
    <x v="2"/>
    <n v="2"/>
    <n v="0.16"/>
    <x v="0"/>
    <n v="0.1515"/>
    <x v="29"/>
    <x v="2"/>
    <x v="4"/>
    <x v="12"/>
    <x v="27"/>
    <x v="2"/>
  </r>
  <r>
    <n v="237"/>
    <x v="3"/>
    <n v="1"/>
    <n v="1"/>
    <x v="18"/>
    <b v="0"/>
    <s v="Working"/>
    <n v="2"/>
    <x v="2"/>
    <n v="2"/>
    <n v="0.16"/>
    <x v="0"/>
    <n v="0.18179999999999999"/>
    <x v="29"/>
    <x v="2"/>
    <x v="9"/>
    <x v="12"/>
    <x v="24"/>
    <x v="12"/>
  </r>
  <r>
    <n v="238"/>
    <x v="3"/>
    <n v="1"/>
    <n v="1"/>
    <x v="19"/>
    <b v="0"/>
    <s v="Working"/>
    <n v="2"/>
    <x v="2"/>
    <n v="2"/>
    <n v="0.16"/>
    <x v="0"/>
    <n v="0.18179999999999999"/>
    <x v="29"/>
    <x v="2"/>
    <x v="9"/>
    <x v="12"/>
    <x v="1"/>
    <x v="54"/>
  </r>
  <r>
    <n v="239"/>
    <x v="3"/>
    <n v="1"/>
    <n v="1"/>
    <x v="2"/>
    <b v="0"/>
    <s v="Working"/>
    <n v="2"/>
    <x v="2"/>
    <n v="2"/>
    <n v="0.16"/>
    <x v="0"/>
    <n v="0.2273"/>
    <x v="29"/>
    <x v="2"/>
    <x v="0"/>
    <x v="9"/>
    <x v="117"/>
    <x v="56"/>
  </r>
  <r>
    <n v="240"/>
    <x v="3"/>
    <n v="1"/>
    <n v="1"/>
    <x v="14"/>
    <b v="0"/>
    <s v="Working"/>
    <n v="2"/>
    <x v="2"/>
    <n v="2"/>
    <n v="0.18"/>
    <x v="0"/>
    <n v="0.21210000000000001"/>
    <x v="34"/>
    <x v="2"/>
    <x v="8"/>
    <x v="0"/>
    <x v="118"/>
    <x v="123"/>
  </r>
  <r>
    <n v="241"/>
    <x v="3"/>
    <n v="1"/>
    <n v="1"/>
    <x v="15"/>
    <b v="0"/>
    <s v="Working"/>
    <n v="2"/>
    <x v="2"/>
    <n v="2"/>
    <n v="0.18"/>
    <x v="0"/>
    <n v="0.19700000000000001"/>
    <x v="34"/>
    <x v="2"/>
    <x v="6"/>
    <x v="0"/>
    <x v="92"/>
    <x v="124"/>
  </r>
  <r>
    <n v="242"/>
    <x v="3"/>
    <n v="1"/>
    <n v="1"/>
    <x v="12"/>
    <b v="0"/>
    <s v="Working"/>
    <n v="2"/>
    <x v="2"/>
    <n v="2"/>
    <n v="0.2"/>
    <x v="0"/>
    <n v="0.21210000000000001"/>
    <x v="34"/>
    <x v="2"/>
    <x v="6"/>
    <x v="0"/>
    <x v="19"/>
    <x v="81"/>
  </r>
  <r>
    <n v="243"/>
    <x v="3"/>
    <n v="1"/>
    <n v="1"/>
    <x v="3"/>
    <b v="0"/>
    <s v="Working"/>
    <n v="2"/>
    <x v="2"/>
    <n v="2"/>
    <n v="0.2"/>
    <x v="0"/>
    <n v="0.21210000000000001"/>
    <x v="20"/>
    <x v="2"/>
    <x v="9"/>
    <x v="8"/>
    <x v="6"/>
    <x v="5"/>
  </r>
  <r>
    <n v="244"/>
    <x v="3"/>
    <n v="1"/>
    <n v="1"/>
    <x v="20"/>
    <b v="0"/>
    <s v="Working"/>
    <n v="2"/>
    <x v="2"/>
    <n v="2"/>
    <n v="0.2"/>
    <x v="0"/>
    <n v="0.2273"/>
    <x v="34"/>
    <x v="2"/>
    <x v="7"/>
    <x v="9"/>
    <x v="13"/>
    <x v="74"/>
  </r>
  <r>
    <n v="245"/>
    <x v="3"/>
    <n v="1"/>
    <n v="1"/>
    <x v="21"/>
    <b v="0"/>
    <s v="Working"/>
    <n v="2"/>
    <x v="2"/>
    <n v="2"/>
    <n v="0.2"/>
    <x v="0"/>
    <n v="0.2273"/>
    <x v="30"/>
    <x v="2"/>
    <x v="8"/>
    <x v="6"/>
    <x v="12"/>
    <x v="39"/>
  </r>
  <r>
    <n v="246"/>
    <x v="3"/>
    <n v="1"/>
    <n v="1"/>
    <x v="23"/>
    <b v="0"/>
    <s v="Working"/>
    <n v="2"/>
    <x v="2"/>
    <n v="2"/>
    <n v="0.2"/>
    <x v="0"/>
    <n v="0.2273"/>
    <x v="30"/>
    <x v="2"/>
    <x v="8"/>
    <x v="0"/>
    <x v="107"/>
    <x v="77"/>
  </r>
  <r>
    <n v="261"/>
    <x v="4"/>
    <n v="1"/>
    <n v="1"/>
    <x v="2"/>
    <b v="0"/>
    <s v="Working"/>
    <n v="3"/>
    <x v="3"/>
    <n v="1"/>
    <n v="0.14000000000000001"/>
    <x v="0"/>
    <n v="0.1515"/>
    <x v="28"/>
    <x v="2"/>
    <x v="9"/>
    <x v="12"/>
    <x v="60"/>
    <x v="81"/>
  </r>
  <r>
    <n v="262"/>
    <x v="4"/>
    <n v="1"/>
    <n v="1"/>
    <x v="14"/>
    <b v="0"/>
    <s v="Working"/>
    <n v="3"/>
    <x v="3"/>
    <n v="1"/>
    <n v="0.16"/>
    <x v="0"/>
    <n v="0.16669999999999999"/>
    <x v="30"/>
    <x v="2"/>
    <x v="6"/>
    <x v="0"/>
    <x v="103"/>
    <x v="125"/>
  </r>
  <r>
    <n v="263"/>
    <x v="4"/>
    <n v="1"/>
    <n v="1"/>
    <x v="15"/>
    <b v="0"/>
    <s v="Working"/>
    <n v="3"/>
    <x v="3"/>
    <n v="1"/>
    <n v="0.16"/>
    <x v="0"/>
    <n v="0.13639999999999999"/>
    <x v="30"/>
    <x v="2"/>
    <x v="10"/>
    <x v="0"/>
    <x v="97"/>
    <x v="126"/>
  </r>
  <r>
    <n v="264"/>
    <x v="4"/>
    <n v="1"/>
    <n v="1"/>
    <x v="12"/>
    <b v="0"/>
    <s v="Working"/>
    <n v="3"/>
    <x v="3"/>
    <n v="1"/>
    <n v="0.18"/>
    <x v="0"/>
    <n v="0.18179999999999999"/>
    <x v="29"/>
    <x v="2"/>
    <x v="5"/>
    <x v="12"/>
    <x v="105"/>
    <x v="110"/>
  </r>
  <r>
    <n v="265"/>
    <x v="4"/>
    <n v="1"/>
    <n v="1"/>
    <x v="3"/>
    <b v="0"/>
    <s v="Working"/>
    <n v="3"/>
    <x v="3"/>
    <n v="1"/>
    <n v="0.2"/>
    <x v="0"/>
    <n v="0.18179999999999999"/>
    <x v="34"/>
    <x v="2"/>
    <x v="14"/>
    <x v="0"/>
    <x v="20"/>
    <x v="5"/>
  </r>
  <r>
    <n v="266"/>
    <x v="4"/>
    <n v="1"/>
    <n v="1"/>
    <x v="20"/>
    <b v="0"/>
    <s v="Working"/>
    <n v="3"/>
    <x v="3"/>
    <n v="1"/>
    <n v="0.2"/>
    <x v="0"/>
    <n v="0.1515"/>
    <x v="20"/>
    <x v="2"/>
    <x v="19"/>
    <x v="0"/>
    <x v="4"/>
    <x v="114"/>
  </r>
  <r>
    <n v="267"/>
    <x v="4"/>
    <n v="1"/>
    <n v="1"/>
    <x v="21"/>
    <b v="0"/>
    <s v="Working"/>
    <n v="3"/>
    <x v="3"/>
    <n v="1"/>
    <n v="0.22"/>
    <x v="0"/>
    <n v="0.19700000000000001"/>
    <x v="19"/>
    <x v="2"/>
    <x v="11"/>
    <x v="12"/>
    <x v="49"/>
    <x v="51"/>
  </r>
  <r>
    <n v="268"/>
    <x v="4"/>
    <n v="1"/>
    <n v="1"/>
    <x v="23"/>
    <b v="0"/>
    <s v="Working"/>
    <n v="3"/>
    <x v="3"/>
    <n v="1"/>
    <n v="0.2"/>
    <x v="0"/>
    <n v="0.18179999999999999"/>
    <x v="20"/>
    <x v="2"/>
    <x v="10"/>
    <x v="12"/>
    <x v="111"/>
    <x v="68"/>
  </r>
  <r>
    <n v="269"/>
    <x v="4"/>
    <n v="1"/>
    <n v="1"/>
    <x v="13"/>
    <b v="0"/>
    <s v="Working"/>
    <n v="3"/>
    <x v="3"/>
    <n v="1"/>
    <n v="0.2"/>
    <x v="0"/>
    <n v="0.16669999999999999"/>
    <x v="20"/>
    <x v="2"/>
    <x v="17"/>
    <x v="2"/>
    <x v="68"/>
    <x v="51"/>
  </r>
  <r>
    <n v="270"/>
    <x v="4"/>
    <n v="1"/>
    <n v="1"/>
    <x v="4"/>
    <b v="0"/>
    <s v="Working"/>
    <n v="3"/>
    <x v="3"/>
    <n v="1"/>
    <n v="0.22"/>
    <x v="0"/>
    <n v="0.19700000000000001"/>
    <x v="19"/>
    <x v="2"/>
    <x v="10"/>
    <x v="1"/>
    <x v="65"/>
    <x v="127"/>
  </r>
  <r>
    <n v="271"/>
    <x v="4"/>
    <n v="1"/>
    <n v="1"/>
    <x v="16"/>
    <b v="0"/>
    <s v="Working"/>
    <n v="3"/>
    <x v="3"/>
    <n v="1"/>
    <n v="0.2"/>
    <x v="0"/>
    <n v="0.18179999999999999"/>
    <x v="20"/>
    <x v="2"/>
    <x v="11"/>
    <x v="12"/>
    <x v="119"/>
    <x v="128"/>
  </r>
  <r>
    <n v="272"/>
    <x v="4"/>
    <n v="1"/>
    <n v="1"/>
    <x v="5"/>
    <b v="0"/>
    <s v="Working"/>
    <n v="3"/>
    <x v="3"/>
    <n v="1"/>
    <n v="0.2"/>
    <x v="0"/>
    <n v="0.1515"/>
    <x v="20"/>
    <x v="2"/>
    <x v="18"/>
    <x v="9"/>
    <x v="120"/>
    <x v="129"/>
  </r>
  <r>
    <n v="273"/>
    <x v="4"/>
    <n v="1"/>
    <n v="1"/>
    <x v="6"/>
    <b v="0"/>
    <s v="Working"/>
    <n v="3"/>
    <x v="3"/>
    <n v="1"/>
    <n v="0.18"/>
    <x v="0"/>
    <n v="0.1515"/>
    <x v="20"/>
    <x v="2"/>
    <x v="17"/>
    <x v="2"/>
    <x v="93"/>
    <x v="31"/>
  </r>
  <r>
    <n v="274"/>
    <x v="4"/>
    <n v="1"/>
    <n v="1"/>
    <x v="7"/>
    <b v="0"/>
    <s v="Working"/>
    <n v="3"/>
    <x v="3"/>
    <n v="1"/>
    <n v="0.16"/>
    <x v="0"/>
    <n v="0.13639999999999999"/>
    <x v="21"/>
    <x v="2"/>
    <x v="10"/>
    <x v="9"/>
    <x v="60"/>
    <x v="3"/>
  </r>
  <r>
    <n v="275"/>
    <x v="4"/>
    <n v="1"/>
    <n v="1"/>
    <x v="8"/>
    <b v="0"/>
    <s v="Working"/>
    <n v="3"/>
    <x v="3"/>
    <n v="1"/>
    <n v="0.16"/>
    <x v="0"/>
    <n v="0.13639999999999999"/>
    <x v="29"/>
    <x v="2"/>
    <x v="10"/>
    <x v="12"/>
    <x v="96"/>
    <x v="74"/>
  </r>
  <r>
    <n v="276"/>
    <x v="4"/>
    <n v="1"/>
    <n v="1"/>
    <x v="9"/>
    <b v="0"/>
    <s v="Working"/>
    <n v="3"/>
    <x v="3"/>
    <n v="1"/>
    <n v="0.16"/>
    <x v="0"/>
    <n v="0.1212"/>
    <x v="29"/>
    <x v="2"/>
    <x v="13"/>
    <x v="2"/>
    <x v="20"/>
    <x v="33"/>
  </r>
  <r>
    <n v="277"/>
    <x v="4"/>
    <n v="1"/>
    <n v="1"/>
    <x v="17"/>
    <b v="0"/>
    <s v="Working"/>
    <n v="3"/>
    <x v="3"/>
    <n v="1"/>
    <n v="0.14000000000000001"/>
    <x v="0"/>
    <n v="0.1061"/>
    <x v="30"/>
    <x v="2"/>
    <x v="17"/>
    <x v="2"/>
    <x v="34"/>
    <x v="16"/>
  </r>
  <r>
    <n v="278"/>
    <x v="19"/>
    <n v="1"/>
    <n v="1"/>
    <x v="10"/>
    <b v="0"/>
    <s v="Working"/>
    <n v="4"/>
    <x v="6"/>
    <n v="1"/>
    <n v="0.14000000000000001"/>
    <x v="0"/>
    <n v="0.1212"/>
    <x v="30"/>
    <x v="2"/>
    <x v="1"/>
    <x v="2"/>
    <x v="24"/>
    <x v="23"/>
  </r>
  <r>
    <n v="279"/>
    <x v="19"/>
    <n v="1"/>
    <n v="1"/>
    <x v="0"/>
    <b v="0"/>
    <s v="Working"/>
    <n v="4"/>
    <x v="6"/>
    <n v="1"/>
    <n v="0.14000000000000001"/>
    <x v="0"/>
    <n v="0.1212"/>
    <x v="21"/>
    <x v="2"/>
    <x v="1"/>
    <x v="12"/>
    <x v="2"/>
    <x v="34"/>
  </r>
  <r>
    <n v="280"/>
    <x v="19"/>
    <n v="1"/>
    <n v="1"/>
    <x v="1"/>
    <b v="0"/>
    <s v="Working"/>
    <n v="4"/>
    <x v="6"/>
    <n v="1"/>
    <n v="0.14000000000000001"/>
    <x v="0"/>
    <n v="0.1212"/>
    <x v="21"/>
    <x v="2"/>
    <x v="11"/>
    <x v="12"/>
    <x v="2"/>
    <x v="34"/>
  </r>
  <r>
    <n v="281"/>
    <x v="19"/>
    <n v="1"/>
    <n v="1"/>
    <x v="11"/>
    <b v="0"/>
    <s v="Working"/>
    <n v="4"/>
    <x v="6"/>
    <n v="1"/>
    <n v="0.14000000000000001"/>
    <x v="0"/>
    <n v="0.1212"/>
    <x v="21"/>
    <x v="2"/>
    <x v="10"/>
    <x v="12"/>
    <x v="27"/>
    <x v="2"/>
  </r>
  <r>
    <n v="282"/>
    <x v="19"/>
    <n v="1"/>
    <n v="1"/>
    <x v="22"/>
    <b v="0"/>
    <s v="Working"/>
    <n v="4"/>
    <x v="6"/>
    <n v="1"/>
    <n v="0.14000000000000001"/>
    <x v="0"/>
    <n v="0.1212"/>
    <x v="21"/>
    <x v="2"/>
    <x v="3"/>
    <x v="12"/>
    <x v="11"/>
    <x v="27"/>
  </r>
  <r>
    <n v="283"/>
    <x v="19"/>
    <n v="1"/>
    <n v="1"/>
    <x v="18"/>
    <b v="0"/>
    <s v="Working"/>
    <n v="4"/>
    <x v="6"/>
    <n v="1"/>
    <n v="0.14000000000000001"/>
    <x v="0"/>
    <n v="0.1212"/>
    <x v="21"/>
    <x v="2"/>
    <x v="2"/>
    <x v="12"/>
    <x v="27"/>
    <x v="2"/>
  </r>
  <r>
    <n v="284"/>
    <x v="19"/>
    <n v="1"/>
    <n v="1"/>
    <x v="19"/>
    <b v="0"/>
    <s v="Working"/>
    <n v="4"/>
    <x v="6"/>
    <n v="1"/>
    <n v="0.12"/>
    <x v="0"/>
    <n v="0.1515"/>
    <x v="48"/>
    <x v="2"/>
    <x v="9"/>
    <x v="12"/>
    <x v="21"/>
    <x v="9"/>
  </r>
  <r>
    <n v="285"/>
    <x v="19"/>
    <n v="1"/>
    <n v="1"/>
    <x v="2"/>
    <b v="0"/>
    <s v="Working"/>
    <n v="4"/>
    <x v="6"/>
    <n v="1"/>
    <n v="0.12"/>
    <x v="0"/>
    <n v="0.1515"/>
    <x v="48"/>
    <x v="2"/>
    <x v="9"/>
    <x v="12"/>
    <x v="16"/>
    <x v="43"/>
  </r>
  <r>
    <n v="286"/>
    <x v="19"/>
    <n v="1"/>
    <n v="1"/>
    <x v="14"/>
    <b v="0"/>
    <s v="Working"/>
    <n v="4"/>
    <x v="6"/>
    <n v="1"/>
    <n v="0.14000000000000001"/>
    <x v="0"/>
    <n v="0.13639999999999999"/>
    <x v="21"/>
    <x v="2"/>
    <x v="4"/>
    <x v="1"/>
    <x v="121"/>
    <x v="130"/>
  </r>
  <r>
    <n v="287"/>
    <x v="19"/>
    <n v="1"/>
    <n v="1"/>
    <x v="15"/>
    <b v="0"/>
    <s v="Working"/>
    <n v="4"/>
    <x v="6"/>
    <n v="1"/>
    <n v="0.14000000000000001"/>
    <x v="0"/>
    <n v="0.1212"/>
    <x v="21"/>
    <x v="2"/>
    <x v="10"/>
    <x v="9"/>
    <x v="122"/>
    <x v="128"/>
  </r>
  <r>
    <n v="288"/>
    <x v="19"/>
    <n v="1"/>
    <n v="1"/>
    <x v="12"/>
    <b v="0"/>
    <s v="Working"/>
    <n v="4"/>
    <x v="6"/>
    <n v="2"/>
    <n v="0.16"/>
    <x v="0"/>
    <n v="0.13639999999999999"/>
    <x v="21"/>
    <x v="2"/>
    <x v="11"/>
    <x v="9"/>
    <x v="44"/>
    <x v="57"/>
  </r>
  <r>
    <n v="289"/>
    <x v="19"/>
    <n v="1"/>
    <n v="1"/>
    <x v="3"/>
    <b v="0"/>
    <s v="Working"/>
    <n v="4"/>
    <x v="6"/>
    <n v="2"/>
    <n v="0.2"/>
    <x v="0"/>
    <n v="0.16669999999999999"/>
    <x v="19"/>
    <x v="2"/>
    <x v="13"/>
    <x v="8"/>
    <x v="33"/>
    <x v="6"/>
  </r>
  <r>
    <n v="290"/>
    <x v="19"/>
    <n v="1"/>
    <n v="1"/>
    <x v="20"/>
    <b v="0"/>
    <s v="Working"/>
    <n v="4"/>
    <x v="6"/>
    <n v="1"/>
    <n v="0.2"/>
    <x v="0"/>
    <n v="0.16669999999999999"/>
    <x v="19"/>
    <x v="2"/>
    <x v="17"/>
    <x v="0"/>
    <x v="49"/>
    <x v="39"/>
  </r>
  <r>
    <n v="291"/>
    <x v="19"/>
    <n v="1"/>
    <n v="1"/>
    <x v="21"/>
    <b v="0"/>
    <s v="Working"/>
    <n v="4"/>
    <x v="6"/>
    <n v="1"/>
    <n v="0.22"/>
    <x v="0"/>
    <n v="0.19700000000000001"/>
    <x v="49"/>
    <x v="2"/>
    <x v="13"/>
    <x v="9"/>
    <x v="67"/>
    <x v="31"/>
  </r>
  <r>
    <n v="292"/>
    <x v="19"/>
    <n v="1"/>
    <n v="1"/>
    <x v="23"/>
    <b v="0"/>
    <s v="Working"/>
    <n v="4"/>
    <x v="6"/>
    <n v="1"/>
    <n v="0.22"/>
    <x v="0"/>
    <n v="0.19700000000000001"/>
    <x v="49"/>
    <x v="2"/>
    <x v="14"/>
    <x v="0"/>
    <x v="105"/>
    <x v="73"/>
  </r>
  <r>
    <n v="293"/>
    <x v="19"/>
    <n v="1"/>
    <n v="1"/>
    <x v="13"/>
    <b v="0"/>
    <s v="Working"/>
    <n v="4"/>
    <x v="6"/>
    <n v="1"/>
    <n v="0.24"/>
    <x v="0"/>
    <n v="0.21210000000000001"/>
    <x v="42"/>
    <x v="2"/>
    <x v="2"/>
    <x v="1"/>
    <x v="13"/>
    <x v="48"/>
  </r>
  <r>
    <n v="294"/>
    <x v="19"/>
    <n v="1"/>
    <n v="1"/>
    <x v="4"/>
    <b v="0"/>
    <s v="Working"/>
    <n v="4"/>
    <x v="6"/>
    <n v="1"/>
    <n v="0.24"/>
    <x v="0"/>
    <n v="0.21210000000000001"/>
    <x v="42"/>
    <x v="2"/>
    <x v="11"/>
    <x v="9"/>
    <x v="101"/>
    <x v="75"/>
  </r>
  <r>
    <n v="295"/>
    <x v="19"/>
    <n v="1"/>
    <n v="1"/>
    <x v="16"/>
    <b v="0"/>
    <s v="Working"/>
    <n v="4"/>
    <x v="6"/>
    <n v="1"/>
    <n v="0.2"/>
    <x v="0"/>
    <n v="0.18179999999999999"/>
    <x v="23"/>
    <x v="2"/>
    <x v="1"/>
    <x v="8"/>
    <x v="100"/>
    <x v="131"/>
  </r>
  <r>
    <n v="296"/>
    <x v="19"/>
    <n v="1"/>
    <n v="1"/>
    <x v="5"/>
    <b v="0"/>
    <s v="Working"/>
    <n v="4"/>
    <x v="6"/>
    <n v="1"/>
    <n v="0.2"/>
    <x v="0"/>
    <n v="0.18179999999999999"/>
    <x v="23"/>
    <x v="2"/>
    <x v="10"/>
    <x v="0"/>
    <x v="123"/>
    <x v="132"/>
  </r>
  <r>
    <n v="297"/>
    <x v="19"/>
    <n v="1"/>
    <n v="1"/>
    <x v="6"/>
    <b v="0"/>
    <s v="Working"/>
    <n v="4"/>
    <x v="6"/>
    <n v="1"/>
    <n v="0.16"/>
    <x v="0"/>
    <n v="0.1515"/>
    <x v="20"/>
    <x v="2"/>
    <x v="3"/>
    <x v="2"/>
    <x v="56"/>
    <x v="56"/>
  </r>
  <r>
    <n v="298"/>
    <x v="19"/>
    <n v="1"/>
    <n v="1"/>
    <x v="7"/>
    <b v="0"/>
    <s v="Working"/>
    <n v="4"/>
    <x v="6"/>
    <n v="1"/>
    <n v="0.16"/>
    <x v="0"/>
    <n v="0.1515"/>
    <x v="20"/>
    <x v="2"/>
    <x v="5"/>
    <x v="12"/>
    <x v="62"/>
    <x v="65"/>
  </r>
  <r>
    <n v="299"/>
    <x v="19"/>
    <n v="1"/>
    <n v="1"/>
    <x v="8"/>
    <b v="0"/>
    <s v="Working"/>
    <n v="4"/>
    <x v="6"/>
    <n v="1"/>
    <n v="0.14000000000000001"/>
    <x v="0"/>
    <n v="0.1212"/>
    <x v="17"/>
    <x v="2"/>
    <x v="2"/>
    <x v="12"/>
    <x v="50"/>
    <x v="53"/>
  </r>
  <r>
    <n v="300"/>
    <x v="19"/>
    <n v="1"/>
    <n v="1"/>
    <x v="9"/>
    <b v="0"/>
    <s v="Working"/>
    <n v="4"/>
    <x v="6"/>
    <n v="1"/>
    <n v="0.14000000000000001"/>
    <x v="0"/>
    <n v="0.1212"/>
    <x v="17"/>
    <x v="2"/>
    <x v="10"/>
    <x v="12"/>
    <x v="3"/>
    <x v="42"/>
  </r>
  <r>
    <n v="301"/>
    <x v="19"/>
    <n v="1"/>
    <n v="1"/>
    <x v="17"/>
    <b v="0"/>
    <s v="Working"/>
    <n v="4"/>
    <x v="6"/>
    <n v="1"/>
    <n v="0.12"/>
    <x v="0"/>
    <n v="0.13639999999999999"/>
    <x v="21"/>
    <x v="2"/>
    <x v="4"/>
    <x v="2"/>
    <x v="106"/>
    <x v="15"/>
  </r>
  <r>
    <n v="302"/>
    <x v="20"/>
    <n v="1"/>
    <n v="1"/>
    <x v="10"/>
    <b v="0"/>
    <s v="Working"/>
    <n v="5"/>
    <x v="5"/>
    <n v="1"/>
    <n v="0.12"/>
    <x v="0"/>
    <n v="0.13639999999999999"/>
    <x v="21"/>
    <x v="2"/>
    <x v="4"/>
    <x v="12"/>
    <x v="106"/>
    <x v="58"/>
  </r>
  <r>
    <n v="303"/>
    <x v="20"/>
    <n v="1"/>
    <n v="1"/>
    <x v="0"/>
    <b v="0"/>
    <s v="Working"/>
    <n v="5"/>
    <x v="5"/>
    <n v="1"/>
    <n v="0.1"/>
    <x v="0"/>
    <n v="0.1212"/>
    <x v="48"/>
    <x v="2"/>
    <x v="6"/>
    <x v="12"/>
    <x v="26"/>
    <x v="25"/>
  </r>
  <r>
    <n v="304"/>
    <x v="20"/>
    <n v="1"/>
    <n v="1"/>
    <x v="1"/>
    <b v="0"/>
    <s v="Working"/>
    <n v="5"/>
    <x v="5"/>
    <n v="1"/>
    <n v="0.1"/>
    <x v="0"/>
    <n v="0.1212"/>
    <x v="48"/>
    <x v="2"/>
    <x v="9"/>
    <x v="12"/>
    <x v="25"/>
    <x v="24"/>
  </r>
  <r>
    <n v="305"/>
    <x v="20"/>
    <n v="1"/>
    <n v="1"/>
    <x v="11"/>
    <b v="0"/>
    <s v="Working"/>
    <n v="5"/>
    <x v="5"/>
    <n v="1"/>
    <n v="0.1"/>
    <x v="0"/>
    <n v="0.13639999999999999"/>
    <x v="48"/>
    <x v="2"/>
    <x v="7"/>
    <x v="12"/>
    <x v="25"/>
    <x v="24"/>
  </r>
  <r>
    <n v="306"/>
    <x v="20"/>
    <n v="1"/>
    <n v="1"/>
    <x v="18"/>
    <b v="0"/>
    <s v="Working"/>
    <n v="5"/>
    <x v="5"/>
    <n v="1"/>
    <n v="0.1"/>
    <x v="0"/>
    <n v="0.13639999999999999"/>
    <x v="48"/>
    <x v="2"/>
    <x v="8"/>
    <x v="12"/>
    <x v="10"/>
    <x v="41"/>
  </r>
  <r>
    <n v="307"/>
    <x v="20"/>
    <n v="1"/>
    <n v="1"/>
    <x v="19"/>
    <b v="0"/>
    <s v="Working"/>
    <n v="5"/>
    <x v="5"/>
    <n v="1"/>
    <n v="0.1"/>
    <x v="0"/>
    <n v="0.18179999999999999"/>
    <x v="48"/>
    <x v="2"/>
    <x v="0"/>
    <x v="12"/>
    <x v="8"/>
    <x v="10"/>
  </r>
  <r>
    <n v="308"/>
    <x v="20"/>
    <n v="1"/>
    <n v="1"/>
    <x v="2"/>
    <b v="0"/>
    <s v="Working"/>
    <n v="5"/>
    <x v="5"/>
    <n v="1"/>
    <n v="0.1"/>
    <x v="0"/>
    <n v="0.1212"/>
    <x v="33"/>
    <x v="2"/>
    <x v="6"/>
    <x v="12"/>
    <x v="59"/>
    <x v="40"/>
  </r>
  <r>
    <n v="309"/>
    <x v="20"/>
    <n v="1"/>
    <n v="1"/>
    <x v="14"/>
    <b v="0"/>
    <s v="Working"/>
    <n v="5"/>
    <x v="5"/>
    <n v="1"/>
    <n v="0.12"/>
    <x v="0"/>
    <n v="0.16669999999999999"/>
    <x v="32"/>
    <x v="2"/>
    <x v="0"/>
    <x v="9"/>
    <x v="124"/>
    <x v="133"/>
  </r>
  <r>
    <n v="310"/>
    <x v="20"/>
    <n v="1"/>
    <n v="1"/>
    <x v="15"/>
    <b v="0"/>
    <s v="Working"/>
    <n v="5"/>
    <x v="5"/>
    <n v="1"/>
    <n v="0.14000000000000001"/>
    <x v="0"/>
    <n v="0.1515"/>
    <x v="28"/>
    <x v="2"/>
    <x v="9"/>
    <x v="12"/>
    <x v="125"/>
    <x v="134"/>
  </r>
  <r>
    <n v="311"/>
    <x v="20"/>
    <n v="1"/>
    <n v="1"/>
    <x v="12"/>
    <b v="0"/>
    <s v="Working"/>
    <n v="5"/>
    <x v="5"/>
    <n v="1"/>
    <n v="0.18"/>
    <x v="0"/>
    <n v="0.18179999999999999"/>
    <x v="29"/>
    <x v="2"/>
    <x v="4"/>
    <x v="8"/>
    <x v="50"/>
    <x v="68"/>
  </r>
  <r>
    <n v="312"/>
    <x v="20"/>
    <n v="1"/>
    <n v="1"/>
    <x v="3"/>
    <b v="0"/>
    <s v="Working"/>
    <n v="5"/>
    <x v="5"/>
    <n v="1"/>
    <n v="0.18"/>
    <x v="0"/>
    <n v="0.16669999999999999"/>
    <x v="34"/>
    <x v="2"/>
    <x v="1"/>
    <x v="6"/>
    <x v="38"/>
    <x v="13"/>
  </r>
  <r>
    <n v="313"/>
    <x v="20"/>
    <n v="1"/>
    <n v="1"/>
    <x v="20"/>
    <b v="0"/>
    <s v="Working"/>
    <n v="5"/>
    <x v="5"/>
    <n v="1"/>
    <n v="0.2"/>
    <x v="0"/>
    <n v="0.19700000000000001"/>
    <x v="19"/>
    <x v="2"/>
    <x v="3"/>
    <x v="9"/>
    <x v="98"/>
    <x v="29"/>
  </r>
  <r>
    <n v="314"/>
    <x v="20"/>
    <n v="1"/>
    <n v="1"/>
    <x v="21"/>
    <b v="0"/>
    <s v="Working"/>
    <n v="5"/>
    <x v="5"/>
    <n v="1"/>
    <n v="0.22"/>
    <x v="0"/>
    <n v="0.19700000000000001"/>
    <x v="39"/>
    <x v="2"/>
    <x v="14"/>
    <x v="8"/>
    <x v="61"/>
    <x v="69"/>
  </r>
  <r>
    <n v="315"/>
    <x v="20"/>
    <n v="1"/>
    <n v="1"/>
    <x v="23"/>
    <b v="0"/>
    <s v="Working"/>
    <n v="5"/>
    <x v="5"/>
    <n v="1"/>
    <n v="0.22"/>
    <x v="0"/>
    <n v="0.21210000000000001"/>
    <x v="49"/>
    <x v="2"/>
    <x v="1"/>
    <x v="1"/>
    <x v="98"/>
    <x v="65"/>
  </r>
  <r>
    <n v="316"/>
    <x v="20"/>
    <n v="1"/>
    <n v="1"/>
    <x v="13"/>
    <b v="0"/>
    <s v="Working"/>
    <n v="5"/>
    <x v="5"/>
    <n v="1"/>
    <n v="0.24"/>
    <x v="0"/>
    <n v="0.2424"/>
    <x v="42"/>
    <x v="2"/>
    <x v="6"/>
    <x v="5"/>
    <x v="98"/>
    <x v="127"/>
  </r>
  <r>
    <n v="317"/>
    <x v="20"/>
    <n v="1"/>
    <n v="1"/>
    <x v="4"/>
    <b v="0"/>
    <s v="Working"/>
    <n v="5"/>
    <x v="5"/>
    <n v="1"/>
    <n v="0.22"/>
    <x v="0"/>
    <n v="0.2424"/>
    <x v="49"/>
    <x v="2"/>
    <x v="7"/>
    <x v="0"/>
    <x v="85"/>
    <x v="35"/>
  </r>
  <r>
    <n v="318"/>
    <x v="20"/>
    <n v="1"/>
    <n v="1"/>
    <x v="16"/>
    <b v="0"/>
    <s v="Working"/>
    <n v="5"/>
    <x v="5"/>
    <n v="1"/>
    <n v="0.22"/>
    <x v="0"/>
    <n v="0.2273"/>
    <x v="49"/>
    <x v="2"/>
    <x v="6"/>
    <x v="8"/>
    <x v="47"/>
    <x v="135"/>
  </r>
  <r>
    <n v="319"/>
    <x v="20"/>
    <n v="1"/>
    <n v="1"/>
    <x v="5"/>
    <b v="0"/>
    <s v="Working"/>
    <n v="5"/>
    <x v="5"/>
    <n v="1"/>
    <n v="0.2"/>
    <x v="0"/>
    <n v="0.2576"/>
    <x v="20"/>
    <x v="2"/>
    <x v="0"/>
    <x v="1"/>
    <x v="126"/>
    <x v="128"/>
  </r>
  <r>
    <n v="320"/>
    <x v="20"/>
    <n v="1"/>
    <n v="1"/>
    <x v="6"/>
    <b v="0"/>
    <s v="Working"/>
    <n v="5"/>
    <x v="5"/>
    <n v="1"/>
    <n v="0.16"/>
    <x v="0"/>
    <n v="0.19700000000000001"/>
    <x v="30"/>
    <x v="2"/>
    <x v="8"/>
    <x v="0"/>
    <x v="35"/>
    <x v="117"/>
  </r>
  <r>
    <n v="321"/>
    <x v="20"/>
    <n v="1"/>
    <n v="1"/>
    <x v="7"/>
    <b v="0"/>
    <s v="Working"/>
    <n v="5"/>
    <x v="5"/>
    <n v="1"/>
    <n v="0.18"/>
    <x v="0"/>
    <n v="0.2424"/>
    <x v="30"/>
    <x v="2"/>
    <x v="0"/>
    <x v="12"/>
    <x v="79"/>
    <x v="127"/>
  </r>
  <r>
    <n v="322"/>
    <x v="20"/>
    <n v="1"/>
    <n v="1"/>
    <x v="8"/>
    <b v="0"/>
    <s v="Working"/>
    <n v="5"/>
    <x v="5"/>
    <n v="1"/>
    <n v="0.16"/>
    <x v="0"/>
    <n v="0.2273"/>
    <x v="28"/>
    <x v="2"/>
    <x v="0"/>
    <x v="8"/>
    <x v="68"/>
    <x v="39"/>
  </r>
  <r>
    <n v="323"/>
    <x v="20"/>
    <n v="1"/>
    <n v="1"/>
    <x v="9"/>
    <b v="0"/>
    <s v="Working"/>
    <n v="5"/>
    <x v="5"/>
    <n v="2"/>
    <n v="0.16"/>
    <x v="0"/>
    <n v="0.2273"/>
    <x v="28"/>
    <x v="2"/>
    <x v="0"/>
    <x v="9"/>
    <x v="84"/>
    <x v="7"/>
  </r>
  <r>
    <n v="324"/>
    <x v="20"/>
    <n v="1"/>
    <n v="1"/>
    <x v="17"/>
    <b v="0"/>
    <s v="Working"/>
    <n v="5"/>
    <x v="5"/>
    <n v="2"/>
    <n v="0.18"/>
    <x v="0"/>
    <n v="0.2424"/>
    <x v="29"/>
    <x v="2"/>
    <x v="0"/>
    <x v="2"/>
    <x v="5"/>
    <x v="54"/>
  </r>
  <r>
    <n v="325"/>
    <x v="21"/>
    <n v="1"/>
    <n v="1"/>
    <x v="10"/>
    <b v="0"/>
    <s v="Working"/>
    <n v="6"/>
    <x v="0"/>
    <n v="1"/>
    <n v="0.18"/>
    <x v="0"/>
    <n v="0.2424"/>
    <x v="29"/>
    <x v="2"/>
    <x v="0"/>
    <x v="0"/>
    <x v="7"/>
    <x v="9"/>
  </r>
  <r>
    <n v="326"/>
    <x v="21"/>
    <n v="1"/>
    <n v="1"/>
    <x v="0"/>
    <b v="0"/>
    <s v="Working"/>
    <n v="6"/>
    <x v="0"/>
    <n v="2"/>
    <n v="0.16"/>
    <x v="0"/>
    <n v="0.19700000000000001"/>
    <x v="30"/>
    <x v="2"/>
    <x v="8"/>
    <x v="9"/>
    <x v="22"/>
    <x v="16"/>
  </r>
  <r>
    <n v="327"/>
    <x v="21"/>
    <n v="1"/>
    <n v="1"/>
    <x v="1"/>
    <b v="0"/>
    <s v="Working"/>
    <n v="6"/>
    <x v="0"/>
    <n v="2"/>
    <n v="0.16"/>
    <x v="0"/>
    <n v="0.19700000000000001"/>
    <x v="30"/>
    <x v="2"/>
    <x v="8"/>
    <x v="12"/>
    <x v="109"/>
    <x v="70"/>
  </r>
  <r>
    <n v="328"/>
    <x v="21"/>
    <n v="1"/>
    <n v="1"/>
    <x v="11"/>
    <b v="0"/>
    <s v="Working"/>
    <n v="6"/>
    <x v="0"/>
    <n v="2"/>
    <n v="0.16"/>
    <x v="0"/>
    <n v="0.2273"/>
    <x v="30"/>
    <x v="2"/>
    <x v="0"/>
    <x v="2"/>
    <x v="23"/>
    <x v="41"/>
  </r>
  <r>
    <n v="329"/>
    <x v="21"/>
    <n v="1"/>
    <n v="1"/>
    <x v="22"/>
    <b v="0"/>
    <s v="Working"/>
    <n v="6"/>
    <x v="0"/>
    <n v="2"/>
    <n v="0.16"/>
    <x v="0"/>
    <n v="0.2273"/>
    <x v="30"/>
    <x v="2"/>
    <x v="0"/>
    <x v="12"/>
    <x v="26"/>
    <x v="25"/>
  </r>
  <r>
    <n v="330"/>
    <x v="21"/>
    <n v="1"/>
    <n v="1"/>
    <x v="18"/>
    <b v="0"/>
    <s v="Working"/>
    <n v="6"/>
    <x v="0"/>
    <n v="1"/>
    <n v="0.16"/>
    <x v="0"/>
    <n v="0.2273"/>
    <x v="30"/>
    <x v="2"/>
    <x v="0"/>
    <x v="12"/>
    <x v="25"/>
    <x v="24"/>
  </r>
  <r>
    <n v="331"/>
    <x v="21"/>
    <n v="1"/>
    <n v="1"/>
    <x v="19"/>
    <b v="0"/>
    <s v="Working"/>
    <n v="6"/>
    <x v="0"/>
    <n v="1"/>
    <n v="0.14000000000000001"/>
    <x v="0"/>
    <n v="0.16669999999999999"/>
    <x v="31"/>
    <x v="2"/>
    <x v="7"/>
    <x v="2"/>
    <x v="2"/>
    <x v="2"/>
  </r>
  <r>
    <n v="332"/>
    <x v="21"/>
    <n v="1"/>
    <n v="1"/>
    <x v="2"/>
    <b v="0"/>
    <s v="Working"/>
    <n v="6"/>
    <x v="0"/>
    <n v="1"/>
    <n v="0.14000000000000001"/>
    <x v="0"/>
    <n v="0.21210000000000001"/>
    <x v="31"/>
    <x v="2"/>
    <x v="0"/>
    <x v="2"/>
    <x v="64"/>
    <x v="115"/>
  </r>
  <r>
    <n v="333"/>
    <x v="21"/>
    <n v="1"/>
    <n v="1"/>
    <x v="14"/>
    <b v="0"/>
    <s v="Working"/>
    <n v="6"/>
    <x v="0"/>
    <n v="1"/>
    <n v="0.14000000000000001"/>
    <x v="0"/>
    <n v="0.1515"/>
    <x v="31"/>
    <x v="2"/>
    <x v="9"/>
    <x v="2"/>
    <x v="28"/>
    <x v="102"/>
  </r>
  <r>
    <n v="334"/>
    <x v="21"/>
    <n v="1"/>
    <n v="1"/>
    <x v="15"/>
    <b v="0"/>
    <s v="Working"/>
    <n v="6"/>
    <x v="0"/>
    <n v="1"/>
    <n v="0.16"/>
    <x v="0"/>
    <n v="0.18179999999999999"/>
    <x v="27"/>
    <x v="2"/>
    <x v="9"/>
    <x v="9"/>
    <x v="6"/>
    <x v="33"/>
  </r>
  <r>
    <n v="335"/>
    <x v="21"/>
    <n v="1"/>
    <n v="1"/>
    <x v="12"/>
    <b v="0"/>
    <s v="Working"/>
    <n v="6"/>
    <x v="0"/>
    <n v="1"/>
    <n v="0.18"/>
    <x v="0"/>
    <n v="0.19700000000000001"/>
    <x v="30"/>
    <x v="2"/>
    <x v="6"/>
    <x v="9"/>
    <x v="96"/>
    <x v="96"/>
  </r>
  <r>
    <n v="336"/>
    <x v="21"/>
    <n v="1"/>
    <n v="1"/>
    <x v="3"/>
    <b v="0"/>
    <s v="Working"/>
    <n v="6"/>
    <x v="0"/>
    <n v="1"/>
    <n v="0.2"/>
    <x v="0"/>
    <n v="0.19700000000000001"/>
    <x v="29"/>
    <x v="2"/>
    <x v="5"/>
    <x v="24"/>
    <x v="60"/>
    <x v="43"/>
  </r>
  <r>
    <n v="337"/>
    <x v="21"/>
    <n v="1"/>
    <n v="1"/>
    <x v="20"/>
    <b v="0"/>
    <s v="Working"/>
    <n v="6"/>
    <x v="0"/>
    <n v="1"/>
    <n v="0.24"/>
    <x v="0"/>
    <n v="0.2273"/>
    <x v="38"/>
    <x v="2"/>
    <x v="5"/>
    <x v="26"/>
    <x v="88"/>
    <x v="89"/>
  </r>
  <r>
    <n v="338"/>
    <x v="21"/>
    <n v="1"/>
    <n v="1"/>
    <x v="21"/>
    <b v="0"/>
    <s v="Working"/>
    <n v="6"/>
    <x v="0"/>
    <n v="1"/>
    <n v="0.28000000000000003"/>
    <x v="1"/>
    <n v="0.2576"/>
    <x v="42"/>
    <x v="2"/>
    <x v="2"/>
    <x v="27"/>
    <x v="127"/>
    <x v="50"/>
  </r>
  <r>
    <n v="339"/>
    <x v="21"/>
    <n v="1"/>
    <n v="1"/>
    <x v="23"/>
    <b v="0"/>
    <s v="Working"/>
    <n v="6"/>
    <x v="0"/>
    <n v="1"/>
    <n v="0.3"/>
    <x v="1"/>
    <n v="0.28789999999999999"/>
    <x v="45"/>
    <x v="2"/>
    <x v="1"/>
    <x v="3"/>
    <x v="74"/>
    <x v="136"/>
  </r>
  <r>
    <n v="340"/>
    <x v="21"/>
    <n v="1"/>
    <n v="1"/>
    <x v="13"/>
    <b v="0"/>
    <s v="Working"/>
    <n v="6"/>
    <x v="0"/>
    <n v="2"/>
    <n v="0.32"/>
    <x v="1"/>
    <n v="0.31819999999999998"/>
    <x v="43"/>
    <x v="2"/>
    <x v="4"/>
    <x v="27"/>
    <x v="128"/>
    <x v="137"/>
  </r>
  <r>
    <n v="341"/>
    <x v="21"/>
    <n v="1"/>
    <n v="1"/>
    <x v="4"/>
    <b v="0"/>
    <s v="Working"/>
    <n v="6"/>
    <x v="0"/>
    <n v="2"/>
    <n v="0.34"/>
    <x v="1"/>
    <n v="0.33329999999999999"/>
    <x v="47"/>
    <x v="2"/>
    <x v="4"/>
    <x v="28"/>
    <x v="48"/>
    <x v="125"/>
  </r>
  <r>
    <n v="342"/>
    <x v="21"/>
    <n v="1"/>
    <n v="1"/>
    <x v="16"/>
    <b v="0"/>
    <s v="Working"/>
    <n v="6"/>
    <x v="0"/>
    <n v="2"/>
    <n v="0.32"/>
    <x v="1"/>
    <n v="0.30299999999999999"/>
    <x v="43"/>
    <x v="2"/>
    <x v="1"/>
    <x v="15"/>
    <x v="60"/>
    <x v="31"/>
  </r>
  <r>
    <n v="343"/>
    <x v="21"/>
    <n v="1"/>
    <n v="1"/>
    <x v="5"/>
    <b v="0"/>
    <s v="Working"/>
    <n v="6"/>
    <x v="0"/>
    <n v="2"/>
    <n v="0.3"/>
    <x v="1"/>
    <n v="0.28789999999999999"/>
    <x v="50"/>
    <x v="2"/>
    <x v="3"/>
    <x v="26"/>
    <x v="41"/>
    <x v="59"/>
  </r>
  <r>
    <n v="344"/>
    <x v="21"/>
    <n v="1"/>
    <n v="1"/>
    <x v="6"/>
    <b v="0"/>
    <s v="Working"/>
    <n v="6"/>
    <x v="0"/>
    <n v="2"/>
    <n v="0.32"/>
    <x v="1"/>
    <n v="0.30299999999999999"/>
    <x v="45"/>
    <x v="2"/>
    <x v="3"/>
    <x v="23"/>
    <x v="107"/>
    <x v="14"/>
  </r>
  <r>
    <n v="345"/>
    <x v="21"/>
    <n v="1"/>
    <n v="1"/>
    <x v="7"/>
    <b v="0"/>
    <s v="Working"/>
    <n v="6"/>
    <x v="0"/>
    <n v="2"/>
    <n v="0.32"/>
    <x v="1"/>
    <n v="0.30299999999999999"/>
    <x v="45"/>
    <x v="2"/>
    <x v="3"/>
    <x v="6"/>
    <x v="42"/>
    <x v="32"/>
  </r>
  <r>
    <n v="346"/>
    <x v="21"/>
    <n v="1"/>
    <n v="1"/>
    <x v="8"/>
    <b v="0"/>
    <s v="Working"/>
    <n v="6"/>
    <x v="0"/>
    <n v="2"/>
    <n v="0.32"/>
    <x v="1"/>
    <n v="0.30299999999999999"/>
    <x v="45"/>
    <x v="2"/>
    <x v="5"/>
    <x v="6"/>
    <x v="19"/>
    <x v="74"/>
  </r>
  <r>
    <n v="347"/>
    <x v="21"/>
    <n v="1"/>
    <n v="1"/>
    <x v="9"/>
    <b v="0"/>
    <s v="Working"/>
    <n v="6"/>
    <x v="0"/>
    <n v="2"/>
    <n v="0.3"/>
    <x v="1"/>
    <n v="0.31819999999999998"/>
    <x v="18"/>
    <x v="2"/>
    <x v="7"/>
    <x v="12"/>
    <x v="5"/>
    <x v="47"/>
  </r>
  <r>
    <n v="348"/>
    <x v="21"/>
    <n v="1"/>
    <n v="1"/>
    <x v="17"/>
    <b v="0"/>
    <s v="Working"/>
    <n v="6"/>
    <x v="0"/>
    <n v="1"/>
    <n v="0.3"/>
    <x v="1"/>
    <n v="0.28789999999999999"/>
    <x v="50"/>
    <x v="2"/>
    <x v="1"/>
    <x v="1"/>
    <x v="105"/>
    <x v="68"/>
  </r>
  <r>
    <n v="349"/>
    <x v="22"/>
    <n v="1"/>
    <n v="1"/>
    <x v="10"/>
    <b v="0"/>
    <s v="Working"/>
    <n v="0"/>
    <x v="1"/>
    <n v="1"/>
    <n v="0.26"/>
    <x v="1"/>
    <n v="0.30299999999999999"/>
    <x v="35"/>
    <x v="2"/>
    <x v="0"/>
    <x v="6"/>
    <x v="33"/>
    <x v="110"/>
  </r>
  <r>
    <n v="350"/>
    <x v="22"/>
    <n v="1"/>
    <n v="1"/>
    <x v="0"/>
    <b v="0"/>
    <s v="Working"/>
    <n v="0"/>
    <x v="1"/>
    <n v="1"/>
    <n v="0.26"/>
    <x v="1"/>
    <n v="0.2727"/>
    <x v="35"/>
    <x v="2"/>
    <x v="9"/>
    <x v="8"/>
    <x v="34"/>
    <x v="102"/>
  </r>
  <r>
    <n v="351"/>
    <x v="22"/>
    <n v="1"/>
    <n v="1"/>
    <x v="1"/>
    <b v="0"/>
    <s v="Working"/>
    <n v="0"/>
    <x v="1"/>
    <n v="1"/>
    <n v="0.26"/>
    <x v="1"/>
    <n v="0.28789999999999999"/>
    <x v="35"/>
    <x v="2"/>
    <x v="8"/>
    <x v="0"/>
    <x v="0"/>
    <x v="0"/>
  </r>
  <r>
    <n v="352"/>
    <x v="22"/>
    <n v="1"/>
    <n v="1"/>
    <x v="11"/>
    <b v="0"/>
    <s v="Working"/>
    <n v="0"/>
    <x v="1"/>
    <n v="1"/>
    <n v="0.22"/>
    <x v="0"/>
    <n v="0.2727"/>
    <x v="28"/>
    <x v="2"/>
    <x v="0"/>
    <x v="5"/>
    <x v="24"/>
    <x v="15"/>
  </r>
  <r>
    <n v="353"/>
    <x v="22"/>
    <n v="1"/>
    <n v="1"/>
    <x v="22"/>
    <b v="0"/>
    <s v="Working"/>
    <n v="0"/>
    <x v="1"/>
    <n v="1"/>
    <n v="0.26"/>
    <x v="1"/>
    <n v="0.2576"/>
    <x v="35"/>
    <x v="2"/>
    <x v="6"/>
    <x v="12"/>
    <x v="25"/>
    <x v="24"/>
  </r>
  <r>
    <n v="354"/>
    <x v="22"/>
    <n v="1"/>
    <n v="1"/>
    <x v="18"/>
    <b v="0"/>
    <s v="Working"/>
    <n v="0"/>
    <x v="1"/>
    <n v="2"/>
    <n v="0.26"/>
    <x v="1"/>
    <n v="0.2576"/>
    <x v="35"/>
    <x v="2"/>
    <x v="6"/>
    <x v="2"/>
    <x v="25"/>
    <x v="34"/>
  </r>
  <r>
    <n v="355"/>
    <x v="22"/>
    <n v="1"/>
    <n v="1"/>
    <x v="19"/>
    <b v="0"/>
    <s v="Working"/>
    <n v="0"/>
    <x v="1"/>
    <n v="2"/>
    <n v="0.26"/>
    <x v="1"/>
    <n v="0.2576"/>
    <x v="35"/>
    <x v="2"/>
    <x v="6"/>
    <x v="12"/>
    <x v="25"/>
    <x v="24"/>
  </r>
  <r>
    <n v="356"/>
    <x v="22"/>
    <n v="1"/>
    <n v="1"/>
    <x v="2"/>
    <b v="0"/>
    <s v="Working"/>
    <n v="0"/>
    <x v="1"/>
    <n v="2"/>
    <n v="0.24"/>
    <x v="0"/>
    <n v="0.21210000000000001"/>
    <x v="35"/>
    <x v="2"/>
    <x v="2"/>
    <x v="12"/>
    <x v="27"/>
    <x v="2"/>
  </r>
  <r>
    <n v="357"/>
    <x v="22"/>
    <n v="1"/>
    <n v="1"/>
    <x v="14"/>
    <b v="0"/>
    <s v="Working"/>
    <n v="0"/>
    <x v="1"/>
    <n v="1"/>
    <n v="0.22"/>
    <x v="0"/>
    <n v="0.21210000000000001"/>
    <x v="29"/>
    <x v="2"/>
    <x v="1"/>
    <x v="12"/>
    <x v="22"/>
    <x v="122"/>
  </r>
  <r>
    <n v="358"/>
    <x v="22"/>
    <n v="1"/>
    <n v="1"/>
    <x v="15"/>
    <b v="0"/>
    <s v="Working"/>
    <n v="0"/>
    <x v="1"/>
    <n v="1"/>
    <n v="0.22"/>
    <x v="0"/>
    <n v="0.21210000000000001"/>
    <x v="34"/>
    <x v="2"/>
    <x v="3"/>
    <x v="0"/>
    <x v="40"/>
    <x v="1"/>
  </r>
  <r>
    <n v="359"/>
    <x v="22"/>
    <n v="1"/>
    <n v="1"/>
    <x v="12"/>
    <b v="0"/>
    <s v="Working"/>
    <n v="0"/>
    <x v="1"/>
    <n v="1"/>
    <n v="0.22"/>
    <x v="0"/>
    <n v="0.21210000000000001"/>
    <x v="34"/>
    <x v="2"/>
    <x v="1"/>
    <x v="13"/>
    <x v="58"/>
    <x v="86"/>
  </r>
  <r>
    <n v="360"/>
    <x v="22"/>
    <n v="1"/>
    <n v="1"/>
    <x v="3"/>
    <b v="0"/>
    <s v="Working"/>
    <n v="0"/>
    <x v="1"/>
    <n v="1"/>
    <n v="0.24"/>
    <x v="0"/>
    <n v="0.2273"/>
    <x v="19"/>
    <x v="2"/>
    <x v="3"/>
    <x v="29"/>
    <x v="59"/>
    <x v="4"/>
  </r>
  <r>
    <n v="361"/>
    <x v="22"/>
    <n v="1"/>
    <n v="1"/>
    <x v="20"/>
    <b v="0"/>
    <s v="Working"/>
    <n v="0"/>
    <x v="1"/>
    <n v="1"/>
    <n v="0.24"/>
    <x v="0"/>
    <n v="0.21210000000000001"/>
    <x v="49"/>
    <x v="2"/>
    <x v="1"/>
    <x v="15"/>
    <x v="113"/>
    <x v="138"/>
  </r>
  <r>
    <n v="362"/>
    <x v="22"/>
    <n v="1"/>
    <n v="1"/>
    <x v="21"/>
    <b v="0"/>
    <s v="Working"/>
    <n v="0"/>
    <x v="1"/>
    <n v="1"/>
    <n v="0.26"/>
    <x v="1"/>
    <n v="0.2273"/>
    <x v="24"/>
    <x v="2"/>
    <x v="2"/>
    <x v="29"/>
    <x v="48"/>
    <x v="136"/>
  </r>
  <r>
    <n v="363"/>
    <x v="22"/>
    <n v="1"/>
    <n v="1"/>
    <x v="23"/>
    <b v="0"/>
    <s v="Working"/>
    <n v="0"/>
    <x v="1"/>
    <n v="1"/>
    <n v="0.28000000000000003"/>
    <x v="1"/>
    <n v="0.2727"/>
    <x v="43"/>
    <x v="2"/>
    <x v="3"/>
    <x v="30"/>
    <x v="41"/>
    <x v="139"/>
  </r>
  <r>
    <n v="364"/>
    <x v="22"/>
    <n v="1"/>
    <n v="1"/>
    <x v="13"/>
    <b v="0"/>
    <s v="Working"/>
    <n v="0"/>
    <x v="1"/>
    <n v="1"/>
    <n v="0.26"/>
    <x v="1"/>
    <n v="0.2424"/>
    <x v="42"/>
    <x v="2"/>
    <x v="3"/>
    <x v="17"/>
    <x v="97"/>
    <x v="140"/>
  </r>
  <r>
    <n v="365"/>
    <x v="22"/>
    <n v="1"/>
    <n v="1"/>
    <x v="4"/>
    <b v="0"/>
    <s v="Working"/>
    <n v="0"/>
    <x v="1"/>
    <n v="1"/>
    <n v="0.24"/>
    <x v="0"/>
    <n v="0.2273"/>
    <x v="42"/>
    <x v="2"/>
    <x v="5"/>
    <x v="30"/>
    <x v="110"/>
    <x v="56"/>
  </r>
  <r>
    <n v="366"/>
    <x v="22"/>
    <n v="1"/>
    <n v="1"/>
    <x v="16"/>
    <b v="0"/>
    <s v="Working"/>
    <n v="0"/>
    <x v="1"/>
    <n v="1"/>
    <n v="0.22"/>
    <x v="0"/>
    <n v="0.21210000000000001"/>
    <x v="39"/>
    <x v="2"/>
    <x v="3"/>
    <x v="29"/>
    <x v="93"/>
    <x v="141"/>
  </r>
  <r>
    <n v="367"/>
    <x v="22"/>
    <n v="1"/>
    <n v="1"/>
    <x v="5"/>
    <b v="0"/>
    <s v="Working"/>
    <n v="0"/>
    <x v="1"/>
    <n v="1"/>
    <n v="0.2"/>
    <x v="0"/>
    <n v="0.21210000000000001"/>
    <x v="23"/>
    <x v="2"/>
    <x v="6"/>
    <x v="7"/>
    <x v="52"/>
    <x v="97"/>
  </r>
  <r>
    <n v="368"/>
    <x v="22"/>
    <n v="1"/>
    <n v="1"/>
    <x v="6"/>
    <b v="0"/>
    <s v="Working"/>
    <n v="0"/>
    <x v="1"/>
    <n v="1"/>
    <n v="0.18"/>
    <x v="0"/>
    <n v="0.19700000000000001"/>
    <x v="20"/>
    <x v="2"/>
    <x v="9"/>
    <x v="23"/>
    <x v="38"/>
    <x v="29"/>
  </r>
  <r>
    <n v="369"/>
    <x v="22"/>
    <n v="1"/>
    <n v="1"/>
    <x v="7"/>
    <b v="0"/>
    <s v="Working"/>
    <n v="0"/>
    <x v="1"/>
    <n v="1"/>
    <n v="0.18"/>
    <x v="0"/>
    <n v="0.19700000000000001"/>
    <x v="20"/>
    <x v="2"/>
    <x v="6"/>
    <x v="10"/>
    <x v="77"/>
    <x v="74"/>
  </r>
  <r>
    <n v="370"/>
    <x v="22"/>
    <n v="1"/>
    <n v="1"/>
    <x v="8"/>
    <b v="0"/>
    <s v="Working"/>
    <n v="0"/>
    <x v="1"/>
    <n v="1"/>
    <n v="0.18"/>
    <x v="0"/>
    <n v="0.19700000000000001"/>
    <x v="34"/>
    <x v="2"/>
    <x v="6"/>
    <x v="6"/>
    <x v="28"/>
    <x v="9"/>
  </r>
  <r>
    <n v="371"/>
    <x v="22"/>
    <n v="1"/>
    <n v="1"/>
    <x v="9"/>
    <b v="0"/>
    <s v="Working"/>
    <n v="0"/>
    <x v="1"/>
    <n v="2"/>
    <n v="0.2"/>
    <x v="0"/>
    <n v="0.21210000000000001"/>
    <x v="37"/>
    <x v="2"/>
    <x v="9"/>
    <x v="9"/>
    <x v="34"/>
    <x v="142"/>
  </r>
  <r>
    <n v="372"/>
    <x v="22"/>
    <n v="1"/>
    <n v="1"/>
    <x v="17"/>
    <b v="0"/>
    <s v="Working"/>
    <n v="0"/>
    <x v="1"/>
    <n v="2"/>
    <n v="0.2"/>
    <x v="0"/>
    <n v="0.2273"/>
    <x v="23"/>
    <x v="2"/>
    <x v="7"/>
    <x v="12"/>
    <x v="22"/>
    <x v="122"/>
  </r>
  <r>
    <n v="373"/>
    <x v="5"/>
    <n v="1"/>
    <n v="1"/>
    <x v="10"/>
    <b v="1"/>
    <s v="Holiday"/>
    <n v="1"/>
    <x v="4"/>
    <n v="2"/>
    <n v="0.2"/>
    <x v="0"/>
    <n v="0.19700000000000001"/>
    <x v="20"/>
    <x v="2"/>
    <x v="5"/>
    <x v="2"/>
    <x v="9"/>
    <x v="10"/>
  </r>
  <r>
    <n v="374"/>
    <x v="5"/>
    <n v="1"/>
    <n v="1"/>
    <x v="0"/>
    <b v="1"/>
    <s v="Holiday"/>
    <n v="1"/>
    <x v="4"/>
    <n v="2"/>
    <n v="0.2"/>
    <x v="0"/>
    <n v="0.19700000000000001"/>
    <x v="19"/>
    <x v="2"/>
    <x v="4"/>
    <x v="2"/>
    <x v="14"/>
    <x v="0"/>
  </r>
  <r>
    <n v="375"/>
    <x v="5"/>
    <n v="1"/>
    <n v="1"/>
    <x v="1"/>
    <b v="1"/>
    <s v="Holiday"/>
    <n v="1"/>
    <x v="4"/>
    <n v="2"/>
    <n v="0.18"/>
    <x v="0"/>
    <n v="0.16669999999999999"/>
    <x v="22"/>
    <x v="2"/>
    <x v="3"/>
    <x v="12"/>
    <x v="10"/>
    <x v="41"/>
  </r>
  <r>
    <n v="376"/>
    <x v="5"/>
    <n v="1"/>
    <n v="1"/>
    <x v="11"/>
    <b v="1"/>
    <s v="Holiday"/>
    <n v="1"/>
    <x v="4"/>
    <n v="2"/>
    <n v="0.18"/>
    <x v="0"/>
    <n v="0.18179999999999999"/>
    <x v="22"/>
    <x v="2"/>
    <x v="4"/>
    <x v="12"/>
    <x v="2"/>
    <x v="34"/>
  </r>
  <r>
    <n v="377"/>
    <x v="5"/>
    <n v="1"/>
    <n v="1"/>
    <x v="22"/>
    <b v="1"/>
    <s v="Holiday"/>
    <n v="1"/>
    <x v="4"/>
    <n v="2"/>
    <n v="0.18"/>
    <x v="0"/>
    <n v="0.19700000000000001"/>
    <x v="22"/>
    <x v="2"/>
    <x v="9"/>
    <x v="2"/>
    <x v="2"/>
    <x v="2"/>
  </r>
  <r>
    <n v="378"/>
    <x v="5"/>
    <n v="1"/>
    <n v="1"/>
    <x v="18"/>
    <b v="1"/>
    <s v="Holiday"/>
    <n v="1"/>
    <x v="4"/>
    <n v="2"/>
    <n v="0.18"/>
    <x v="0"/>
    <n v="0.19700000000000001"/>
    <x v="22"/>
    <x v="2"/>
    <x v="6"/>
    <x v="12"/>
    <x v="25"/>
    <x v="24"/>
  </r>
  <r>
    <n v="379"/>
    <x v="5"/>
    <n v="1"/>
    <n v="1"/>
    <x v="19"/>
    <b v="1"/>
    <s v="Holiday"/>
    <n v="1"/>
    <x v="4"/>
    <n v="2"/>
    <n v="0.18"/>
    <x v="0"/>
    <n v="0.18179999999999999"/>
    <x v="22"/>
    <x v="2"/>
    <x v="4"/>
    <x v="12"/>
    <x v="26"/>
    <x v="25"/>
  </r>
  <r>
    <n v="380"/>
    <x v="5"/>
    <n v="1"/>
    <n v="1"/>
    <x v="2"/>
    <b v="1"/>
    <s v="Holiday"/>
    <n v="1"/>
    <x v="4"/>
    <n v="2"/>
    <n v="0.16"/>
    <x v="0"/>
    <n v="0.18179999999999999"/>
    <x v="21"/>
    <x v="2"/>
    <x v="9"/>
    <x v="8"/>
    <x v="64"/>
    <x v="26"/>
  </r>
  <r>
    <n v="381"/>
    <x v="5"/>
    <n v="1"/>
    <n v="1"/>
    <x v="14"/>
    <b v="1"/>
    <s v="Holiday"/>
    <n v="1"/>
    <x v="4"/>
    <n v="2"/>
    <n v="0.16"/>
    <x v="0"/>
    <n v="0.1515"/>
    <x v="20"/>
    <x v="2"/>
    <x v="5"/>
    <x v="0"/>
    <x v="3"/>
    <x v="33"/>
  </r>
  <r>
    <n v="382"/>
    <x v="5"/>
    <n v="1"/>
    <n v="1"/>
    <x v="15"/>
    <b v="1"/>
    <s v="Holiday"/>
    <n v="1"/>
    <x v="4"/>
    <n v="2"/>
    <n v="0.16"/>
    <x v="0"/>
    <n v="0.1515"/>
    <x v="20"/>
    <x v="2"/>
    <x v="5"/>
    <x v="13"/>
    <x v="105"/>
    <x v="38"/>
  </r>
  <r>
    <n v="383"/>
    <x v="5"/>
    <n v="1"/>
    <n v="1"/>
    <x v="12"/>
    <b v="1"/>
    <s v="Holiday"/>
    <n v="1"/>
    <x v="4"/>
    <n v="2"/>
    <n v="0.16"/>
    <x v="0"/>
    <n v="0.1515"/>
    <x v="21"/>
    <x v="2"/>
    <x v="3"/>
    <x v="10"/>
    <x v="77"/>
    <x v="74"/>
  </r>
  <r>
    <n v="384"/>
    <x v="5"/>
    <n v="1"/>
    <n v="1"/>
    <x v="3"/>
    <b v="1"/>
    <s v="Holiday"/>
    <n v="1"/>
    <x v="4"/>
    <n v="2"/>
    <n v="0.16"/>
    <x v="0"/>
    <n v="0.1515"/>
    <x v="29"/>
    <x v="2"/>
    <x v="4"/>
    <x v="5"/>
    <x v="13"/>
    <x v="65"/>
  </r>
  <r>
    <n v="385"/>
    <x v="5"/>
    <n v="1"/>
    <n v="1"/>
    <x v="20"/>
    <b v="1"/>
    <s v="Holiday"/>
    <n v="1"/>
    <x v="4"/>
    <n v="2"/>
    <n v="0.18"/>
    <x v="0"/>
    <n v="0.19700000000000001"/>
    <x v="20"/>
    <x v="2"/>
    <x v="9"/>
    <x v="21"/>
    <x v="59"/>
    <x v="143"/>
  </r>
  <r>
    <n v="386"/>
    <x v="5"/>
    <n v="1"/>
    <n v="1"/>
    <x v="21"/>
    <b v="1"/>
    <s v="Holiday"/>
    <n v="1"/>
    <x v="4"/>
    <n v="2"/>
    <n v="0.18"/>
    <x v="0"/>
    <n v="0.19700000000000001"/>
    <x v="20"/>
    <x v="2"/>
    <x v="9"/>
    <x v="22"/>
    <x v="127"/>
    <x v="4"/>
  </r>
  <r>
    <n v="387"/>
    <x v="5"/>
    <n v="1"/>
    <n v="1"/>
    <x v="23"/>
    <b v="1"/>
    <s v="Holiday"/>
    <n v="1"/>
    <x v="4"/>
    <n v="2"/>
    <n v="0.18"/>
    <x v="0"/>
    <n v="0.21210000000000001"/>
    <x v="22"/>
    <x v="2"/>
    <x v="7"/>
    <x v="14"/>
    <x v="88"/>
    <x v="98"/>
  </r>
  <r>
    <n v="388"/>
    <x v="5"/>
    <n v="1"/>
    <n v="1"/>
    <x v="13"/>
    <b v="1"/>
    <s v="Holiday"/>
    <n v="1"/>
    <x v="4"/>
    <n v="2"/>
    <n v="0.2"/>
    <x v="0"/>
    <n v="0.21210000000000001"/>
    <x v="20"/>
    <x v="2"/>
    <x v="6"/>
    <x v="27"/>
    <x v="16"/>
    <x v="4"/>
  </r>
  <r>
    <n v="389"/>
    <x v="5"/>
    <n v="1"/>
    <n v="1"/>
    <x v="4"/>
    <b v="1"/>
    <s v="Holiday"/>
    <n v="1"/>
    <x v="4"/>
    <n v="2"/>
    <n v="0.2"/>
    <x v="0"/>
    <n v="0.21210000000000001"/>
    <x v="20"/>
    <x v="2"/>
    <x v="6"/>
    <x v="6"/>
    <x v="101"/>
    <x v="116"/>
  </r>
  <r>
    <n v="390"/>
    <x v="5"/>
    <n v="1"/>
    <n v="1"/>
    <x v="16"/>
    <b v="1"/>
    <s v="Holiday"/>
    <n v="1"/>
    <x v="4"/>
    <n v="1"/>
    <n v="0.2"/>
    <x v="0"/>
    <n v="0.19700000000000001"/>
    <x v="34"/>
    <x v="2"/>
    <x v="4"/>
    <x v="8"/>
    <x v="63"/>
    <x v="87"/>
  </r>
  <r>
    <n v="391"/>
    <x v="5"/>
    <n v="1"/>
    <n v="1"/>
    <x v="5"/>
    <b v="1"/>
    <s v="Holiday"/>
    <n v="1"/>
    <x v="4"/>
    <n v="2"/>
    <n v="0.18"/>
    <x v="0"/>
    <n v="0.16669999999999999"/>
    <x v="29"/>
    <x v="2"/>
    <x v="3"/>
    <x v="10"/>
    <x v="89"/>
    <x v="117"/>
  </r>
  <r>
    <n v="392"/>
    <x v="5"/>
    <n v="1"/>
    <n v="1"/>
    <x v="6"/>
    <b v="1"/>
    <s v="Holiday"/>
    <n v="1"/>
    <x v="4"/>
    <n v="3"/>
    <n v="0.18"/>
    <x v="0"/>
    <n v="0.18179999999999999"/>
    <x v="30"/>
    <x v="2"/>
    <x v="4"/>
    <x v="9"/>
    <x v="46"/>
    <x v="48"/>
  </r>
  <r>
    <n v="421"/>
    <x v="7"/>
    <n v="1"/>
    <n v="1"/>
    <x v="21"/>
    <b v="0"/>
    <s v="Working"/>
    <n v="3"/>
    <x v="3"/>
    <n v="1"/>
    <n v="0.4"/>
    <x v="1"/>
    <n v="0.40910000000000002"/>
    <x v="51"/>
    <x v="2"/>
    <x v="1"/>
    <x v="7"/>
    <x v="63"/>
    <x v="75"/>
  </r>
  <r>
    <n v="422"/>
    <x v="7"/>
    <n v="1"/>
    <n v="1"/>
    <x v="23"/>
    <b v="0"/>
    <s v="Working"/>
    <n v="3"/>
    <x v="3"/>
    <n v="1"/>
    <n v="0.4"/>
    <x v="1"/>
    <n v="0.40910000000000002"/>
    <x v="52"/>
    <x v="2"/>
    <x v="3"/>
    <x v="10"/>
    <x v="79"/>
    <x v="63"/>
  </r>
  <r>
    <n v="423"/>
    <x v="7"/>
    <n v="1"/>
    <n v="1"/>
    <x v="13"/>
    <b v="0"/>
    <s v="Working"/>
    <n v="3"/>
    <x v="3"/>
    <n v="1"/>
    <n v="0.4"/>
    <x v="1"/>
    <n v="0.40910000000000002"/>
    <x v="48"/>
    <x v="2"/>
    <x v="1"/>
    <x v="8"/>
    <x v="97"/>
    <x v="116"/>
  </r>
  <r>
    <n v="424"/>
    <x v="7"/>
    <n v="1"/>
    <n v="1"/>
    <x v="4"/>
    <b v="0"/>
    <s v="Working"/>
    <n v="3"/>
    <x v="3"/>
    <n v="1"/>
    <n v="0.38"/>
    <x v="1"/>
    <n v="0.39389999999999997"/>
    <x v="52"/>
    <x v="2"/>
    <x v="14"/>
    <x v="21"/>
    <x v="18"/>
    <x v="138"/>
  </r>
  <r>
    <n v="425"/>
    <x v="7"/>
    <n v="1"/>
    <n v="1"/>
    <x v="16"/>
    <b v="0"/>
    <s v="Working"/>
    <n v="3"/>
    <x v="3"/>
    <n v="1"/>
    <n v="0.36"/>
    <x v="1"/>
    <n v="0.33329999999999999"/>
    <x v="16"/>
    <x v="2"/>
    <x v="10"/>
    <x v="10"/>
    <x v="102"/>
    <x v="36"/>
  </r>
  <r>
    <n v="426"/>
    <x v="7"/>
    <n v="1"/>
    <n v="1"/>
    <x v="5"/>
    <b v="0"/>
    <s v="Working"/>
    <n v="3"/>
    <x v="3"/>
    <n v="1"/>
    <n v="0.34"/>
    <x v="1"/>
    <n v="0.31819999999999998"/>
    <x v="53"/>
    <x v="2"/>
    <x v="1"/>
    <x v="1"/>
    <x v="124"/>
    <x v="144"/>
  </r>
  <r>
    <n v="427"/>
    <x v="7"/>
    <n v="1"/>
    <n v="1"/>
    <x v="6"/>
    <b v="0"/>
    <s v="Working"/>
    <n v="3"/>
    <x v="3"/>
    <n v="1"/>
    <n v="0.32"/>
    <x v="1"/>
    <n v="0.28789999999999999"/>
    <x v="16"/>
    <x v="2"/>
    <x v="17"/>
    <x v="8"/>
    <x v="128"/>
    <x v="80"/>
  </r>
  <r>
    <n v="428"/>
    <x v="7"/>
    <n v="1"/>
    <n v="1"/>
    <x v="7"/>
    <b v="0"/>
    <s v="Working"/>
    <n v="3"/>
    <x v="3"/>
    <n v="1"/>
    <n v="0.32"/>
    <x v="1"/>
    <n v="0.30299999999999999"/>
    <x v="37"/>
    <x v="2"/>
    <x v="2"/>
    <x v="9"/>
    <x v="88"/>
    <x v="17"/>
  </r>
  <r>
    <n v="429"/>
    <x v="7"/>
    <n v="1"/>
    <n v="1"/>
    <x v="8"/>
    <b v="0"/>
    <s v="Working"/>
    <n v="3"/>
    <x v="3"/>
    <n v="1"/>
    <n v="0.32"/>
    <x v="1"/>
    <n v="0.28789999999999999"/>
    <x v="37"/>
    <x v="2"/>
    <x v="17"/>
    <x v="8"/>
    <x v="13"/>
    <x v="96"/>
  </r>
  <r>
    <n v="430"/>
    <x v="7"/>
    <n v="1"/>
    <n v="1"/>
    <x v="9"/>
    <b v="0"/>
    <s v="Working"/>
    <n v="3"/>
    <x v="3"/>
    <n v="1"/>
    <n v="0.3"/>
    <x v="1"/>
    <n v="0.30299999999999999"/>
    <x v="36"/>
    <x v="2"/>
    <x v="6"/>
    <x v="6"/>
    <x v="83"/>
    <x v="96"/>
  </r>
  <r>
    <n v="431"/>
    <x v="7"/>
    <n v="1"/>
    <n v="1"/>
    <x v="17"/>
    <b v="0"/>
    <s v="Working"/>
    <n v="3"/>
    <x v="3"/>
    <n v="1"/>
    <n v="0.3"/>
    <x v="1"/>
    <n v="0.2727"/>
    <x v="36"/>
    <x v="2"/>
    <x v="12"/>
    <x v="2"/>
    <x v="1"/>
    <x v="9"/>
  </r>
  <r>
    <n v="432"/>
    <x v="23"/>
    <n v="1"/>
    <n v="1"/>
    <x v="10"/>
    <b v="0"/>
    <s v="Working"/>
    <n v="4"/>
    <x v="6"/>
    <n v="1"/>
    <n v="0.26"/>
    <x v="1"/>
    <n v="0.2273"/>
    <x v="35"/>
    <x v="2"/>
    <x v="14"/>
    <x v="1"/>
    <x v="10"/>
    <x v="26"/>
  </r>
  <r>
    <n v="433"/>
    <x v="23"/>
    <n v="1"/>
    <n v="1"/>
    <x v="0"/>
    <b v="0"/>
    <s v="Working"/>
    <n v="4"/>
    <x v="6"/>
    <n v="1"/>
    <n v="0.26"/>
    <x v="1"/>
    <n v="0.2727"/>
    <x v="35"/>
    <x v="2"/>
    <x v="0"/>
    <x v="9"/>
    <x v="27"/>
    <x v="25"/>
  </r>
  <r>
    <n v="434"/>
    <x v="23"/>
    <n v="1"/>
    <n v="1"/>
    <x v="1"/>
    <b v="0"/>
    <s v="Working"/>
    <n v="4"/>
    <x v="6"/>
    <n v="1"/>
    <n v="0.26"/>
    <x v="1"/>
    <n v="0.2727"/>
    <x v="35"/>
    <x v="2"/>
    <x v="0"/>
    <x v="12"/>
    <x v="2"/>
    <x v="34"/>
  </r>
  <r>
    <n v="435"/>
    <x v="23"/>
    <n v="1"/>
    <n v="1"/>
    <x v="11"/>
    <b v="0"/>
    <s v="Working"/>
    <n v="4"/>
    <x v="6"/>
    <n v="1"/>
    <n v="0.26"/>
    <x v="1"/>
    <n v="0.2576"/>
    <x v="35"/>
    <x v="2"/>
    <x v="6"/>
    <x v="12"/>
    <x v="25"/>
    <x v="24"/>
  </r>
  <r>
    <n v="436"/>
    <x v="23"/>
    <n v="1"/>
    <n v="1"/>
    <x v="22"/>
    <b v="0"/>
    <s v="Working"/>
    <n v="4"/>
    <x v="6"/>
    <n v="1"/>
    <n v="0.26"/>
    <x v="1"/>
    <n v="0.2576"/>
    <x v="35"/>
    <x v="2"/>
    <x v="6"/>
    <x v="12"/>
    <x v="25"/>
    <x v="24"/>
  </r>
  <r>
    <n v="437"/>
    <x v="23"/>
    <n v="1"/>
    <n v="1"/>
    <x v="18"/>
    <b v="0"/>
    <s v="Working"/>
    <n v="4"/>
    <x v="6"/>
    <n v="1"/>
    <n v="0.24"/>
    <x v="0"/>
    <n v="0.2273"/>
    <x v="54"/>
    <x v="2"/>
    <x v="5"/>
    <x v="12"/>
    <x v="24"/>
    <x v="12"/>
  </r>
  <r>
    <n v="438"/>
    <x v="23"/>
    <n v="1"/>
    <n v="1"/>
    <x v="19"/>
    <b v="0"/>
    <s v="Working"/>
    <n v="4"/>
    <x v="6"/>
    <n v="1"/>
    <n v="0.22"/>
    <x v="0"/>
    <n v="0.21210000000000001"/>
    <x v="54"/>
    <x v="2"/>
    <x v="5"/>
    <x v="12"/>
    <x v="42"/>
    <x v="5"/>
  </r>
  <r>
    <n v="439"/>
    <x v="23"/>
    <n v="1"/>
    <n v="1"/>
    <x v="2"/>
    <b v="0"/>
    <s v="Working"/>
    <n v="4"/>
    <x v="6"/>
    <n v="1"/>
    <n v="0.22"/>
    <x v="0"/>
    <n v="0.21210000000000001"/>
    <x v="29"/>
    <x v="2"/>
    <x v="5"/>
    <x v="2"/>
    <x v="129"/>
    <x v="50"/>
  </r>
  <r>
    <n v="440"/>
    <x v="23"/>
    <n v="1"/>
    <n v="1"/>
    <x v="14"/>
    <b v="0"/>
    <s v="Working"/>
    <n v="4"/>
    <x v="6"/>
    <n v="1"/>
    <n v="0.22"/>
    <x v="0"/>
    <n v="0.21210000000000001"/>
    <x v="29"/>
    <x v="2"/>
    <x v="1"/>
    <x v="9"/>
    <x v="130"/>
    <x v="145"/>
  </r>
  <r>
    <n v="441"/>
    <x v="23"/>
    <n v="1"/>
    <n v="1"/>
    <x v="15"/>
    <b v="0"/>
    <s v="Working"/>
    <n v="4"/>
    <x v="6"/>
    <n v="2"/>
    <n v="0.24"/>
    <x v="0"/>
    <n v="0.2273"/>
    <x v="36"/>
    <x v="2"/>
    <x v="5"/>
    <x v="0"/>
    <x v="131"/>
    <x v="146"/>
  </r>
  <r>
    <n v="442"/>
    <x v="23"/>
    <n v="1"/>
    <n v="1"/>
    <x v="12"/>
    <b v="0"/>
    <s v="Working"/>
    <n v="4"/>
    <x v="6"/>
    <n v="1"/>
    <n v="0.26"/>
    <x v="1"/>
    <n v="0.2273"/>
    <x v="38"/>
    <x v="2"/>
    <x v="2"/>
    <x v="2"/>
    <x v="52"/>
    <x v="74"/>
  </r>
  <r>
    <n v="443"/>
    <x v="23"/>
    <n v="1"/>
    <n v="1"/>
    <x v="3"/>
    <b v="0"/>
    <s v="Working"/>
    <n v="4"/>
    <x v="6"/>
    <n v="2"/>
    <n v="0.28000000000000003"/>
    <x v="1"/>
    <n v="0.2727"/>
    <x v="50"/>
    <x v="2"/>
    <x v="6"/>
    <x v="1"/>
    <x v="65"/>
    <x v="127"/>
  </r>
  <r>
    <n v="444"/>
    <x v="23"/>
    <n v="1"/>
    <n v="1"/>
    <x v="20"/>
    <b v="0"/>
    <s v="Working"/>
    <n v="4"/>
    <x v="6"/>
    <n v="2"/>
    <n v="0.3"/>
    <x v="1"/>
    <n v="0.33329999999999999"/>
    <x v="18"/>
    <x v="2"/>
    <x v="0"/>
    <x v="10"/>
    <x v="110"/>
    <x v="59"/>
  </r>
  <r>
    <n v="445"/>
    <x v="23"/>
    <n v="1"/>
    <n v="1"/>
    <x v="21"/>
    <b v="0"/>
    <s v="Working"/>
    <n v="4"/>
    <x v="6"/>
    <n v="2"/>
    <n v="0.28000000000000003"/>
    <x v="1"/>
    <n v="0.28789999999999999"/>
    <x v="50"/>
    <x v="2"/>
    <x v="7"/>
    <x v="14"/>
    <x v="132"/>
    <x v="112"/>
  </r>
  <r>
    <n v="446"/>
    <x v="23"/>
    <n v="1"/>
    <n v="1"/>
    <x v="23"/>
    <b v="0"/>
    <s v="Working"/>
    <n v="4"/>
    <x v="6"/>
    <n v="2"/>
    <n v="0.3"/>
    <x v="1"/>
    <n v="0.30299999999999999"/>
    <x v="50"/>
    <x v="2"/>
    <x v="9"/>
    <x v="6"/>
    <x v="113"/>
    <x v="126"/>
  </r>
  <r>
    <n v="447"/>
    <x v="23"/>
    <n v="1"/>
    <n v="1"/>
    <x v="13"/>
    <b v="0"/>
    <s v="Working"/>
    <n v="4"/>
    <x v="6"/>
    <n v="2"/>
    <n v="0.32"/>
    <x v="1"/>
    <n v="0.31819999999999998"/>
    <x v="50"/>
    <x v="2"/>
    <x v="4"/>
    <x v="13"/>
    <x v="133"/>
    <x v="40"/>
  </r>
  <r>
    <n v="448"/>
    <x v="23"/>
    <n v="1"/>
    <n v="1"/>
    <x v="4"/>
    <b v="0"/>
    <s v="Working"/>
    <n v="4"/>
    <x v="6"/>
    <n v="2"/>
    <n v="0.3"/>
    <x v="1"/>
    <n v="0.30299999999999999"/>
    <x v="37"/>
    <x v="2"/>
    <x v="9"/>
    <x v="13"/>
    <x v="31"/>
    <x v="139"/>
  </r>
  <r>
    <n v="449"/>
    <x v="23"/>
    <n v="1"/>
    <n v="1"/>
    <x v="16"/>
    <b v="0"/>
    <s v="Working"/>
    <n v="4"/>
    <x v="6"/>
    <n v="2"/>
    <n v="0.3"/>
    <x v="1"/>
    <n v="0.31819999999999998"/>
    <x v="37"/>
    <x v="2"/>
    <x v="7"/>
    <x v="13"/>
    <x v="134"/>
    <x v="147"/>
  </r>
  <r>
    <n v="450"/>
    <x v="23"/>
    <n v="1"/>
    <n v="1"/>
    <x v="5"/>
    <b v="0"/>
    <s v="Working"/>
    <n v="4"/>
    <x v="6"/>
    <n v="2"/>
    <n v="0.26"/>
    <x v="1"/>
    <n v="0.2576"/>
    <x v="35"/>
    <x v="2"/>
    <x v="4"/>
    <x v="2"/>
    <x v="114"/>
    <x v="148"/>
  </r>
  <r>
    <n v="451"/>
    <x v="23"/>
    <n v="1"/>
    <n v="1"/>
    <x v="6"/>
    <b v="0"/>
    <s v="Working"/>
    <n v="4"/>
    <x v="6"/>
    <n v="1"/>
    <n v="0.26"/>
    <x v="1"/>
    <n v="0.2273"/>
    <x v="35"/>
    <x v="2"/>
    <x v="10"/>
    <x v="6"/>
    <x v="70"/>
    <x v="149"/>
  </r>
  <r>
    <n v="452"/>
    <x v="23"/>
    <n v="1"/>
    <n v="1"/>
    <x v="7"/>
    <b v="0"/>
    <s v="Working"/>
    <n v="4"/>
    <x v="6"/>
    <n v="2"/>
    <n v="0.26"/>
    <x v="1"/>
    <n v="0.2424"/>
    <x v="54"/>
    <x v="2"/>
    <x v="1"/>
    <x v="9"/>
    <x v="30"/>
    <x v="150"/>
  </r>
  <r>
    <n v="453"/>
    <x v="23"/>
    <n v="1"/>
    <n v="1"/>
    <x v="8"/>
    <b v="0"/>
    <s v="Working"/>
    <n v="4"/>
    <x v="6"/>
    <n v="2"/>
    <n v="0.24"/>
    <x v="0"/>
    <n v="0.2273"/>
    <x v="54"/>
    <x v="2"/>
    <x v="3"/>
    <x v="0"/>
    <x v="60"/>
    <x v="74"/>
  </r>
  <r>
    <n v="454"/>
    <x v="23"/>
    <n v="1"/>
    <n v="1"/>
    <x v="9"/>
    <b v="0"/>
    <s v="Working"/>
    <n v="4"/>
    <x v="6"/>
    <n v="2"/>
    <n v="0.24"/>
    <x v="0"/>
    <n v="0.21210000000000001"/>
    <x v="55"/>
    <x v="2"/>
    <x v="1"/>
    <x v="12"/>
    <x v="52"/>
    <x v="3"/>
  </r>
  <r>
    <n v="455"/>
    <x v="23"/>
    <n v="1"/>
    <n v="1"/>
    <x v="17"/>
    <b v="0"/>
    <s v="Working"/>
    <n v="4"/>
    <x v="6"/>
    <n v="2"/>
    <n v="0.24"/>
    <x v="0"/>
    <n v="0.21210000000000001"/>
    <x v="55"/>
    <x v="2"/>
    <x v="10"/>
    <x v="0"/>
    <x v="21"/>
    <x v="52"/>
  </r>
  <r>
    <n v="456"/>
    <x v="8"/>
    <n v="1"/>
    <n v="1"/>
    <x v="10"/>
    <b v="0"/>
    <s v="Working"/>
    <n v="5"/>
    <x v="5"/>
    <n v="2"/>
    <n v="0.24"/>
    <x v="0"/>
    <n v="0.2273"/>
    <x v="56"/>
    <x v="2"/>
    <x v="3"/>
    <x v="2"/>
    <x v="15"/>
    <x v="142"/>
  </r>
  <r>
    <n v="457"/>
    <x v="8"/>
    <n v="1"/>
    <n v="1"/>
    <x v="0"/>
    <b v="0"/>
    <s v="Working"/>
    <n v="5"/>
    <x v="5"/>
    <n v="2"/>
    <n v="0.24"/>
    <x v="0"/>
    <n v="0.2273"/>
    <x v="56"/>
    <x v="2"/>
    <x v="3"/>
    <x v="12"/>
    <x v="24"/>
    <x v="12"/>
  </r>
  <r>
    <n v="458"/>
    <x v="8"/>
    <n v="1"/>
    <n v="1"/>
    <x v="1"/>
    <b v="0"/>
    <s v="Working"/>
    <n v="5"/>
    <x v="5"/>
    <n v="3"/>
    <n v="0.24"/>
    <x v="0"/>
    <n v="0.2424"/>
    <x v="10"/>
    <x v="2"/>
    <x v="6"/>
    <x v="12"/>
    <x v="2"/>
    <x v="34"/>
  </r>
  <r>
    <n v="461"/>
    <x v="8"/>
    <n v="1"/>
    <n v="1"/>
    <x v="18"/>
    <b v="0"/>
    <s v="Working"/>
    <n v="5"/>
    <x v="5"/>
    <n v="1"/>
    <n v="0.24"/>
    <x v="0"/>
    <n v="0.19700000000000001"/>
    <x v="54"/>
    <x v="2"/>
    <x v="17"/>
    <x v="2"/>
    <x v="11"/>
    <x v="25"/>
  </r>
  <r>
    <n v="462"/>
    <x v="8"/>
    <n v="1"/>
    <n v="1"/>
    <x v="19"/>
    <b v="0"/>
    <s v="Working"/>
    <n v="5"/>
    <x v="5"/>
    <n v="1"/>
    <n v="0.22"/>
    <x v="0"/>
    <n v="0.21210000000000001"/>
    <x v="29"/>
    <x v="2"/>
    <x v="3"/>
    <x v="12"/>
    <x v="1"/>
    <x v="54"/>
  </r>
  <r>
    <n v="463"/>
    <x v="8"/>
    <n v="1"/>
    <n v="1"/>
    <x v="2"/>
    <b v="0"/>
    <s v="Working"/>
    <n v="5"/>
    <x v="5"/>
    <n v="1"/>
    <n v="0.2"/>
    <x v="0"/>
    <n v="0.18179999999999999"/>
    <x v="34"/>
    <x v="2"/>
    <x v="1"/>
    <x v="9"/>
    <x v="69"/>
    <x v="127"/>
  </r>
  <r>
    <n v="464"/>
    <x v="8"/>
    <n v="1"/>
    <n v="1"/>
    <x v="14"/>
    <b v="0"/>
    <s v="Working"/>
    <n v="5"/>
    <x v="5"/>
    <n v="1"/>
    <n v="0.2"/>
    <x v="0"/>
    <n v="0.18179999999999999"/>
    <x v="20"/>
    <x v="2"/>
    <x v="10"/>
    <x v="10"/>
    <x v="135"/>
    <x v="123"/>
  </r>
  <r>
    <n v="465"/>
    <x v="8"/>
    <n v="1"/>
    <n v="1"/>
    <x v="15"/>
    <b v="0"/>
    <s v="Working"/>
    <n v="5"/>
    <x v="5"/>
    <n v="1"/>
    <n v="0.2"/>
    <x v="0"/>
    <n v="0.18179999999999999"/>
    <x v="34"/>
    <x v="2"/>
    <x v="11"/>
    <x v="10"/>
    <x v="136"/>
    <x v="151"/>
  </r>
  <r>
    <n v="466"/>
    <x v="8"/>
    <n v="1"/>
    <n v="1"/>
    <x v="12"/>
    <b v="0"/>
    <s v="Working"/>
    <n v="5"/>
    <x v="5"/>
    <n v="1"/>
    <n v="0.2"/>
    <x v="0"/>
    <n v="0.16669999999999999"/>
    <x v="20"/>
    <x v="2"/>
    <x v="12"/>
    <x v="6"/>
    <x v="96"/>
    <x v="77"/>
  </r>
  <r>
    <n v="467"/>
    <x v="8"/>
    <n v="1"/>
    <n v="1"/>
    <x v="3"/>
    <b v="0"/>
    <s v="Working"/>
    <n v="5"/>
    <x v="5"/>
    <n v="1"/>
    <n v="0.22"/>
    <x v="0"/>
    <n v="0.18179999999999999"/>
    <x v="49"/>
    <x v="2"/>
    <x v="12"/>
    <x v="6"/>
    <x v="83"/>
    <x v="96"/>
  </r>
  <r>
    <n v="468"/>
    <x v="8"/>
    <n v="1"/>
    <n v="1"/>
    <x v="20"/>
    <b v="0"/>
    <s v="Working"/>
    <n v="5"/>
    <x v="5"/>
    <n v="1"/>
    <n v="0.22"/>
    <x v="0"/>
    <n v="0.18179999999999999"/>
    <x v="57"/>
    <x v="2"/>
    <x v="19"/>
    <x v="7"/>
    <x v="63"/>
    <x v="75"/>
  </r>
  <r>
    <n v="469"/>
    <x v="8"/>
    <n v="1"/>
    <n v="1"/>
    <x v="21"/>
    <b v="0"/>
    <s v="Working"/>
    <n v="5"/>
    <x v="5"/>
    <n v="1"/>
    <n v="0.2"/>
    <x v="0"/>
    <n v="0.1515"/>
    <x v="58"/>
    <x v="2"/>
    <x v="19"/>
    <x v="13"/>
    <x v="39"/>
    <x v="105"/>
  </r>
  <r>
    <n v="470"/>
    <x v="8"/>
    <n v="1"/>
    <n v="1"/>
    <x v="23"/>
    <b v="0"/>
    <s v="Working"/>
    <n v="5"/>
    <x v="5"/>
    <n v="1"/>
    <n v="0.2"/>
    <x v="0"/>
    <n v="0.1515"/>
    <x v="59"/>
    <x v="2"/>
    <x v="18"/>
    <x v="6"/>
    <x v="52"/>
    <x v="88"/>
  </r>
  <r>
    <n v="471"/>
    <x v="8"/>
    <n v="1"/>
    <n v="1"/>
    <x v="13"/>
    <b v="0"/>
    <s v="Working"/>
    <n v="5"/>
    <x v="5"/>
    <n v="1"/>
    <n v="0.16"/>
    <x v="0"/>
    <n v="0.1212"/>
    <x v="60"/>
    <x v="2"/>
    <x v="13"/>
    <x v="8"/>
    <x v="29"/>
    <x v="64"/>
  </r>
  <r>
    <n v="472"/>
    <x v="8"/>
    <n v="1"/>
    <n v="1"/>
    <x v="4"/>
    <b v="0"/>
    <s v="Working"/>
    <n v="5"/>
    <x v="5"/>
    <n v="1"/>
    <n v="0.16"/>
    <x v="0"/>
    <n v="0.13639999999999999"/>
    <x v="60"/>
    <x v="2"/>
    <x v="11"/>
    <x v="12"/>
    <x v="117"/>
    <x v="76"/>
  </r>
  <r>
    <n v="473"/>
    <x v="8"/>
    <n v="1"/>
    <n v="1"/>
    <x v="16"/>
    <b v="0"/>
    <s v="Working"/>
    <n v="5"/>
    <x v="5"/>
    <n v="1"/>
    <n v="0.14000000000000001"/>
    <x v="0"/>
    <n v="0.1212"/>
    <x v="41"/>
    <x v="2"/>
    <x v="11"/>
    <x v="21"/>
    <x v="137"/>
    <x v="144"/>
  </r>
  <r>
    <n v="474"/>
    <x v="8"/>
    <n v="1"/>
    <n v="1"/>
    <x v="5"/>
    <b v="0"/>
    <s v="Working"/>
    <n v="5"/>
    <x v="5"/>
    <n v="1"/>
    <n v="0.12"/>
    <x v="0"/>
    <n v="0.1212"/>
    <x v="25"/>
    <x v="2"/>
    <x v="3"/>
    <x v="2"/>
    <x v="138"/>
    <x v="152"/>
  </r>
  <r>
    <n v="475"/>
    <x v="8"/>
    <n v="1"/>
    <n v="1"/>
    <x v="6"/>
    <b v="0"/>
    <s v="Working"/>
    <n v="5"/>
    <x v="5"/>
    <n v="1"/>
    <n v="0.12"/>
    <x v="0"/>
    <n v="0.1061"/>
    <x v="25"/>
    <x v="2"/>
    <x v="10"/>
    <x v="0"/>
    <x v="139"/>
    <x v="153"/>
  </r>
  <r>
    <n v="476"/>
    <x v="8"/>
    <n v="1"/>
    <n v="1"/>
    <x v="7"/>
    <b v="0"/>
    <s v="Working"/>
    <n v="5"/>
    <x v="5"/>
    <n v="1"/>
    <n v="0.1"/>
    <x v="0"/>
    <n v="7.5800000000000006E-2"/>
    <x v="40"/>
    <x v="2"/>
    <x v="17"/>
    <x v="2"/>
    <x v="4"/>
    <x v="13"/>
  </r>
  <r>
    <n v="477"/>
    <x v="8"/>
    <n v="1"/>
    <n v="1"/>
    <x v="8"/>
    <b v="0"/>
    <s v="Working"/>
    <n v="5"/>
    <x v="5"/>
    <n v="1"/>
    <n v="0.08"/>
    <x v="0"/>
    <n v="7.5800000000000006E-2"/>
    <x v="42"/>
    <x v="2"/>
    <x v="1"/>
    <x v="12"/>
    <x v="32"/>
    <x v="32"/>
  </r>
  <r>
    <n v="478"/>
    <x v="8"/>
    <n v="1"/>
    <n v="1"/>
    <x v="9"/>
    <b v="0"/>
    <s v="Working"/>
    <n v="5"/>
    <x v="5"/>
    <n v="1"/>
    <n v="0.06"/>
    <x v="0"/>
    <n v="3.0300000000000001E-2"/>
    <x v="49"/>
    <x v="2"/>
    <x v="14"/>
    <x v="2"/>
    <x v="33"/>
    <x v="8"/>
  </r>
  <r>
    <n v="479"/>
    <x v="8"/>
    <n v="1"/>
    <n v="1"/>
    <x v="17"/>
    <b v="0"/>
    <s v="Working"/>
    <n v="5"/>
    <x v="5"/>
    <n v="1"/>
    <n v="0.06"/>
    <x v="0"/>
    <n v="4.5499999999999999E-2"/>
    <x v="42"/>
    <x v="2"/>
    <x v="10"/>
    <x v="12"/>
    <x v="1"/>
    <x v="54"/>
  </r>
  <r>
    <n v="480"/>
    <x v="24"/>
    <n v="1"/>
    <n v="1"/>
    <x v="10"/>
    <b v="0"/>
    <s v="Working"/>
    <n v="6"/>
    <x v="0"/>
    <n v="1"/>
    <n v="0.04"/>
    <x v="0"/>
    <n v="3.0300000000000001E-2"/>
    <x v="50"/>
    <x v="2"/>
    <x v="3"/>
    <x v="12"/>
    <x v="0"/>
    <x v="26"/>
  </r>
  <r>
    <n v="482"/>
    <x v="24"/>
    <n v="1"/>
    <n v="1"/>
    <x v="1"/>
    <b v="0"/>
    <s v="Working"/>
    <n v="6"/>
    <x v="0"/>
    <n v="2"/>
    <n v="0.04"/>
    <x v="0"/>
    <n v="3.0300000000000001E-2"/>
    <x v="49"/>
    <x v="2"/>
    <x v="3"/>
    <x v="12"/>
    <x v="73"/>
    <x v="82"/>
  </r>
  <r>
    <n v="483"/>
    <x v="24"/>
    <n v="1"/>
    <n v="1"/>
    <x v="11"/>
    <b v="0"/>
    <s v="Working"/>
    <n v="6"/>
    <x v="0"/>
    <n v="2"/>
    <n v="0.04"/>
    <x v="0"/>
    <n v="3.0300000000000001E-2"/>
    <x v="49"/>
    <x v="2"/>
    <x v="1"/>
    <x v="2"/>
    <x v="24"/>
    <x v="23"/>
  </r>
  <r>
    <n v="484"/>
    <x v="24"/>
    <n v="1"/>
    <n v="1"/>
    <x v="22"/>
    <b v="0"/>
    <s v="Working"/>
    <n v="6"/>
    <x v="0"/>
    <n v="2"/>
    <n v="0.02"/>
    <x v="0"/>
    <n v="1.52E-2"/>
    <x v="38"/>
    <x v="2"/>
    <x v="2"/>
    <x v="12"/>
    <x v="27"/>
    <x v="2"/>
  </r>
  <r>
    <n v="485"/>
    <x v="24"/>
    <n v="1"/>
    <n v="1"/>
    <x v="19"/>
    <b v="0"/>
    <s v="Working"/>
    <n v="6"/>
    <x v="0"/>
    <n v="2"/>
    <n v="0.02"/>
    <x v="0"/>
    <n v="3.0300000000000001E-2"/>
    <x v="19"/>
    <x v="2"/>
    <x v="5"/>
    <x v="12"/>
    <x v="2"/>
    <x v="34"/>
  </r>
  <r>
    <n v="486"/>
    <x v="24"/>
    <n v="1"/>
    <n v="1"/>
    <x v="2"/>
    <b v="0"/>
    <s v="Working"/>
    <n v="6"/>
    <x v="0"/>
    <n v="1"/>
    <n v="0.02"/>
    <x v="0"/>
    <n v="1.52E-2"/>
    <x v="19"/>
    <x v="2"/>
    <x v="1"/>
    <x v="12"/>
    <x v="10"/>
    <x v="41"/>
  </r>
  <r>
    <n v="488"/>
    <x v="24"/>
    <n v="1"/>
    <n v="1"/>
    <x v="15"/>
    <b v="0"/>
    <s v="Working"/>
    <n v="6"/>
    <x v="0"/>
    <n v="1"/>
    <n v="0.04"/>
    <x v="0"/>
    <n v="3.0300000000000001E-2"/>
    <x v="49"/>
    <x v="2"/>
    <x v="3"/>
    <x v="0"/>
    <x v="76"/>
    <x v="53"/>
  </r>
  <r>
    <n v="489"/>
    <x v="24"/>
    <n v="1"/>
    <n v="1"/>
    <x v="12"/>
    <b v="0"/>
    <s v="Working"/>
    <n v="6"/>
    <x v="0"/>
    <n v="2"/>
    <n v="0.04"/>
    <x v="0"/>
    <n v="6.0600000000000001E-2"/>
    <x v="49"/>
    <x v="2"/>
    <x v="6"/>
    <x v="0"/>
    <x v="77"/>
    <x v="13"/>
  </r>
  <r>
    <n v="490"/>
    <x v="24"/>
    <n v="1"/>
    <n v="1"/>
    <x v="3"/>
    <b v="0"/>
    <s v="Working"/>
    <n v="6"/>
    <x v="0"/>
    <n v="2"/>
    <n v="0.06"/>
    <x v="0"/>
    <n v="7.5800000000000006E-2"/>
    <x v="42"/>
    <x v="2"/>
    <x v="9"/>
    <x v="8"/>
    <x v="98"/>
    <x v="77"/>
  </r>
  <r>
    <n v="491"/>
    <x v="24"/>
    <n v="1"/>
    <n v="1"/>
    <x v="20"/>
    <b v="0"/>
    <s v="Working"/>
    <n v="6"/>
    <x v="0"/>
    <n v="2"/>
    <n v="0.06"/>
    <x v="0"/>
    <n v="0.1061"/>
    <x v="42"/>
    <x v="2"/>
    <x v="7"/>
    <x v="21"/>
    <x v="107"/>
    <x v="40"/>
  </r>
  <r>
    <n v="492"/>
    <x v="24"/>
    <n v="1"/>
    <n v="1"/>
    <x v="21"/>
    <b v="0"/>
    <s v="Working"/>
    <n v="6"/>
    <x v="0"/>
    <n v="1"/>
    <n v="0.08"/>
    <x v="0"/>
    <n v="0.16669999999999999"/>
    <x v="24"/>
    <x v="2"/>
    <x v="0"/>
    <x v="14"/>
    <x v="16"/>
    <x v="59"/>
  </r>
  <r>
    <n v="493"/>
    <x v="24"/>
    <n v="1"/>
    <n v="1"/>
    <x v="23"/>
    <b v="0"/>
    <s v="Working"/>
    <n v="6"/>
    <x v="0"/>
    <n v="1"/>
    <n v="0.1"/>
    <x v="0"/>
    <n v="0.13639999999999999"/>
    <x v="40"/>
    <x v="2"/>
    <x v="7"/>
    <x v="7"/>
    <x v="62"/>
    <x v="63"/>
  </r>
  <r>
    <n v="494"/>
    <x v="24"/>
    <n v="1"/>
    <n v="1"/>
    <x v="13"/>
    <b v="0"/>
    <s v="Working"/>
    <n v="6"/>
    <x v="0"/>
    <n v="1"/>
    <n v="0.12"/>
    <x v="0"/>
    <n v="0.1515"/>
    <x v="41"/>
    <x v="2"/>
    <x v="0"/>
    <x v="21"/>
    <x v="139"/>
    <x v="154"/>
  </r>
  <r>
    <n v="495"/>
    <x v="24"/>
    <n v="1"/>
    <n v="1"/>
    <x v="4"/>
    <b v="0"/>
    <s v="Working"/>
    <n v="6"/>
    <x v="0"/>
    <n v="1"/>
    <n v="0.12"/>
    <x v="0"/>
    <n v="0.13639999999999999"/>
    <x v="41"/>
    <x v="2"/>
    <x v="4"/>
    <x v="7"/>
    <x v="16"/>
    <x v="31"/>
  </r>
  <r>
    <n v="496"/>
    <x v="24"/>
    <n v="1"/>
    <n v="1"/>
    <x v="16"/>
    <b v="0"/>
    <s v="Working"/>
    <n v="6"/>
    <x v="0"/>
    <n v="1"/>
    <n v="0.12"/>
    <x v="0"/>
    <n v="0.19700000000000001"/>
    <x v="41"/>
    <x v="2"/>
    <x v="0"/>
    <x v="13"/>
    <x v="98"/>
    <x v="97"/>
  </r>
  <r>
    <n v="497"/>
    <x v="24"/>
    <n v="1"/>
    <n v="1"/>
    <x v="5"/>
    <b v="0"/>
    <s v="Working"/>
    <n v="6"/>
    <x v="0"/>
    <n v="1"/>
    <n v="0.08"/>
    <x v="0"/>
    <n v="9.0899999999999995E-2"/>
    <x v="24"/>
    <x v="2"/>
    <x v="4"/>
    <x v="12"/>
    <x v="60"/>
    <x v="81"/>
  </r>
  <r>
    <n v="498"/>
    <x v="24"/>
    <n v="1"/>
    <n v="1"/>
    <x v="6"/>
    <b v="0"/>
    <s v="Working"/>
    <n v="6"/>
    <x v="0"/>
    <n v="1"/>
    <n v="0.08"/>
    <x v="0"/>
    <n v="0.1061"/>
    <x v="24"/>
    <x v="2"/>
    <x v="9"/>
    <x v="6"/>
    <x v="83"/>
    <x v="96"/>
  </r>
  <r>
    <n v="499"/>
    <x v="24"/>
    <n v="1"/>
    <n v="1"/>
    <x v="7"/>
    <b v="0"/>
    <s v="Working"/>
    <n v="6"/>
    <x v="0"/>
    <n v="1"/>
    <n v="0.06"/>
    <x v="0"/>
    <n v="7.5800000000000006E-2"/>
    <x v="50"/>
    <x v="2"/>
    <x v="6"/>
    <x v="2"/>
    <x v="111"/>
    <x v="95"/>
  </r>
  <r>
    <n v="500"/>
    <x v="24"/>
    <n v="1"/>
    <n v="1"/>
    <x v="8"/>
    <b v="0"/>
    <s v="Working"/>
    <n v="6"/>
    <x v="0"/>
    <n v="1"/>
    <n v="0.06"/>
    <x v="0"/>
    <n v="0.1061"/>
    <x v="49"/>
    <x v="2"/>
    <x v="8"/>
    <x v="12"/>
    <x v="105"/>
    <x v="110"/>
  </r>
  <r>
    <n v="501"/>
    <x v="24"/>
    <n v="1"/>
    <n v="1"/>
    <x v="9"/>
    <b v="0"/>
    <s v="Working"/>
    <n v="6"/>
    <x v="0"/>
    <n v="1"/>
    <n v="0.06"/>
    <x v="0"/>
    <n v="0.1515"/>
    <x v="37"/>
    <x v="2"/>
    <x v="0"/>
    <x v="10"/>
    <x v="140"/>
    <x v="42"/>
  </r>
  <r>
    <n v="502"/>
    <x v="24"/>
    <n v="1"/>
    <n v="1"/>
    <x v="17"/>
    <b v="0"/>
    <s v="Working"/>
    <n v="6"/>
    <x v="0"/>
    <n v="1"/>
    <n v="0.04"/>
    <x v="0"/>
    <n v="7.5800000000000006E-2"/>
    <x v="16"/>
    <x v="2"/>
    <x v="7"/>
    <x v="9"/>
    <x v="6"/>
    <x v="33"/>
  </r>
  <r>
    <n v="503"/>
    <x v="25"/>
    <n v="1"/>
    <n v="1"/>
    <x v="10"/>
    <b v="0"/>
    <s v="Working"/>
    <n v="0"/>
    <x v="1"/>
    <n v="1"/>
    <n v="0.04"/>
    <x v="0"/>
    <n v="7.5800000000000006E-2"/>
    <x v="16"/>
    <x v="2"/>
    <x v="7"/>
    <x v="9"/>
    <x v="15"/>
    <x v="28"/>
  </r>
  <r>
    <n v="504"/>
    <x v="25"/>
    <n v="1"/>
    <n v="1"/>
    <x v="0"/>
    <b v="0"/>
    <s v="Working"/>
    <n v="0"/>
    <x v="1"/>
    <n v="1"/>
    <n v="0.04"/>
    <x v="0"/>
    <n v="7.5800000000000006E-2"/>
    <x v="16"/>
    <x v="2"/>
    <x v="7"/>
    <x v="2"/>
    <x v="109"/>
    <x v="26"/>
  </r>
  <r>
    <n v="505"/>
    <x v="25"/>
    <n v="1"/>
    <n v="1"/>
    <x v="1"/>
    <b v="0"/>
    <s v="Working"/>
    <n v="0"/>
    <x v="1"/>
    <n v="1"/>
    <n v="0.02"/>
    <x v="0"/>
    <n v="6.0600000000000001E-2"/>
    <x v="51"/>
    <x v="2"/>
    <x v="9"/>
    <x v="0"/>
    <x v="14"/>
    <x v="122"/>
  </r>
  <r>
    <n v="506"/>
    <x v="25"/>
    <n v="1"/>
    <n v="1"/>
    <x v="11"/>
    <b v="0"/>
    <s v="Working"/>
    <n v="0"/>
    <x v="1"/>
    <n v="1"/>
    <n v="0.02"/>
    <x v="0"/>
    <n v="6.0600000000000001E-2"/>
    <x v="51"/>
    <x v="2"/>
    <x v="9"/>
    <x v="2"/>
    <x v="11"/>
    <x v="25"/>
  </r>
  <r>
    <n v="507"/>
    <x v="25"/>
    <n v="1"/>
    <n v="1"/>
    <x v="18"/>
    <b v="0"/>
    <s v="Working"/>
    <n v="0"/>
    <x v="1"/>
    <n v="2"/>
    <n v="0.04"/>
    <x v="0"/>
    <n v="7.5800000000000006E-2"/>
    <x v="16"/>
    <x v="2"/>
    <x v="7"/>
    <x v="12"/>
    <x v="27"/>
    <x v="2"/>
  </r>
  <r>
    <n v="508"/>
    <x v="25"/>
    <n v="1"/>
    <n v="1"/>
    <x v="19"/>
    <b v="0"/>
    <s v="Working"/>
    <n v="0"/>
    <x v="1"/>
    <n v="2"/>
    <n v="0.04"/>
    <x v="0"/>
    <n v="7.5800000000000006E-2"/>
    <x v="16"/>
    <x v="2"/>
    <x v="7"/>
    <x v="12"/>
    <x v="25"/>
    <x v="24"/>
  </r>
  <r>
    <n v="509"/>
    <x v="25"/>
    <n v="1"/>
    <n v="1"/>
    <x v="2"/>
    <b v="0"/>
    <s v="Working"/>
    <n v="0"/>
    <x v="1"/>
    <n v="1"/>
    <n v="0.08"/>
    <x v="0"/>
    <n v="0.1061"/>
    <x v="52"/>
    <x v="2"/>
    <x v="6"/>
    <x v="2"/>
    <x v="25"/>
    <x v="34"/>
  </r>
  <r>
    <n v="510"/>
    <x v="25"/>
    <n v="1"/>
    <n v="1"/>
    <x v="14"/>
    <b v="0"/>
    <s v="Working"/>
    <n v="0"/>
    <x v="1"/>
    <n v="1"/>
    <n v="0.06"/>
    <x v="0"/>
    <n v="7.5800000000000006E-2"/>
    <x v="51"/>
    <x v="2"/>
    <x v="6"/>
    <x v="9"/>
    <x v="8"/>
    <x v="22"/>
  </r>
  <r>
    <n v="511"/>
    <x v="25"/>
    <n v="1"/>
    <n v="1"/>
    <x v="15"/>
    <b v="0"/>
    <s v="Working"/>
    <n v="0"/>
    <x v="1"/>
    <n v="1"/>
    <n v="0.1"/>
    <x v="0"/>
    <n v="7.5800000000000006E-2"/>
    <x v="48"/>
    <x v="2"/>
    <x v="11"/>
    <x v="0"/>
    <x v="7"/>
    <x v="9"/>
  </r>
  <r>
    <n v="512"/>
    <x v="25"/>
    <n v="1"/>
    <n v="1"/>
    <x v="12"/>
    <b v="0"/>
    <s v="Working"/>
    <n v="0"/>
    <x v="1"/>
    <n v="1"/>
    <n v="0.14000000000000001"/>
    <x v="0"/>
    <n v="0.1061"/>
    <x v="17"/>
    <x v="2"/>
    <x v="14"/>
    <x v="10"/>
    <x v="19"/>
    <x v="44"/>
  </r>
  <r>
    <n v="513"/>
    <x v="25"/>
    <n v="1"/>
    <n v="1"/>
    <x v="3"/>
    <b v="0"/>
    <s v="Working"/>
    <n v="0"/>
    <x v="1"/>
    <n v="1"/>
    <n v="0.14000000000000001"/>
    <x v="0"/>
    <n v="0.13639999999999999"/>
    <x v="22"/>
    <x v="2"/>
    <x v="5"/>
    <x v="30"/>
    <x v="110"/>
    <x v="56"/>
  </r>
  <r>
    <n v="514"/>
    <x v="25"/>
    <n v="1"/>
    <n v="1"/>
    <x v="20"/>
    <b v="0"/>
    <s v="Working"/>
    <n v="0"/>
    <x v="1"/>
    <n v="1"/>
    <n v="0.16"/>
    <x v="0"/>
    <n v="0.1212"/>
    <x v="39"/>
    <x v="2"/>
    <x v="12"/>
    <x v="31"/>
    <x v="74"/>
    <x v="155"/>
  </r>
  <r>
    <n v="515"/>
    <x v="25"/>
    <n v="1"/>
    <n v="1"/>
    <x v="21"/>
    <b v="0"/>
    <s v="Working"/>
    <n v="0"/>
    <x v="1"/>
    <n v="1"/>
    <n v="0.14000000000000001"/>
    <x v="0"/>
    <n v="0.1061"/>
    <x v="40"/>
    <x v="2"/>
    <x v="14"/>
    <x v="14"/>
    <x v="113"/>
    <x v="107"/>
  </r>
  <r>
    <n v="516"/>
    <x v="25"/>
    <n v="1"/>
    <n v="1"/>
    <x v="23"/>
    <b v="0"/>
    <s v="Working"/>
    <n v="0"/>
    <x v="1"/>
    <n v="1"/>
    <n v="0.16"/>
    <x v="0"/>
    <n v="0.13639999999999999"/>
    <x v="41"/>
    <x v="2"/>
    <x v="11"/>
    <x v="25"/>
    <x v="139"/>
    <x v="62"/>
  </r>
  <r>
    <n v="517"/>
    <x v="25"/>
    <n v="1"/>
    <n v="1"/>
    <x v="13"/>
    <b v="0"/>
    <s v="Working"/>
    <n v="0"/>
    <x v="1"/>
    <n v="1"/>
    <n v="0.16"/>
    <x v="0"/>
    <n v="0.13639999999999999"/>
    <x v="41"/>
    <x v="2"/>
    <x v="11"/>
    <x v="22"/>
    <x v="62"/>
    <x v="69"/>
  </r>
  <r>
    <n v="518"/>
    <x v="25"/>
    <n v="1"/>
    <n v="1"/>
    <x v="4"/>
    <b v="0"/>
    <s v="Working"/>
    <n v="0"/>
    <x v="1"/>
    <n v="1"/>
    <n v="0.16"/>
    <x v="0"/>
    <n v="0.13639999999999999"/>
    <x v="60"/>
    <x v="2"/>
    <x v="10"/>
    <x v="5"/>
    <x v="52"/>
    <x v="64"/>
  </r>
  <r>
    <n v="519"/>
    <x v="25"/>
    <n v="1"/>
    <n v="1"/>
    <x v="16"/>
    <b v="0"/>
    <s v="Working"/>
    <n v="0"/>
    <x v="1"/>
    <n v="1"/>
    <n v="0.14000000000000001"/>
    <x v="0"/>
    <n v="0.1061"/>
    <x v="60"/>
    <x v="2"/>
    <x v="14"/>
    <x v="1"/>
    <x v="77"/>
    <x v="114"/>
  </r>
  <r>
    <n v="520"/>
    <x v="25"/>
    <n v="1"/>
    <n v="1"/>
    <x v="5"/>
    <b v="0"/>
    <s v="Working"/>
    <n v="0"/>
    <x v="1"/>
    <n v="1"/>
    <n v="0.12"/>
    <x v="0"/>
    <n v="0.1212"/>
    <x v="25"/>
    <x v="2"/>
    <x v="3"/>
    <x v="1"/>
    <x v="111"/>
    <x v="51"/>
  </r>
  <r>
    <n v="521"/>
    <x v="25"/>
    <n v="1"/>
    <n v="1"/>
    <x v="6"/>
    <b v="0"/>
    <s v="Working"/>
    <n v="0"/>
    <x v="1"/>
    <n v="1"/>
    <n v="0.12"/>
    <x v="0"/>
    <n v="0.1212"/>
    <x v="25"/>
    <x v="2"/>
    <x v="1"/>
    <x v="1"/>
    <x v="53"/>
    <x v="106"/>
  </r>
  <r>
    <n v="522"/>
    <x v="25"/>
    <n v="1"/>
    <n v="1"/>
    <x v="7"/>
    <b v="0"/>
    <s v="Working"/>
    <n v="0"/>
    <x v="1"/>
    <n v="1"/>
    <n v="0.1"/>
    <x v="0"/>
    <n v="0.1061"/>
    <x v="43"/>
    <x v="2"/>
    <x v="3"/>
    <x v="8"/>
    <x v="6"/>
    <x v="5"/>
  </r>
  <r>
    <n v="523"/>
    <x v="25"/>
    <n v="1"/>
    <n v="1"/>
    <x v="8"/>
    <b v="0"/>
    <s v="Working"/>
    <n v="0"/>
    <x v="1"/>
    <n v="1"/>
    <n v="0.1"/>
    <x v="0"/>
    <n v="0.1061"/>
    <x v="43"/>
    <x v="2"/>
    <x v="4"/>
    <x v="1"/>
    <x v="15"/>
    <x v="111"/>
  </r>
  <r>
    <n v="524"/>
    <x v="25"/>
    <n v="1"/>
    <n v="1"/>
    <x v="9"/>
    <b v="0"/>
    <s v="Working"/>
    <n v="0"/>
    <x v="1"/>
    <n v="1"/>
    <n v="0.08"/>
    <x v="0"/>
    <n v="9.0899999999999995E-2"/>
    <x v="42"/>
    <x v="2"/>
    <x v="4"/>
    <x v="1"/>
    <x v="140"/>
    <x v="9"/>
  </r>
  <r>
    <n v="525"/>
    <x v="25"/>
    <n v="1"/>
    <n v="1"/>
    <x v="17"/>
    <b v="0"/>
    <s v="Working"/>
    <n v="0"/>
    <x v="1"/>
    <n v="1"/>
    <n v="0.06"/>
    <x v="0"/>
    <n v="6.0600000000000001E-2"/>
    <x v="49"/>
    <x v="2"/>
    <x v="5"/>
    <x v="8"/>
    <x v="8"/>
    <x v="142"/>
  </r>
  <r>
    <n v="526"/>
    <x v="26"/>
    <n v="1"/>
    <n v="1"/>
    <x v="10"/>
    <b v="0"/>
    <s v="Working"/>
    <n v="1"/>
    <x v="4"/>
    <n v="1"/>
    <n v="0.06"/>
    <x v="0"/>
    <n v="6.0600000000000001E-2"/>
    <x v="49"/>
    <x v="2"/>
    <x v="4"/>
    <x v="12"/>
    <x v="23"/>
    <x v="23"/>
  </r>
  <r>
    <n v="527"/>
    <x v="26"/>
    <n v="1"/>
    <n v="1"/>
    <x v="0"/>
    <b v="0"/>
    <s v="Working"/>
    <n v="1"/>
    <x v="4"/>
    <n v="1"/>
    <n v="0.04"/>
    <x v="0"/>
    <n v="4.5499999999999999E-2"/>
    <x v="50"/>
    <x v="2"/>
    <x v="4"/>
    <x v="12"/>
    <x v="25"/>
    <x v="24"/>
  </r>
  <r>
    <n v="528"/>
    <x v="26"/>
    <n v="1"/>
    <n v="1"/>
    <x v="11"/>
    <b v="0"/>
    <s v="Working"/>
    <n v="1"/>
    <x v="4"/>
    <n v="1"/>
    <n v="0.04"/>
    <x v="0"/>
    <n v="3.0300000000000001E-2"/>
    <x v="50"/>
    <x v="2"/>
    <x v="3"/>
    <x v="12"/>
    <x v="25"/>
    <x v="24"/>
  </r>
  <r>
    <n v="529"/>
    <x v="26"/>
    <n v="1"/>
    <n v="1"/>
    <x v="22"/>
    <b v="0"/>
    <s v="Working"/>
    <n v="1"/>
    <x v="4"/>
    <n v="1"/>
    <n v="0.02"/>
    <x v="0"/>
    <n v="6.0600000000000001E-2"/>
    <x v="38"/>
    <x v="2"/>
    <x v="9"/>
    <x v="12"/>
    <x v="25"/>
    <x v="24"/>
  </r>
  <r>
    <n v="530"/>
    <x v="26"/>
    <n v="1"/>
    <n v="1"/>
    <x v="18"/>
    <b v="0"/>
    <s v="Working"/>
    <n v="1"/>
    <x v="4"/>
    <n v="1"/>
    <n v="0.02"/>
    <x v="0"/>
    <n v="6.0600000000000001E-2"/>
    <x v="38"/>
    <x v="2"/>
    <x v="9"/>
    <x v="12"/>
    <x v="26"/>
    <x v="25"/>
  </r>
  <r>
    <n v="531"/>
    <x v="26"/>
    <n v="1"/>
    <n v="1"/>
    <x v="19"/>
    <b v="0"/>
    <s v="Working"/>
    <n v="1"/>
    <x v="4"/>
    <n v="1"/>
    <n v="0.02"/>
    <x v="0"/>
    <n v="7.5800000000000006E-2"/>
    <x v="38"/>
    <x v="2"/>
    <x v="8"/>
    <x v="12"/>
    <x v="14"/>
    <x v="15"/>
  </r>
  <r>
    <n v="532"/>
    <x v="26"/>
    <n v="1"/>
    <n v="1"/>
    <x v="2"/>
    <b v="0"/>
    <s v="Working"/>
    <n v="1"/>
    <x v="4"/>
    <n v="1"/>
    <n v="0.02"/>
    <x v="0"/>
    <n v="0.1212"/>
    <x v="38"/>
    <x v="2"/>
    <x v="0"/>
    <x v="1"/>
    <x v="78"/>
    <x v="59"/>
  </r>
  <r>
    <n v="533"/>
    <x v="26"/>
    <n v="1"/>
    <n v="1"/>
    <x v="14"/>
    <b v="0"/>
    <s v="Working"/>
    <n v="1"/>
    <x v="4"/>
    <n v="1"/>
    <n v="0.04"/>
    <x v="0"/>
    <n v="0.13639999999999999"/>
    <x v="37"/>
    <x v="2"/>
    <x v="0"/>
    <x v="6"/>
    <x v="141"/>
    <x v="156"/>
  </r>
  <r>
    <n v="534"/>
    <x v="26"/>
    <n v="1"/>
    <n v="1"/>
    <x v="15"/>
    <b v="0"/>
    <s v="Working"/>
    <n v="1"/>
    <x v="4"/>
    <n v="1"/>
    <n v="0.06"/>
    <x v="0"/>
    <n v="0.1515"/>
    <x v="49"/>
    <x v="2"/>
    <x v="0"/>
    <x v="8"/>
    <x v="56"/>
    <x v="113"/>
  </r>
  <r>
    <n v="535"/>
    <x v="26"/>
    <n v="1"/>
    <n v="1"/>
    <x v="12"/>
    <b v="0"/>
    <s v="Working"/>
    <n v="1"/>
    <x v="4"/>
    <n v="1"/>
    <n v="0.1"/>
    <x v="0"/>
    <n v="0.13639999999999999"/>
    <x v="18"/>
    <x v="2"/>
    <x v="0"/>
    <x v="6"/>
    <x v="84"/>
    <x v="53"/>
  </r>
  <r>
    <n v="536"/>
    <x v="26"/>
    <n v="1"/>
    <n v="1"/>
    <x v="3"/>
    <b v="0"/>
    <s v="Working"/>
    <n v="1"/>
    <x v="4"/>
    <n v="1"/>
    <n v="0.1"/>
    <x v="0"/>
    <n v="0.1212"/>
    <x v="17"/>
    <x v="2"/>
    <x v="9"/>
    <x v="0"/>
    <x v="43"/>
    <x v="85"/>
  </r>
  <r>
    <n v="537"/>
    <x v="26"/>
    <n v="1"/>
    <n v="1"/>
    <x v="20"/>
    <b v="0"/>
    <s v="Working"/>
    <n v="1"/>
    <x v="4"/>
    <n v="2"/>
    <n v="0.12"/>
    <x v="0"/>
    <n v="0.13639999999999999"/>
    <x v="18"/>
    <x v="2"/>
    <x v="4"/>
    <x v="7"/>
    <x v="4"/>
    <x v="77"/>
  </r>
  <r>
    <n v="538"/>
    <x v="26"/>
    <n v="1"/>
    <n v="1"/>
    <x v="21"/>
    <b v="0"/>
    <s v="Working"/>
    <n v="1"/>
    <x v="4"/>
    <n v="2"/>
    <n v="0.14000000000000001"/>
    <x v="0"/>
    <n v="0.13639999999999999"/>
    <x v="22"/>
    <x v="2"/>
    <x v="5"/>
    <x v="6"/>
    <x v="60"/>
    <x v="48"/>
  </r>
  <r>
    <n v="539"/>
    <x v="26"/>
    <n v="1"/>
    <n v="1"/>
    <x v="23"/>
    <b v="0"/>
    <s v="Working"/>
    <n v="1"/>
    <x v="4"/>
    <n v="2"/>
    <n v="0.14000000000000001"/>
    <x v="0"/>
    <n v="0.13639999999999999"/>
    <x v="17"/>
    <x v="2"/>
    <x v="5"/>
    <x v="9"/>
    <x v="43"/>
    <x v="95"/>
  </r>
  <r>
    <n v="540"/>
    <x v="26"/>
    <n v="1"/>
    <n v="1"/>
    <x v="13"/>
    <b v="0"/>
    <s v="Working"/>
    <n v="1"/>
    <x v="4"/>
    <n v="1"/>
    <n v="0.16"/>
    <x v="0"/>
    <n v="0.16669999999999999"/>
    <x v="23"/>
    <x v="2"/>
    <x v="6"/>
    <x v="10"/>
    <x v="77"/>
    <x v="74"/>
  </r>
  <r>
    <n v="541"/>
    <x v="26"/>
    <n v="1"/>
    <n v="1"/>
    <x v="4"/>
    <b v="0"/>
    <s v="Working"/>
    <n v="1"/>
    <x v="4"/>
    <n v="1"/>
    <n v="0.16"/>
    <x v="0"/>
    <n v="0.1515"/>
    <x v="20"/>
    <x v="2"/>
    <x v="3"/>
    <x v="8"/>
    <x v="69"/>
    <x v="40"/>
  </r>
  <r>
    <n v="542"/>
    <x v="26"/>
    <n v="1"/>
    <n v="1"/>
    <x v="16"/>
    <b v="0"/>
    <s v="Working"/>
    <n v="1"/>
    <x v="4"/>
    <n v="1"/>
    <n v="0.14000000000000001"/>
    <x v="0"/>
    <n v="0.1212"/>
    <x v="21"/>
    <x v="2"/>
    <x v="3"/>
    <x v="6"/>
    <x v="104"/>
    <x v="157"/>
  </r>
  <r>
    <n v="543"/>
    <x v="26"/>
    <n v="1"/>
    <n v="1"/>
    <x v="5"/>
    <b v="0"/>
    <s v="Working"/>
    <n v="1"/>
    <x v="4"/>
    <n v="1"/>
    <n v="0.14000000000000001"/>
    <x v="0"/>
    <n v="0.13639999999999999"/>
    <x v="30"/>
    <x v="2"/>
    <x v="4"/>
    <x v="13"/>
    <x v="142"/>
    <x v="158"/>
  </r>
  <r>
    <n v="544"/>
    <x v="26"/>
    <n v="1"/>
    <n v="1"/>
    <x v="6"/>
    <b v="0"/>
    <s v="Working"/>
    <n v="1"/>
    <x v="4"/>
    <n v="1"/>
    <n v="0.14000000000000001"/>
    <x v="0"/>
    <n v="0.1515"/>
    <x v="48"/>
    <x v="2"/>
    <x v="6"/>
    <x v="1"/>
    <x v="143"/>
    <x v="61"/>
  </r>
  <r>
    <n v="545"/>
    <x v="26"/>
    <n v="1"/>
    <n v="1"/>
    <x v="7"/>
    <b v="0"/>
    <s v="Working"/>
    <n v="1"/>
    <x v="4"/>
    <n v="1"/>
    <n v="0.14000000000000001"/>
    <x v="0"/>
    <n v="0.13639999999999999"/>
    <x v="30"/>
    <x v="2"/>
    <x v="4"/>
    <x v="2"/>
    <x v="127"/>
    <x v="126"/>
  </r>
  <r>
    <n v="546"/>
    <x v="26"/>
    <n v="1"/>
    <n v="1"/>
    <x v="8"/>
    <b v="0"/>
    <s v="Working"/>
    <n v="1"/>
    <x v="4"/>
    <n v="1"/>
    <n v="0.14000000000000001"/>
    <x v="0"/>
    <n v="0.1515"/>
    <x v="31"/>
    <x v="2"/>
    <x v="6"/>
    <x v="6"/>
    <x v="83"/>
    <x v="96"/>
  </r>
  <r>
    <n v="547"/>
    <x v="26"/>
    <n v="1"/>
    <n v="1"/>
    <x v="9"/>
    <b v="0"/>
    <s v="Working"/>
    <n v="1"/>
    <x v="4"/>
    <n v="2"/>
    <n v="0.14000000000000001"/>
    <x v="0"/>
    <n v="0.13639999999999999"/>
    <x v="31"/>
    <x v="2"/>
    <x v="5"/>
    <x v="0"/>
    <x v="20"/>
    <x v="5"/>
  </r>
  <r>
    <n v="548"/>
    <x v="26"/>
    <n v="1"/>
    <n v="1"/>
    <x v="17"/>
    <b v="0"/>
    <s v="Working"/>
    <n v="1"/>
    <x v="4"/>
    <n v="2"/>
    <n v="0.16"/>
    <x v="0"/>
    <n v="0.1515"/>
    <x v="27"/>
    <x v="2"/>
    <x v="3"/>
    <x v="0"/>
    <x v="144"/>
    <x v="121"/>
  </r>
  <r>
    <n v="549"/>
    <x v="27"/>
    <n v="1"/>
    <n v="1"/>
    <x v="10"/>
    <b v="0"/>
    <s v="Working"/>
    <n v="2"/>
    <x v="2"/>
    <n v="2"/>
    <n v="0.16"/>
    <x v="0"/>
    <n v="0.13639999999999999"/>
    <x v="28"/>
    <x v="2"/>
    <x v="1"/>
    <x v="0"/>
    <x v="24"/>
    <x v="11"/>
  </r>
  <r>
    <n v="550"/>
    <x v="27"/>
    <n v="1"/>
    <n v="1"/>
    <x v="0"/>
    <b v="0"/>
    <s v="Working"/>
    <n v="2"/>
    <x v="2"/>
    <n v="2"/>
    <n v="0.16"/>
    <x v="0"/>
    <n v="0.16669999999999999"/>
    <x v="28"/>
    <x v="2"/>
    <x v="6"/>
    <x v="12"/>
    <x v="26"/>
    <x v="25"/>
  </r>
  <r>
    <n v="551"/>
    <x v="27"/>
    <n v="1"/>
    <n v="1"/>
    <x v="1"/>
    <b v="0"/>
    <s v="Working"/>
    <n v="2"/>
    <x v="2"/>
    <n v="1"/>
    <n v="0.16"/>
    <x v="0"/>
    <n v="0.1515"/>
    <x v="28"/>
    <x v="2"/>
    <x v="5"/>
    <x v="12"/>
    <x v="2"/>
    <x v="34"/>
  </r>
  <r>
    <n v="552"/>
    <x v="27"/>
    <n v="1"/>
    <n v="1"/>
    <x v="22"/>
    <b v="0"/>
    <s v="Working"/>
    <n v="2"/>
    <x v="2"/>
    <n v="1"/>
    <n v="0.14000000000000001"/>
    <x v="0"/>
    <n v="0.16669999999999999"/>
    <x v="33"/>
    <x v="2"/>
    <x v="7"/>
    <x v="12"/>
    <x v="25"/>
    <x v="24"/>
  </r>
  <r>
    <n v="553"/>
    <x v="27"/>
    <n v="1"/>
    <n v="1"/>
    <x v="18"/>
    <b v="0"/>
    <s v="Working"/>
    <n v="2"/>
    <x v="2"/>
    <n v="1"/>
    <n v="0.14000000000000001"/>
    <x v="0"/>
    <n v="0.13639999999999999"/>
    <x v="33"/>
    <x v="2"/>
    <x v="5"/>
    <x v="12"/>
    <x v="64"/>
    <x v="11"/>
  </r>
  <r>
    <n v="554"/>
    <x v="27"/>
    <n v="1"/>
    <n v="1"/>
    <x v="19"/>
    <b v="0"/>
    <s v="Working"/>
    <n v="2"/>
    <x v="2"/>
    <n v="1"/>
    <n v="0.16"/>
    <x v="0"/>
    <n v="0.18179999999999999"/>
    <x v="33"/>
    <x v="2"/>
    <x v="7"/>
    <x v="2"/>
    <x v="42"/>
    <x v="7"/>
  </r>
  <r>
    <n v="555"/>
    <x v="27"/>
    <n v="1"/>
    <n v="1"/>
    <x v="2"/>
    <b v="0"/>
    <s v="Working"/>
    <n v="2"/>
    <x v="2"/>
    <n v="1"/>
    <n v="0.16"/>
    <x v="0"/>
    <n v="0.1515"/>
    <x v="33"/>
    <x v="2"/>
    <x v="5"/>
    <x v="1"/>
    <x v="145"/>
    <x v="159"/>
  </r>
  <r>
    <n v="556"/>
    <x v="27"/>
    <n v="1"/>
    <n v="1"/>
    <x v="14"/>
    <b v="0"/>
    <s v="Working"/>
    <n v="2"/>
    <x v="2"/>
    <n v="2"/>
    <n v="0.16"/>
    <x v="0"/>
    <n v="0.18179999999999999"/>
    <x v="33"/>
    <x v="2"/>
    <x v="9"/>
    <x v="1"/>
    <x v="146"/>
    <x v="160"/>
  </r>
  <r>
    <n v="557"/>
    <x v="27"/>
    <n v="1"/>
    <n v="1"/>
    <x v="15"/>
    <b v="0"/>
    <s v="Working"/>
    <n v="2"/>
    <x v="2"/>
    <n v="2"/>
    <n v="0.2"/>
    <x v="0"/>
    <n v="0.2273"/>
    <x v="27"/>
    <x v="2"/>
    <x v="8"/>
    <x v="21"/>
    <x v="126"/>
    <x v="132"/>
  </r>
  <r>
    <n v="558"/>
    <x v="27"/>
    <n v="1"/>
    <n v="1"/>
    <x v="12"/>
    <b v="0"/>
    <s v="Working"/>
    <n v="2"/>
    <x v="2"/>
    <n v="2"/>
    <n v="0.22"/>
    <x v="0"/>
    <n v="0.2424"/>
    <x v="54"/>
    <x v="2"/>
    <x v="7"/>
    <x v="6"/>
    <x v="49"/>
    <x v="114"/>
  </r>
  <r>
    <n v="559"/>
    <x v="27"/>
    <n v="1"/>
    <n v="1"/>
    <x v="3"/>
    <b v="0"/>
    <s v="Working"/>
    <n v="2"/>
    <x v="2"/>
    <n v="2"/>
    <n v="0.24"/>
    <x v="0"/>
    <n v="0.2424"/>
    <x v="54"/>
    <x v="2"/>
    <x v="9"/>
    <x v="6"/>
    <x v="13"/>
    <x v="29"/>
  </r>
  <r>
    <n v="560"/>
    <x v="27"/>
    <n v="1"/>
    <n v="1"/>
    <x v="20"/>
    <b v="0"/>
    <s v="Working"/>
    <n v="2"/>
    <x v="2"/>
    <n v="2"/>
    <n v="0.26"/>
    <x v="1"/>
    <n v="0.28789999999999999"/>
    <x v="35"/>
    <x v="2"/>
    <x v="8"/>
    <x v="27"/>
    <x v="89"/>
    <x v="61"/>
  </r>
  <r>
    <n v="561"/>
    <x v="27"/>
    <n v="1"/>
    <n v="1"/>
    <x v="21"/>
    <b v="0"/>
    <s v="Working"/>
    <n v="2"/>
    <x v="2"/>
    <n v="2"/>
    <n v="0.26"/>
    <x v="1"/>
    <n v="0.2727"/>
    <x v="35"/>
    <x v="2"/>
    <x v="9"/>
    <x v="27"/>
    <x v="16"/>
    <x v="4"/>
  </r>
  <r>
    <n v="562"/>
    <x v="27"/>
    <n v="1"/>
    <n v="1"/>
    <x v="23"/>
    <b v="0"/>
    <s v="Working"/>
    <n v="2"/>
    <x v="2"/>
    <n v="2"/>
    <n v="0.3"/>
    <x v="1"/>
    <n v="0.33329999999999999"/>
    <x v="50"/>
    <x v="2"/>
    <x v="0"/>
    <x v="7"/>
    <x v="96"/>
    <x v="127"/>
  </r>
  <r>
    <n v="563"/>
    <x v="27"/>
    <n v="1"/>
    <n v="1"/>
    <x v="13"/>
    <b v="0"/>
    <s v="Working"/>
    <n v="2"/>
    <x v="2"/>
    <n v="2"/>
    <n v="0.32"/>
    <x v="1"/>
    <n v="0.34849999999999998"/>
    <x v="18"/>
    <x v="2"/>
    <x v="0"/>
    <x v="27"/>
    <x v="65"/>
    <x v="59"/>
  </r>
  <r>
    <n v="564"/>
    <x v="27"/>
    <n v="1"/>
    <n v="1"/>
    <x v="4"/>
    <b v="0"/>
    <s v="Working"/>
    <n v="2"/>
    <x v="2"/>
    <n v="2"/>
    <n v="0.32"/>
    <x v="1"/>
    <n v="0.34849999999999998"/>
    <x v="18"/>
    <x v="2"/>
    <x v="0"/>
    <x v="23"/>
    <x v="72"/>
    <x v="155"/>
  </r>
  <r>
    <n v="565"/>
    <x v="27"/>
    <n v="1"/>
    <n v="1"/>
    <x v="16"/>
    <b v="0"/>
    <s v="Working"/>
    <n v="2"/>
    <x v="2"/>
    <n v="1"/>
    <n v="0.3"/>
    <x v="1"/>
    <n v="0.33329999999999999"/>
    <x v="50"/>
    <x v="2"/>
    <x v="0"/>
    <x v="23"/>
    <x v="147"/>
    <x v="161"/>
  </r>
  <r>
    <n v="566"/>
    <x v="27"/>
    <n v="1"/>
    <n v="1"/>
    <x v="5"/>
    <b v="0"/>
    <s v="Working"/>
    <n v="2"/>
    <x v="2"/>
    <n v="2"/>
    <n v="0.3"/>
    <x v="1"/>
    <n v="0.31819999999999998"/>
    <x v="37"/>
    <x v="2"/>
    <x v="8"/>
    <x v="10"/>
    <x v="148"/>
    <x v="162"/>
  </r>
  <r>
    <n v="567"/>
    <x v="27"/>
    <n v="1"/>
    <n v="1"/>
    <x v="6"/>
    <b v="0"/>
    <s v="Working"/>
    <n v="2"/>
    <x v="2"/>
    <n v="2"/>
    <n v="0.26"/>
    <x v="1"/>
    <n v="0.2576"/>
    <x v="55"/>
    <x v="2"/>
    <x v="6"/>
    <x v="22"/>
    <x v="149"/>
    <x v="163"/>
  </r>
  <r>
    <n v="568"/>
    <x v="27"/>
    <n v="1"/>
    <n v="1"/>
    <x v="7"/>
    <b v="0"/>
    <s v="Working"/>
    <n v="2"/>
    <x v="2"/>
    <n v="1"/>
    <n v="0.24"/>
    <x v="0"/>
    <n v="0.2273"/>
    <x v="55"/>
    <x v="2"/>
    <x v="4"/>
    <x v="19"/>
    <x v="145"/>
    <x v="164"/>
  </r>
  <r>
    <n v="569"/>
    <x v="27"/>
    <n v="1"/>
    <n v="1"/>
    <x v="8"/>
    <b v="0"/>
    <s v="Working"/>
    <n v="2"/>
    <x v="2"/>
    <n v="1"/>
    <n v="0.24"/>
    <x v="0"/>
    <n v="0.2273"/>
    <x v="55"/>
    <x v="2"/>
    <x v="4"/>
    <x v="1"/>
    <x v="50"/>
    <x v="95"/>
  </r>
  <r>
    <n v="570"/>
    <x v="27"/>
    <n v="1"/>
    <n v="1"/>
    <x v="9"/>
    <b v="0"/>
    <s v="Working"/>
    <n v="2"/>
    <x v="2"/>
    <n v="1"/>
    <n v="0.22"/>
    <x v="0"/>
    <n v="0.2273"/>
    <x v="27"/>
    <x v="2"/>
    <x v="6"/>
    <x v="8"/>
    <x v="49"/>
    <x v="13"/>
  </r>
  <r>
    <n v="571"/>
    <x v="27"/>
    <n v="1"/>
    <n v="1"/>
    <x v="17"/>
    <b v="0"/>
    <s v="Working"/>
    <n v="2"/>
    <x v="2"/>
    <n v="2"/>
    <n v="0.22"/>
    <x v="0"/>
    <n v="0.2273"/>
    <x v="27"/>
    <x v="2"/>
    <x v="6"/>
    <x v="0"/>
    <x v="76"/>
    <x v="53"/>
  </r>
  <r>
    <n v="572"/>
    <x v="9"/>
    <n v="1"/>
    <n v="1"/>
    <x v="10"/>
    <b v="0"/>
    <s v="Working"/>
    <n v="3"/>
    <x v="3"/>
    <n v="2"/>
    <n v="0.22"/>
    <x v="0"/>
    <n v="0.2273"/>
    <x v="28"/>
    <x v="2"/>
    <x v="9"/>
    <x v="0"/>
    <x v="106"/>
    <x v="10"/>
  </r>
  <r>
    <n v="573"/>
    <x v="9"/>
    <n v="1"/>
    <n v="1"/>
    <x v="0"/>
    <b v="0"/>
    <s v="Working"/>
    <n v="3"/>
    <x v="3"/>
    <n v="2"/>
    <n v="0.24"/>
    <x v="0"/>
    <n v="0.2424"/>
    <x v="55"/>
    <x v="2"/>
    <x v="9"/>
    <x v="12"/>
    <x v="26"/>
    <x v="25"/>
  </r>
  <r>
    <n v="574"/>
    <x v="9"/>
    <n v="1"/>
    <n v="1"/>
    <x v="1"/>
    <b v="0"/>
    <s v="Working"/>
    <n v="3"/>
    <x v="3"/>
    <n v="3"/>
    <n v="0.22"/>
    <x v="0"/>
    <n v="0.2273"/>
    <x v="28"/>
    <x v="2"/>
    <x v="4"/>
    <x v="0"/>
    <x v="23"/>
    <x v="115"/>
  </r>
  <r>
    <n v="588"/>
    <x v="11"/>
    <n v="1"/>
    <n v="1"/>
    <x v="4"/>
    <b v="0"/>
    <s v="Working"/>
    <n v="4"/>
    <x v="6"/>
    <n v="1"/>
    <n v="0.22"/>
    <x v="0"/>
    <n v="0.2273"/>
    <x v="29"/>
    <x v="2"/>
    <x v="4"/>
    <x v="2"/>
    <x v="140"/>
    <x v="121"/>
  </r>
  <r>
    <n v="589"/>
    <x v="11"/>
    <n v="1"/>
    <n v="1"/>
    <x v="16"/>
    <b v="0"/>
    <s v="Working"/>
    <n v="4"/>
    <x v="6"/>
    <n v="1"/>
    <n v="0.22"/>
    <x v="0"/>
    <n v="0.2424"/>
    <x v="29"/>
    <x v="2"/>
    <x v="7"/>
    <x v="9"/>
    <x v="93"/>
    <x v="59"/>
  </r>
  <r>
    <n v="590"/>
    <x v="11"/>
    <n v="1"/>
    <n v="1"/>
    <x v="5"/>
    <b v="0"/>
    <s v="Working"/>
    <n v="4"/>
    <x v="6"/>
    <n v="1"/>
    <n v="0.2"/>
    <x v="0"/>
    <n v="0.2273"/>
    <x v="28"/>
    <x v="2"/>
    <x v="8"/>
    <x v="0"/>
    <x v="143"/>
    <x v="138"/>
  </r>
  <r>
    <n v="591"/>
    <x v="11"/>
    <n v="1"/>
    <n v="1"/>
    <x v="6"/>
    <b v="0"/>
    <s v="Working"/>
    <n v="4"/>
    <x v="6"/>
    <n v="1"/>
    <n v="0.2"/>
    <x v="0"/>
    <n v="0.2273"/>
    <x v="28"/>
    <x v="2"/>
    <x v="8"/>
    <x v="0"/>
    <x v="101"/>
    <x v="86"/>
  </r>
  <r>
    <n v="592"/>
    <x v="11"/>
    <n v="1"/>
    <n v="1"/>
    <x v="7"/>
    <b v="0"/>
    <s v="Working"/>
    <n v="4"/>
    <x v="6"/>
    <n v="1"/>
    <n v="0.18"/>
    <x v="0"/>
    <n v="0.21210000000000001"/>
    <x v="33"/>
    <x v="2"/>
    <x v="8"/>
    <x v="8"/>
    <x v="13"/>
    <x v="96"/>
  </r>
  <r>
    <n v="593"/>
    <x v="11"/>
    <n v="1"/>
    <n v="1"/>
    <x v="8"/>
    <b v="0"/>
    <s v="Working"/>
    <n v="4"/>
    <x v="6"/>
    <n v="1"/>
    <n v="0.18"/>
    <x v="0"/>
    <n v="0.21210000000000001"/>
    <x v="33"/>
    <x v="2"/>
    <x v="8"/>
    <x v="9"/>
    <x v="44"/>
    <x v="57"/>
  </r>
  <r>
    <n v="594"/>
    <x v="11"/>
    <n v="1"/>
    <n v="1"/>
    <x v="9"/>
    <b v="0"/>
    <s v="Working"/>
    <n v="4"/>
    <x v="6"/>
    <n v="1"/>
    <n v="0.18"/>
    <x v="0"/>
    <n v="0.21210000000000001"/>
    <x v="33"/>
    <x v="2"/>
    <x v="8"/>
    <x v="12"/>
    <x v="1"/>
    <x v="54"/>
  </r>
  <r>
    <n v="596"/>
    <x v="10"/>
    <n v="1"/>
    <n v="1"/>
    <x v="10"/>
    <b v="0"/>
    <s v="Working"/>
    <n v="5"/>
    <x v="5"/>
    <n v="2"/>
    <n v="0.2"/>
    <x v="0"/>
    <n v="0.21210000000000001"/>
    <x v="10"/>
    <x v="2"/>
    <x v="9"/>
    <x v="12"/>
    <x v="64"/>
    <x v="11"/>
  </r>
  <r>
    <n v="597"/>
    <x v="10"/>
    <n v="1"/>
    <n v="1"/>
    <x v="0"/>
    <b v="0"/>
    <s v="Working"/>
    <n v="5"/>
    <x v="5"/>
    <n v="2"/>
    <n v="0.2"/>
    <x v="0"/>
    <n v="0.21210000000000001"/>
    <x v="10"/>
    <x v="2"/>
    <x v="9"/>
    <x v="2"/>
    <x v="2"/>
    <x v="2"/>
  </r>
  <r>
    <n v="598"/>
    <x v="10"/>
    <n v="1"/>
    <n v="1"/>
    <x v="1"/>
    <b v="0"/>
    <s v="Working"/>
    <n v="5"/>
    <x v="5"/>
    <n v="2"/>
    <n v="0.2"/>
    <x v="0"/>
    <n v="0.21210000000000001"/>
    <x v="10"/>
    <x v="2"/>
    <x v="6"/>
    <x v="12"/>
    <x v="2"/>
    <x v="34"/>
  </r>
  <r>
    <n v="599"/>
    <x v="10"/>
    <n v="1"/>
    <n v="1"/>
    <x v="11"/>
    <b v="0"/>
    <s v="Working"/>
    <n v="5"/>
    <x v="5"/>
    <n v="2"/>
    <n v="0.2"/>
    <x v="0"/>
    <n v="0.2273"/>
    <x v="10"/>
    <x v="2"/>
    <x v="7"/>
    <x v="2"/>
    <x v="51"/>
    <x v="24"/>
  </r>
  <r>
    <n v="614"/>
    <x v="0"/>
    <n v="1"/>
    <n v="1"/>
    <x v="11"/>
    <b v="0"/>
    <s v="Working"/>
    <n v="6"/>
    <x v="0"/>
    <n v="1"/>
    <n v="0.24"/>
    <x v="0"/>
    <n v="0.28789999999999999"/>
    <x v="10"/>
    <x v="2"/>
    <x v="0"/>
    <x v="0"/>
    <x v="57"/>
    <x v="26"/>
  </r>
  <r>
    <n v="615"/>
    <x v="0"/>
    <n v="1"/>
    <n v="1"/>
    <x v="22"/>
    <b v="0"/>
    <s v="Working"/>
    <n v="6"/>
    <x v="0"/>
    <n v="1"/>
    <n v="0.24"/>
    <x v="0"/>
    <n v="0.28789999999999999"/>
    <x v="10"/>
    <x v="2"/>
    <x v="0"/>
    <x v="12"/>
    <x v="25"/>
    <x v="24"/>
  </r>
  <r>
    <n v="616"/>
    <x v="0"/>
    <n v="1"/>
    <n v="1"/>
    <x v="18"/>
    <b v="0"/>
    <s v="Working"/>
    <n v="6"/>
    <x v="0"/>
    <n v="2"/>
    <n v="0.24"/>
    <x v="0"/>
    <n v="0.2576"/>
    <x v="10"/>
    <x v="2"/>
    <x v="8"/>
    <x v="12"/>
    <x v="25"/>
    <x v="24"/>
  </r>
  <r>
    <n v="620"/>
    <x v="0"/>
    <n v="1"/>
    <n v="1"/>
    <x v="15"/>
    <b v="0"/>
    <s v="Working"/>
    <n v="6"/>
    <x v="0"/>
    <n v="1"/>
    <n v="0.32"/>
    <x v="1"/>
    <n v="0.34849999999999998"/>
    <x v="11"/>
    <x v="2"/>
    <x v="0"/>
    <x v="13"/>
    <x v="24"/>
    <x v="58"/>
  </r>
  <r>
    <n v="621"/>
    <x v="0"/>
    <n v="1"/>
    <n v="1"/>
    <x v="12"/>
    <b v="0"/>
    <s v="Working"/>
    <n v="6"/>
    <x v="0"/>
    <n v="1"/>
    <n v="0.38"/>
    <x v="1"/>
    <n v="0.39389999999999997"/>
    <x v="11"/>
    <x v="2"/>
    <x v="3"/>
    <x v="14"/>
    <x v="54"/>
    <x v="7"/>
  </r>
  <r>
    <n v="623"/>
    <x v="0"/>
    <n v="1"/>
    <n v="1"/>
    <x v="20"/>
    <b v="0"/>
    <s v="Working"/>
    <n v="6"/>
    <x v="0"/>
    <n v="1"/>
    <n v="0.42"/>
    <x v="1"/>
    <n v="0.42420000000000002"/>
    <x v="12"/>
    <x v="2"/>
    <x v="1"/>
    <x v="15"/>
    <x v="13"/>
    <x v="59"/>
  </r>
  <r>
    <n v="624"/>
    <x v="0"/>
    <n v="1"/>
    <n v="1"/>
    <x v="21"/>
    <b v="0"/>
    <s v="Working"/>
    <n v="6"/>
    <x v="0"/>
    <n v="2"/>
    <n v="0.46"/>
    <x v="1"/>
    <n v="0.45450000000000002"/>
    <x v="13"/>
    <x v="2"/>
    <x v="2"/>
    <x v="16"/>
    <x v="38"/>
    <x v="60"/>
  </r>
  <r>
    <n v="625"/>
    <x v="0"/>
    <n v="1"/>
    <n v="1"/>
    <x v="23"/>
    <b v="0"/>
    <s v="Working"/>
    <n v="6"/>
    <x v="0"/>
    <n v="2"/>
    <n v="0.46"/>
    <x v="1"/>
    <n v="0.45450000000000002"/>
    <x v="13"/>
    <x v="2"/>
    <x v="1"/>
    <x v="17"/>
    <x v="58"/>
    <x v="61"/>
  </r>
  <r>
    <n v="626"/>
    <x v="0"/>
    <n v="1"/>
    <n v="1"/>
    <x v="13"/>
    <b v="0"/>
    <s v="Working"/>
    <n v="6"/>
    <x v="0"/>
    <n v="2"/>
    <n v="0.44"/>
    <x v="1"/>
    <n v="0.43940000000000001"/>
    <x v="12"/>
    <x v="2"/>
    <x v="2"/>
    <x v="18"/>
    <x v="59"/>
    <x v="62"/>
  </r>
  <r>
    <n v="640"/>
    <x v="1"/>
    <n v="1"/>
    <n v="1"/>
    <x v="19"/>
    <b v="0"/>
    <s v="Working"/>
    <n v="0"/>
    <x v="1"/>
    <n v="3"/>
    <n v="0.42"/>
    <x v="1"/>
    <n v="0.42420000000000002"/>
    <x v="12"/>
    <x v="2"/>
    <x v="2"/>
    <x v="12"/>
    <x v="2"/>
    <x v="34"/>
  </r>
  <r>
    <n v="641"/>
    <x v="1"/>
    <n v="1"/>
    <n v="1"/>
    <x v="2"/>
    <b v="0"/>
    <s v="Working"/>
    <n v="0"/>
    <x v="1"/>
    <n v="2"/>
    <n v="0.4"/>
    <x v="1"/>
    <n v="0.40910000000000002"/>
    <x v="11"/>
    <x v="2"/>
    <x v="4"/>
    <x v="12"/>
    <x v="25"/>
    <x v="24"/>
  </r>
  <r>
    <n v="642"/>
    <x v="1"/>
    <n v="1"/>
    <n v="1"/>
    <x v="14"/>
    <b v="0"/>
    <s v="Working"/>
    <n v="0"/>
    <x v="1"/>
    <n v="3"/>
    <n v="0.4"/>
    <x v="1"/>
    <n v="0.40910000000000002"/>
    <x v="14"/>
    <x v="2"/>
    <x v="5"/>
    <x v="12"/>
    <x v="10"/>
    <x v="41"/>
  </r>
  <r>
    <n v="645"/>
    <x v="1"/>
    <n v="1"/>
    <n v="1"/>
    <x v="3"/>
    <b v="0"/>
    <s v="Working"/>
    <n v="0"/>
    <x v="1"/>
    <n v="2"/>
    <n v="0.36"/>
    <x v="1"/>
    <n v="0.33329999999999999"/>
    <x v="14"/>
    <x v="2"/>
    <x v="3"/>
    <x v="19"/>
    <x v="60"/>
    <x v="40"/>
  </r>
  <r>
    <n v="646"/>
    <x v="1"/>
    <n v="1"/>
    <n v="1"/>
    <x v="20"/>
    <b v="0"/>
    <s v="Working"/>
    <n v="0"/>
    <x v="1"/>
    <n v="2"/>
    <n v="0.36"/>
    <x v="1"/>
    <n v="0.33329999999999999"/>
    <x v="15"/>
    <x v="2"/>
    <x v="2"/>
    <x v="20"/>
    <x v="61"/>
    <x v="4"/>
  </r>
  <r>
    <n v="647"/>
    <x v="1"/>
    <n v="1"/>
    <n v="1"/>
    <x v="21"/>
    <b v="0"/>
    <s v="Working"/>
    <n v="0"/>
    <x v="1"/>
    <n v="2"/>
    <n v="0.36"/>
    <x v="1"/>
    <n v="0.34849999999999998"/>
    <x v="15"/>
    <x v="2"/>
    <x v="9"/>
    <x v="7"/>
    <x v="62"/>
    <x v="63"/>
  </r>
  <r>
    <n v="650"/>
    <x v="1"/>
    <n v="1"/>
    <n v="1"/>
    <x v="4"/>
    <b v="0"/>
    <s v="Working"/>
    <n v="0"/>
    <x v="1"/>
    <n v="3"/>
    <n v="0.34"/>
    <x v="1"/>
    <n v="0.33329999999999999"/>
    <x v="14"/>
    <x v="2"/>
    <x v="6"/>
    <x v="5"/>
    <x v="63"/>
    <x v="17"/>
  </r>
  <r>
    <n v="651"/>
    <x v="1"/>
    <n v="1"/>
    <n v="1"/>
    <x v="16"/>
    <b v="0"/>
    <s v="Working"/>
    <n v="0"/>
    <x v="1"/>
    <n v="1"/>
    <n v="0.34"/>
    <x v="1"/>
    <n v="0.33329999999999999"/>
    <x v="16"/>
    <x v="2"/>
    <x v="4"/>
    <x v="10"/>
    <x v="46"/>
    <x v="64"/>
  </r>
  <r>
    <n v="652"/>
    <x v="1"/>
    <n v="1"/>
    <n v="1"/>
    <x v="5"/>
    <b v="0"/>
    <s v="Working"/>
    <n v="0"/>
    <x v="1"/>
    <n v="2"/>
    <n v="0.36"/>
    <x v="1"/>
    <n v="0.33329999999999999"/>
    <x v="17"/>
    <x v="2"/>
    <x v="10"/>
    <x v="21"/>
    <x v="43"/>
    <x v="13"/>
  </r>
  <r>
    <n v="653"/>
    <x v="1"/>
    <n v="1"/>
    <n v="1"/>
    <x v="6"/>
    <b v="0"/>
    <s v="Working"/>
    <n v="0"/>
    <x v="1"/>
    <n v="1"/>
    <n v="0.32"/>
    <x v="1"/>
    <n v="0.28789999999999999"/>
    <x v="18"/>
    <x v="2"/>
    <x v="13"/>
    <x v="2"/>
    <x v="40"/>
    <x v="42"/>
  </r>
  <r>
    <n v="655"/>
    <x v="1"/>
    <n v="1"/>
    <n v="1"/>
    <x v="8"/>
    <b v="0"/>
    <s v="Working"/>
    <n v="0"/>
    <x v="1"/>
    <n v="1"/>
    <n v="0.26"/>
    <x v="1"/>
    <n v="0.2273"/>
    <x v="19"/>
    <x v="2"/>
    <x v="10"/>
    <x v="7"/>
    <x v="15"/>
    <x v="52"/>
  </r>
  <r>
    <n v="656"/>
    <x v="1"/>
    <n v="1"/>
    <n v="1"/>
    <x v="9"/>
    <b v="0"/>
    <s v="Working"/>
    <n v="0"/>
    <x v="1"/>
    <n v="1"/>
    <n v="0.24"/>
    <x v="0"/>
    <n v="0.21210000000000001"/>
    <x v="19"/>
    <x v="2"/>
    <x v="2"/>
    <x v="12"/>
    <x v="64"/>
    <x v="11"/>
  </r>
  <r>
    <n v="657"/>
    <x v="1"/>
    <n v="1"/>
    <n v="1"/>
    <x v="17"/>
    <b v="0"/>
    <s v="Working"/>
    <n v="0"/>
    <x v="1"/>
    <n v="1"/>
    <n v="0.22"/>
    <x v="0"/>
    <n v="0.2273"/>
    <x v="20"/>
    <x v="2"/>
    <x v="6"/>
    <x v="12"/>
    <x v="10"/>
    <x v="41"/>
  </r>
  <r>
    <n v="658"/>
    <x v="12"/>
    <n v="1"/>
    <n v="1"/>
    <x v="10"/>
    <b v="0"/>
    <s v="Working"/>
    <n v="1"/>
    <x v="4"/>
    <n v="1"/>
    <n v="0.22"/>
    <x v="0"/>
    <n v="0.19700000000000001"/>
    <x v="19"/>
    <x v="2"/>
    <x v="11"/>
    <x v="12"/>
    <x v="26"/>
    <x v="25"/>
  </r>
  <r>
    <n v="660"/>
    <x v="12"/>
    <n v="1"/>
    <n v="1"/>
    <x v="22"/>
    <b v="0"/>
    <s v="Working"/>
    <n v="1"/>
    <x v="4"/>
    <n v="1"/>
    <n v="0.16"/>
    <x v="0"/>
    <n v="0.13639999999999999"/>
    <x v="20"/>
    <x v="2"/>
    <x v="14"/>
    <x v="12"/>
    <x v="25"/>
    <x v="24"/>
  </r>
  <r>
    <n v="661"/>
    <x v="12"/>
    <n v="1"/>
    <n v="1"/>
    <x v="18"/>
    <b v="0"/>
    <s v="Working"/>
    <n v="1"/>
    <x v="4"/>
    <n v="1"/>
    <n v="0.16"/>
    <x v="0"/>
    <n v="0.13639999999999999"/>
    <x v="20"/>
    <x v="2"/>
    <x v="1"/>
    <x v="12"/>
    <x v="27"/>
    <x v="2"/>
  </r>
  <r>
    <n v="662"/>
    <x v="12"/>
    <n v="1"/>
    <n v="1"/>
    <x v="19"/>
    <b v="0"/>
    <s v="Working"/>
    <n v="1"/>
    <x v="4"/>
    <n v="1"/>
    <n v="0.14000000000000001"/>
    <x v="0"/>
    <n v="0.1061"/>
    <x v="21"/>
    <x v="2"/>
    <x v="14"/>
    <x v="12"/>
    <x v="3"/>
    <x v="42"/>
  </r>
  <r>
    <n v="663"/>
    <x v="12"/>
    <n v="1"/>
    <n v="1"/>
    <x v="2"/>
    <b v="0"/>
    <s v="Working"/>
    <n v="1"/>
    <x v="4"/>
    <n v="1"/>
    <n v="0.14000000000000001"/>
    <x v="0"/>
    <n v="0.13639999999999999"/>
    <x v="21"/>
    <x v="2"/>
    <x v="4"/>
    <x v="2"/>
    <x v="65"/>
    <x v="65"/>
  </r>
  <r>
    <n v="664"/>
    <x v="12"/>
    <n v="1"/>
    <n v="1"/>
    <x v="14"/>
    <b v="0"/>
    <s v="Working"/>
    <n v="1"/>
    <x v="4"/>
    <n v="1"/>
    <n v="0.14000000000000001"/>
    <x v="0"/>
    <n v="0.1212"/>
    <x v="21"/>
    <x v="2"/>
    <x v="1"/>
    <x v="2"/>
    <x v="66"/>
    <x v="66"/>
  </r>
  <r>
    <n v="665"/>
    <x v="12"/>
    <n v="1"/>
    <n v="1"/>
    <x v="15"/>
    <b v="0"/>
    <s v="Working"/>
    <n v="1"/>
    <x v="4"/>
    <n v="1"/>
    <n v="0.16"/>
    <x v="0"/>
    <n v="0.13639999999999999"/>
    <x v="22"/>
    <x v="2"/>
    <x v="14"/>
    <x v="10"/>
    <x v="67"/>
    <x v="67"/>
  </r>
  <r>
    <n v="666"/>
    <x v="12"/>
    <n v="1"/>
    <n v="1"/>
    <x v="12"/>
    <b v="0"/>
    <s v="Working"/>
    <n v="1"/>
    <x v="4"/>
    <n v="1"/>
    <n v="0.18"/>
    <x v="0"/>
    <n v="0.16669999999999999"/>
    <x v="22"/>
    <x v="2"/>
    <x v="3"/>
    <x v="7"/>
    <x v="33"/>
    <x v="68"/>
  </r>
  <r>
    <n v="667"/>
    <x v="12"/>
    <n v="1"/>
    <n v="1"/>
    <x v="3"/>
    <b v="0"/>
    <s v="Working"/>
    <n v="1"/>
    <x v="4"/>
    <n v="1"/>
    <n v="0.2"/>
    <x v="0"/>
    <n v="0.18179999999999999"/>
    <x v="23"/>
    <x v="2"/>
    <x v="10"/>
    <x v="21"/>
    <x v="32"/>
    <x v="20"/>
  </r>
  <r>
    <n v="668"/>
    <x v="12"/>
    <n v="1"/>
    <n v="1"/>
    <x v="20"/>
    <b v="0"/>
    <s v="Working"/>
    <n v="1"/>
    <x v="4"/>
    <n v="1"/>
    <n v="0.22"/>
    <x v="0"/>
    <n v="0.21210000000000001"/>
    <x v="24"/>
    <x v="2"/>
    <x v="2"/>
    <x v="22"/>
    <x v="68"/>
    <x v="29"/>
  </r>
  <r>
    <n v="670"/>
    <x v="12"/>
    <n v="1"/>
    <n v="1"/>
    <x v="23"/>
    <b v="0"/>
    <s v="Working"/>
    <n v="1"/>
    <x v="4"/>
    <n v="1"/>
    <n v="0.26"/>
    <x v="1"/>
    <n v="0.2424"/>
    <x v="25"/>
    <x v="2"/>
    <x v="1"/>
    <x v="7"/>
    <x v="69"/>
    <x v="69"/>
  </r>
  <r>
    <n v="671"/>
    <x v="12"/>
    <n v="1"/>
    <n v="1"/>
    <x v="13"/>
    <b v="0"/>
    <s v="Working"/>
    <n v="1"/>
    <x v="4"/>
    <n v="1"/>
    <n v="0.26"/>
    <x v="1"/>
    <n v="0.2424"/>
    <x v="25"/>
    <x v="2"/>
    <x v="3"/>
    <x v="23"/>
    <x v="46"/>
    <x v="43"/>
  </r>
  <r>
    <n v="672"/>
    <x v="12"/>
    <n v="1"/>
    <n v="1"/>
    <x v="4"/>
    <b v="0"/>
    <s v="Working"/>
    <n v="1"/>
    <x v="4"/>
    <n v="1"/>
    <n v="0.26"/>
    <x v="1"/>
    <n v="0.2424"/>
    <x v="25"/>
    <x v="2"/>
    <x v="3"/>
    <x v="5"/>
    <x v="63"/>
    <x v="17"/>
  </r>
  <r>
    <n v="673"/>
    <x v="12"/>
    <n v="1"/>
    <n v="1"/>
    <x v="16"/>
    <b v="0"/>
    <s v="Working"/>
    <n v="1"/>
    <x v="4"/>
    <n v="1"/>
    <n v="0.24"/>
    <x v="0"/>
    <n v="0.2273"/>
    <x v="25"/>
    <x v="2"/>
    <x v="5"/>
    <x v="7"/>
    <x v="70"/>
    <x v="49"/>
  </r>
  <r>
    <n v="674"/>
    <x v="12"/>
    <n v="1"/>
    <n v="1"/>
    <x v="5"/>
    <b v="0"/>
    <s v="Working"/>
    <n v="1"/>
    <x v="4"/>
    <n v="1"/>
    <n v="0.24"/>
    <x v="0"/>
    <n v="0.2576"/>
    <x v="26"/>
    <x v="2"/>
    <x v="7"/>
    <x v="5"/>
    <x v="71"/>
    <x v="49"/>
  </r>
  <r>
    <n v="675"/>
    <x v="12"/>
    <n v="1"/>
    <n v="1"/>
    <x v="6"/>
    <b v="0"/>
    <s v="Working"/>
    <n v="1"/>
    <x v="4"/>
    <n v="1"/>
    <n v="0.2"/>
    <x v="0"/>
    <n v="0.2576"/>
    <x v="20"/>
    <x v="2"/>
    <x v="0"/>
    <x v="13"/>
    <x v="72"/>
    <x v="62"/>
  </r>
  <r>
    <n v="677"/>
    <x v="12"/>
    <n v="1"/>
    <n v="1"/>
    <x v="8"/>
    <b v="0"/>
    <s v="Working"/>
    <n v="1"/>
    <x v="4"/>
    <n v="1"/>
    <n v="0.18"/>
    <x v="0"/>
    <n v="0.19700000000000001"/>
    <x v="27"/>
    <x v="2"/>
    <x v="9"/>
    <x v="0"/>
    <x v="49"/>
    <x v="39"/>
  </r>
  <r>
    <n v="678"/>
    <x v="12"/>
    <n v="1"/>
    <n v="1"/>
    <x v="9"/>
    <b v="0"/>
    <s v="Working"/>
    <n v="1"/>
    <x v="4"/>
    <n v="1"/>
    <n v="0.14000000000000001"/>
    <x v="0"/>
    <n v="0.1515"/>
    <x v="28"/>
    <x v="2"/>
    <x v="9"/>
    <x v="12"/>
    <x v="15"/>
    <x v="16"/>
  </r>
  <r>
    <n v="679"/>
    <x v="12"/>
    <n v="1"/>
    <n v="1"/>
    <x v="17"/>
    <b v="0"/>
    <s v="Working"/>
    <n v="1"/>
    <x v="4"/>
    <n v="1"/>
    <n v="0.18"/>
    <x v="0"/>
    <n v="0.21210000000000001"/>
    <x v="29"/>
    <x v="2"/>
    <x v="7"/>
    <x v="2"/>
    <x v="73"/>
    <x v="70"/>
  </r>
  <r>
    <n v="681"/>
    <x v="13"/>
    <n v="1"/>
    <n v="1"/>
    <x v="0"/>
    <b v="0"/>
    <s v="Working"/>
    <n v="2"/>
    <x v="2"/>
    <n v="1"/>
    <n v="0.16"/>
    <x v="0"/>
    <n v="0.18179999999999999"/>
    <x v="30"/>
    <x v="2"/>
    <x v="7"/>
    <x v="12"/>
    <x v="2"/>
    <x v="34"/>
  </r>
  <r>
    <n v="682"/>
    <x v="13"/>
    <n v="1"/>
    <n v="1"/>
    <x v="1"/>
    <b v="0"/>
    <s v="Working"/>
    <n v="2"/>
    <x v="2"/>
    <n v="1"/>
    <n v="0.14000000000000001"/>
    <x v="0"/>
    <n v="0.1515"/>
    <x v="31"/>
    <x v="2"/>
    <x v="9"/>
    <x v="12"/>
    <x v="25"/>
    <x v="24"/>
  </r>
  <r>
    <n v="683"/>
    <x v="13"/>
    <n v="1"/>
    <n v="1"/>
    <x v="22"/>
    <b v="0"/>
    <s v="Working"/>
    <n v="2"/>
    <x v="2"/>
    <n v="1"/>
    <n v="0.14000000000000001"/>
    <x v="0"/>
    <n v="0.18179999999999999"/>
    <x v="31"/>
    <x v="2"/>
    <x v="8"/>
    <x v="12"/>
    <x v="2"/>
    <x v="34"/>
  </r>
  <r>
    <n v="684"/>
    <x v="13"/>
    <n v="1"/>
    <n v="1"/>
    <x v="18"/>
    <b v="0"/>
    <s v="Working"/>
    <n v="2"/>
    <x v="2"/>
    <n v="1"/>
    <n v="0.12"/>
    <x v="0"/>
    <n v="0.1515"/>
    <x v="32"/>
    <x v="2"/>
    <x v="7"/>
    <x v="12"/>
    <x v="11"/>
    <x v="27"/>
  </r>
  <r>
    <n v="685"/>
    <x v="13"/>
    <n v="1"/>
    <n v="1"/>
    <x v="19"/>
    <b v="0"/>
    <s v="Working"/>
    <n v="2"/>
    <x v="2"/>
    <n v="1"/>
    <n v="0.12"/>
    <x v="0"/>
    <n v="0.1515"/>
    <x v="33"/>
    <x v="2"/>
    <x v="7"/>
    <x v="12"/>
    <x v="44"/>
    <x v="7"/>
  </r>
  <r>
    <n v="686"/>
    <x v="13"/>
    <n v="1"/>
    <n v="1"/>
    <x v="2"/>
    <b v="0"/>
    <s v="Working"/>
    <n v="2"/>
    <x v="2"/>
    <n v="1"/>
    <n v="0.12"/>
    <x v="0"/>
    <n v="0.1515"/>
    <x v="33"/>
    <x v="2"/>
    <x v="9"/>
    <x v="9"/>
    <x v="74"/>
    <x v="60"/>
  </r>
  <r>
    <n v="687"/>
    <x v="13"/>
    <n v="1"/>
    <n v="1"/>
    <x v="14"/>
    <b v="0"/>
    <s v="Working"/>
    <n v="2"/>
    <x v="2"/>
    <n v="1"/>
    <n v="0.14000000000000001"/>
    <x v="0"/>
    <n v="0.1515"/>
    <x v="28"/>
    <x v="2"/>
    <x v="6"/>
    <x v="9"/>
    <x v="75"/>
    <x v="71"/>
  </r>
  <r>
    <n v="688"/>
    <x v="13"/>
    <n v="1"/>
    <n v="1"/>
    <x v="15"/>
    <b v="0"/>
    <s v="Working"/>
    <n v="2"/>
    <x v="2"/>
    <n v="1"/>
    <n v="0.16"/>
    <x v="0"/>
    <n v="0.1515"/>
    <x v="27"/>
    <x v="2"/>
    <x v="5"/>
    <x v="9"/>
    <x v="56"/>
    <x v="72"/>
  </r>
  <r>
    <n v="689"/>
    <x v="13"/>
    <n v="1"/>
    <n v="1"/>
    <x v="12"/>
    <b v="0"/>
    <s v="Working"/>
    <n v="2"/>
    <x v="2"/>
    <n v="2"/>
    <n v="0.16"/>
    <x v="0"/>
    <n v="0.13639999999999999"/>
    <x v="28"/>
    <x v="2"/>
    <x v="10"/>
    <x v="1"/>
    <x v="76"/>
    <x v="73"/>
  </r>
  <r>
    <n v="690"/>
    <x v="13"/>
    <n v="1"/>
    <n v="1"/>
    <x v="3"/>
    <b v="0"/>
    <s v="Working"/>
    <n v="2"/>
    <x v="2"/>
    <n v="1"/>
    <n v="0.22"/>
    <x v="0"/>
    <n v="0.21210000000000001"/>
    <x v="34"/>
    <x v="2"/>
    <x v="2"/>
    <x v="10"/>
    <x v="77"/>
    <x v="74"/>
  </r>
  <r>
    <n v="691"/>
    <x v="13"/>
    <n v="1"/>
    <n v="1"/>
    <x v="20"/>
    <b v="0"/>
    <s v="Working"/>
    <n v="2"/>
    <x v="2"/>
    <n v="1"/>
    <n v="0.22"/>
    <x v="0"/>
    <n v="0.2273"/>
    <x v="34"/>
    <x v="2"/>
    <x v="6"/>
    <x v="14"/>
    <x v="69"/>
    <x v="75"/>
  </r>
  <r>
    <n v="692"/>
    <x v="13"/>
    <n v="1"/>
    <n v="1"/>
    <x v="21"/>
    <b v="0"/>
    <s v="Working"/>
    <n v="2"/>
    <x v="2"/>
    <n v="1"/>
    <n v="0.24"/>
    <x v="0"/>
    <n v="0.2273"/>
    <x v="35"/>
    <x v="2"/>
    <x v="4"/>
    <x v="24"/>
    <x v="78"/>
    <x v="76"/>
  </r>
  <r>
    <n v="693"/>
    <x v="13"/>
    <n v="1"/>
    <n v="1"/>
    <x v="23"/>
    <b v="0"/>
    <s v="Working"/>
    <n v="2"/>
    <x v="2"/>
    <n v="1"/>
    <n v="0.26"/>
    <x v="1"/>
    <n v="0.2576"/>
    <x v="36"/>
    <x v="2"/>
    <x v="5"/>
    <x v="5"/>
    <x v="60"/>
    <x v="77"/>
  </r>
  <r>
    <n v="694"/>
    <x v="13"/>
    <n v="1"/>
    <n v="1"/>
    <x v="13"/>
    <b v="0"/>
    <s v="Working"/>
    <n v="2"/>
    <x v="2"/>
    <n v="1"/>
    <n v="0.28000000000000003"/>
    <x v="1"/>
    <n v="0.2727"/>
    <x v="36"/>
    <x v="2"/>
    <x v="3"/>
    <x v="25"/>
    <x v="68"/>
    <x v="64"/>
  </r>
  <r>
    <n v="695"/>
    <x v="13"/>
    <n v="1"/>
    <n v="1"/>
    <x v="4"/>
    <b v="0"/>
    <s v="Working"/>
    <n v="2"/>
    <x v="2"/>
    <n v="1"/>
    <n v="0.3"/>
    <x v="1"/>
    <n v="0.28789999999999999"/>
    <x v="37"/>
    <x v="2"/>
    <x v="3"/>
    <x v="26"/>
    <x v="79"/>
    <x v="31"/>
  </r>
  <r>
    <n v="696"/>
    <x v="13"/>
    <n v="1"/>
    <n v="1"/>
    <x v="16"/>
    <b v="0"/>
    <s v="Working"/>
    <n v="2"/>
    <x v="2"/>
    <n v="1"/>
    <n v="0.28000000000000003"/>
    <x v="1"/>
    <n v="0.2727"/>
    <x v="38"/>
    <x v="2"/>
    <x v="5"/>
    <x v="21"/>
    <x v="80"/>
    <x v="78"/>
  </r>
  <r>
    <n v="697"/>
    <x v="13"/>
    <n v="1"/>
    <n v="1"/>
    <x v="5"/>
    <b v="0"/>
    <s v="Working"/>
    <n v="2"/>
    <x v="2"/>
    <n v="1"/>
    <n v="0.26"/>
    <x v="1"/>
    <n v="0.2576"/>
    <x v="38"/>
    <x v="2"/>
    <x v="4"/>
    <x v="0"/>
    <x v="81"/>
    <x v="79"/>
  </r>
  <r>
    <n v="698"/>
    <x v="13"/>
    <n v="1"/>
    <n v="1"/>
    <x v="6"/>
    <b v="0"/>
    <s v="Working"/>
    <n v="2"/>
    <x v="2"/>
    <n v="1"/>
    <n v="0.24"/>
    <x v="0"/>
    <n v="0.2576"/>
    <x v="38"/>
    <x v="2"/>
    <x v="7"/>
    <x v="9"/>
    <x v="82"/>
    <x v="80"/>
  </r>
  <r>
    <n v="699"/>
    <x v="13"/>
    <n v="1"/>
    <n v="1"/>
    <x v="7"/>
    <b v="0"/>
    <s v="Working"/>
    <n v="2"/>
    <x v="2"/>
    <n v="1"/>
    <n v="0.24"/>
    <x v="0"/>
    <n v="0.2576"/>
    <x v="38"/>
    <x v="2"/>
    <x v="7"/>
    <x v="2"/>
    <x v="83"/>
    <x v="81"/>
  </r>
  <r>
    <n v="700"/>
    <x v="13"/>
    <n v="1"/>
    <n v="1"/>
    <x v="8"/>
    <b v="0"/>
    <s v="Working"/>
    <n v="2"/>
    <x v="2"/>
    <n v="1"/>
    <n v="0.22"/>
    <x v="0"/>
    <n v="0.2727"/>
    <x v="27"/>
    <x v="2"/>
    <x v="0"/>
    <x v="12"/>
    <x v="68"/>
    <x v="45"/>
  </r>
  <r>
    <n v="701"/>
    <x v="13"/>
    <n v="1"/>
    <n v="1"/>
    <x v="9"/>
    <b v="0"/>
    <s v="Working"/>
    <n v="2"/>
    <x v="2"/>
    <n v="1"/>
    <n v="0.22"/>
    <x v="0"/>
    <n v="0.2576"/>
    <x v="27"/>
    <x v="2"/>
    <x v="8"/>
    <x v="2"/>
    <x v="84"/>
    <x v="5"/>
  </r>
  <r>
    <n v="702"/>
    <x v="13"/>
    <n v="1"/>
    <n v="1"/>
    <x v="17"/>
    <b v="0"/>
    <s v="Working"/>
    <n v="2"/>
    <x v="2"/>
    <n v="1"/>
    <n v="0.2"/>
    <x v="0"/>
    <n v="0.2273"/>
    <x v="28"/>
    <x v="2"/>
    <x v="8"/>
    <x v="9"/>
    <x v="64"/>
    <x v="82"/>
  </r>
  <r>
    <n v="703"/>
    <x v="14"/>
    <n v="1"/>
    <n v="1"/>
    <x v="10"/>
    <b v="0"/>
    <s v="Working"/>
    <n v="3"/>
    <x v="3"/>
    <n v="1"/>
    <n v="0.2"/>
    <x v="0"/>
    <n v="0.2576"/>
    <x v="27"/>
    <x v="2"/>
    <x v="0"/>
    <x v="12"/>
    <x v="24"/>
    <x v="12"/>
  </r>
  <r>
    <n v="704"/>
    <x v="14"/>
    <n v="1"/>
    <n v="1"/>
    <x v="0"/>
    <b v="0"/>
    <s v="Working"/>
    <n v="3"/>
    <x v="3"/>
    <n v="1"/>
    <n v="0.16"/>
    <x v="0"/>
    <n v="0.19700000000000001"/>
    <x v="33"/>
    <x v="2"/>
    <x v="8"/>
    <x v="12"/>
    <x v="24"/>
    <x v="12"/>
  </r>
  <r>
    <n v="705"/>
    <x v="14"/>
    <n v="1"/>
    <n v="1"/>
    <x v="1"/>
    <b v="0"/>
    <s v="Working"/>
    <n v="3"/>
    <x v="3"/>
    <n v="1"/>
    <n v="0.16"/>
    <x v="0"/>
    <n v="0.19700000000000001"/>
    <x v="33"/>
    <x v="2"/>
    <x v="8"/>
    <x v="12"/>
    <x v="2"/>
    <x v="34"/>
  </r>
  <r>
    <n v="706"/>
    <x v="14"/>
    <n v="1"/>
    <n v="1"/>
    <x v="22"/>
    <b v="0"/>
    <s v="Working"/>
    <n v="3"/>
    <x v="3"/>
    <n v="1"/>
    <n v="0.24"/>
    <x v="0"/>
    <n v="0.2273"/>
    <x v="38"/>
    <x v="2"/>
    <x v="5"/>
    <x v="12"/>
    <x v="2"/>
    <x v="34"/>
  </r>
  <r>
    <n v="707"/>
    <x v="14"/>
    <n v="1"/>
    <n v="1"/>
    <x v="18"/>
    <b v="0"/>
    <s v="Working"/>
    <n v="3"/>
    <x v="3"/>
    <n v="1"/>
    <n v="0.22"/>
    <x v="0"/>
    <n v="0.2273"/>
    <x v="20"/>
    <x v="2"/>
    <x v="6"/>
    <x v="12"/>
    <x v="27"/>
    <x v="2"/>
  </r>
  <r>
    <n v="708"/>
    <x v="14"/>
    <n v="1"/>
    <n v="1"/>
    <x v="19"/>
    <b v="0"/>
    <s v="Working"/>
    <n v="3"/>
    <x v="3"/>
    <n v="1"/>
    <n v="0.2"/>
    <x v="0"/>
    <n v="0.19700000000000001"/>
    <x v="20"/>
    <x v="2"/>
    <x v="5"/>
    <x v="12"/>
    <x v="33"/>
    <x v="33"/>
  </r>
  <r>
    <n v="709"/>
    <x v="14"/>
    <n v="1"/>
    <n v="1"/>
    <x v="2"/>
    <b v="0"/>
    <s v="Working"/>
    <n v="3"/>
    <x v="3"/>
    <n v="1"/>
    <n v="0.18"/>
    <x v="0"/>
    <n v="0.18179999999999999"/>
    <x v="22"/>
    <x v="2"/>
    <x v="4"/>
    <x v="2"/>
    <x v="85"/>
    <x v="67"/>
  </r>
  <r>
    <n v="710"/>
    <x v="14"/>
    <n v="1"/>
    <n v="1"/>
    <x v="14"/>
    <b v="0"/>
    <s v="Working"/>
    <n v="3"/>
    <x v="3"/>
    <n v="1"/>
    <n v="0.2"/>
    <x v="0"/>
    <n v="0.18179999999999999"/>
    <x v="23"/>
    <x v="2"/>
    <x v="2"/>
    <x v="0"/>
    <x v="86"/>
    <x v="83"/>
  </r>
  <r>
    <n v="711"/>
    <x v="14"/>
    <n v="1"/>
    <n v="1"/>
    <x v="15"/>
    <b v="0"/>
    <s v="Working"/>
    <n v="3"/>
    <x v="3"/>
    <n v="1"/>
    <n v="0.22"/>
    <x v="0"/>
    <n v="0.19700000000000001"/>
    <x v="39"/>
    <x v="2"/>
    <x v="10"/>
    <x v="6"/>
    <x v="87"/>
    <x v="84"/>
  </r>
  <r>
    <n v="712"/>
    <x v="14"/>
    <n v="1"/>
    <n v="1"/>
    <x v="12"/>
    <b v="0"/>
    <s v="Working"/>
    <n v="3"/>
    <x v="3"/>
    <n v="1"/>
    <n v="0.22"/>
    <x v="0"/>
    <n v="0.19700000000000001"/>
    <x v="39"/>
    <x v="2"/>
    <x v="10"/>
    <x v="8"/>
    <x v="83"/>
    <x v="74"/>
  </r>
  <r>
    <n v="713"/>
    <x v="14"/>
    <n v="1"/>
    <n v="1"/>
    <x v="3"/>
    <b v="0"/>
    <s v="Working"/>
    <n v="3"/>
    <x v="3"/>
    <n v="1"/>
    <n v="0.26"/>
    <x v="1"/>
    <n v="0.2273"/>
    <x v="40"/>
    <x v="2"/>
    <x v="10"/>
    <x v="14"/>
    <x v="84"/>
    <x v="85"/>
  </r>
  <r>
    <n v="714"/>
    <x v="14"/>
    <n v="1"/>
    <n v="1"/>
    <x v="20"/>
    <b v="0"/>
    <s v="Working"/>
    <n v="3"/>
    <x v="3"/>
    <n v="1"/>
    <n v="0.26"/>
    <x v="1"/>
    <n v="0.2273"/>
    <x v="40"/>
    <x v="2"/>
    <x v="10"/>
    <x v="1"/>
    <x v="88"/>
    <x v="86"/>
  </r>
  <r>
    <n v="715"/>
    <x v="14"/>
    <n v="1"/>
    <n v="1"/>
    <x v="21"/>
    <b v="0"/>
    <s v="Working"/>
    <n v="3"/>
    <x v="3"/>
    <n v="1"/>
    <n v="0.28000000000000003"/>
    <x v="1"/>
    <n v="0.2576"/>
    <x v="25"/>
    <x v="2"/>
    <x v="2"/>
    <x v="6"/>
    <x v="39"/>
    <x v="87"/>
  </r>
  <r>
    <n v="716"/>
    <x v="14"/>
    <n v="1"/>
    <n v="1"/>
    <x v="23"/>
    <b v="0"/>
    <s v="Working"/>
    <n v="3"/>
    <x v="3"/>
    <n v="1"/>
    <n v="0.3"/>
    <x v="1"/>
    <n v="0.28789999999999999"/>
    <x v="41"/>
    <x v="2"/>
    <x v="4"/>
    <x v="21"/>
    <x v="4"/>
    <x v="88"/>
  </r>
  <r>
    <n v="717"/>
    <x v="14"/>
    <n v="1"/>
    <n v="1"/>
    <x v="13"/>
    <b v="0"/>
    <s v="Working"/>
    <n v="3"/>
    <x v="3"/>
    <n v="1"/>
    <n v="0.3"/>
    <x v="1"/>
    <n v="0.28789999999999999"/>
    <x v="41"/>
    <x v="2"/>
    <x v="4"/>
    <x v="10"/>
    <x v="13"/>
    <x v="88"/>
  </r>
  <r>
    <n v="718"/>
    <x v="14"/>
    <n v="1"/>
    <n v="1"/>
    <x v="4"/>
    <b v="0"/>
    <s v="Working"/>
    <n v="3"/>
    <x v="3"/>
    <n v="1"/>
    <n v="0.3"/>
    <x v="1"/>
    <n v="0.31819999999999998"/>
    <x v="41"/>
    <x v="2"/>
    <x v="8"/>
    <x v="8"/>
    <x v="89"/>
    <x v="89"/>
  </r>
  <r>
    <n v="719"/>
    <x v="14"/>
    <n v="1"/>
    <n v="1"/>
    <x v="16"/>
    <b v="0"/>
    <s v="Working"/>
    <n v="3"/>
    <x v="3"/>
    <n v="1"/>
    <n v="0.24"/>
    <x v="0"/>
    <n v="0.2273"/>
    <x v="42"/>
    <x v="2"/>
    <x v="4"/>
    <x v="8"/>
    <x v="90"/>
    <x v="90"/>
  </r>
  <r>
    <n v="720"/>
    <x v="14"/>
    <n v="1"/>
    <n v="1"/>
    <x v="5"/>
    <b v="0"/>
    <s v="Working"/>
    <n v="3"/>
    <x v="3"/>
    <n v="1"/>
    <n v="0.24"/>
    <x v="0"/>
    <n v="0.2424"/>
    <x v="42"/>
    <x v="2"/>
    <x v="9"/>
    <x v="0"/>
    <x v="91"/>
    <x v="91"/>
  </r>
  <r>
    <n v="721"/>
    <x v="14"/>
    <n v="1"/>
    <n v="1"/>
    <x v="6"/>
    <b v="0"/>
    <s v="Working"/>
    <n v="3"/>
    <x v="3"/>
    <n v="1"/>
    <n v="0.24"/>
    <x v="0"/>
    <n v="0.2576"/>
    <x v="42"/>
    <x v="2"/>
    <x v="7"/>
    <x v="1"/>
    <x v="92"/>
    <x v="92"/>
  </r>
  <r>
    <n v="722"/>
    <x v="14"/>
    <n v="1"/>
    <n v="1"/>
    <x v="7"/>
    <b v="0"/>
    <s v="Working"/>
    <n v="3"/>
    <x v="3"/>
    <n v="1"/>
    <n v="0.22"/>
    <x v="0"/>
    <n v="0.2273"/>
    <x v="20"/>
    <x v="2"/>
    <x v="6"/>
    <x v="10"/>
    <x v="93"/>
    <x v="89"/>
  </r>
  <r>
    <n v="723"/>
    <x v="14"/>
    <n v="1"/>
    <n v="1"/>
    <x v="8"/>
    <b v="0"/>
    <s v="Working"/>
    <n v="3"/>
    <x v="3"/>
    <n v="1"/>
    <n v="0.2"/>
    <x v="0"/>
    <n v="0.19700000000000001"/>
    <x v="34"/>
    <x v="2"/>
    <x v="4"/>
    <x v="0"/>
    <x v="50"/>
    <x v="46"/>
  </r>
  <r>
    <n v="724"/>
    <x v="14"/>
    <n v="1"/>
    <n v="1"/>
    <x v="9"/>
    <b v="0"/>
    <s v="Working"/>
    <n v="3"/>
    <x v="3"/>
    <n v="1"/>
    <n v="0.18"/>
    <x v="0"/>
    <n v="0.19700000000000001"/>
    <x v="29"/>
    <x v="2"/>
    <x v="9"/>
    <x v="2"/>
    <x v="32"/>
    <x v="73"/>
  </r>
  <r>
    <n v="725"/>
    <x v="14"/>
    <n v="1"/>
    <n v="1"/>
    <x v="17"/>
    <b v="0"/>
    <s v="Working"/>
    <n v="3"/>
    <x v="3"/>
    <n v="1"/>
    <n v="0.2"/>
    <x v="0"/>
    <n v="0.2576"/>
    <x v="20"/>
    <x v="2"/>
    <x v="0"/>
    <x v="2"/>
    <x v="22"/>
    <x v="22"/>
  </r>
  <r>
    <n v="726"/>
    <x v="15"/>
    <n v="1"/>
    <n v="1"/>
    <x v="10"/>
    <b v="0"/>
    <s v="Working"/>
    <n v="4"/>
    <x v="6"/>
    <n v="1"/>
    <n v="0.18"/>
    <x v="0"/>
    <n v="0.2424"/>
    <x v="29"/>
    <x v="2"/>
    <x v="0"/>
    <x v="12"/>
    <x v="73"/>
    <x v="82"/>
  </r>
  <r>
    <n v="727"/>
    <x v="15"/>
    <n v="1"/>
    <n v="1"/>
    <x v="0"/>
    <b v="0"/>
    <s v="Working"/>
    <n v="4"/>
    <x v="6"/>
    <n v="1"/>
    <n v="0.16"/>
    <x v="0"/>
    <n v="0.2273"/>
    <x v="27"/>
    <x v="2"/>
    <x v="0"/>
    <x v="12"/>
    <x v="11"/>
    <x v="27"/>
  </r>
  <r>
    <n v="728"/>
    <x v="15"/>
    <n v="1"/>
    <n v="1"/>
    <x v="1"/>
    <b v="0"/>
    <s v="Working"/>
    <n v="4"/>
    <x v="6"/>
    <n v="1"/>
    <n v="0.16"/>
    <x v="0"/>
    <n v="0.2273"/>
    <x v="27"/>
    <x v="2"/>
    <x v="0"/>
    <x v="12"/>
    <x v="2"/>
    <x v="34"/>
  </r>
  <r>
    <n v="729"/>
    <x v="15"/>
    <n v="1"/>
    <n v="1"/>
    <x v="22"/>
    <b v="0"/>
    <s v="Working"/>
    <n v="4"/>
    <x v="6"/>
    <n v="2"/>
    <n v="0.16"/>
    <x v="0"/>
    <n v="0.19700000000000001"/>
    <x v="27"/>
    <x v="2"/>
    <x v="8"/>
    <x v="12"/>
    <x v="25"/>
    <x v="24"/>
  </r>
  <r>
    <n v="730"/>
    <x v="15"/>
    <n v="1"/>
    <n v="1"/>
    <x v="18"/>
    <b v="0"/>
    <s v="Working"/>
    <n v="4"/>
    <x v="6"/>
    <n v="2"/>
    <n v="0.14000000000000001"/>
    <x v="0"/>
    <n v="0.18179999999999999"/>
    <x v="28"/>
    <x v="2"/>
    <x v="8"/>
    <x v="12"/>
    <x v="11"/>
    <x v="27"/>
  </r>
  <r>
    <n v="731"/>
    <x v="15"/>
    <n v="1"/>
    <n v="1"/>
    <x v="19"/>
    <b v="0"/>
    <s v="Working"/>
    <n v="4"/>
    <x v="6"/>
    <n v="2"/>
    <n v="0.14000000000000001"/>
    <x v="0"/>
    <n v="0.16669999999999999"/>
    <x v="31"/>
    <x v="2"/>
    <x v="7"/>
    <x v="12"/>
    <x v="44"/>
    <x v="7"/>
  </r>
  <r>
    <n v="732"/>
    <x v="15"/>
    <n v="1"/>
    <n v="1"/>
    <x v="2"/>
    <b v="0"/>
    <s v="Working"/>
    <n v="4"/>
    <x v="6"/>
    <n v="2"/>
    <n v="0.16"/>
    <x v="0"/>
    <n v="0.2273"/>
    <x v="30"/>
    <x v="2"/>
    <x v="0"/>
    <x v="12"/>
    <x v="48"/>
    <x v="19"/>
  </r>
  <r>
    <n v="733"/>
    <x v="15"/>
    <n v="1"/>
    <n v="1"/>
    <x v="14"/>
    <b v="0"/>
    <s v="Working"/>
    <n v="4"/>
    <x v="6"/>
    <n v="1"/>
    <n v="0.16"/>
    <x v="0"/>
    <n v="0.2273"/>
    <x v="30"/>
    <x v="2"/>
    <x v="0"/>
    <x v="0"/>
    <x v="94"/>
    <x v="93"/>
  </r>
  <r>
    <n v="734"/>
    <x v="15"/>
    <n v="1"/>
    <n v="1"/>
    <x v="15"/>
    <b v="0"/>
    <s v="Working"/>
    <n v="4"/>
    <x v="6"/>
    <n v="2"/>
    <n v="0.18"/>
    <x v="0"/>
    <n v="0.2424"/>
    <x v="34"/>
    <x v="2"/>
    <x v="0"/>
    <x v="6"/>
    <x v="95"/>
    <x v="94"/>
  </r>
  <r>
    <n v="735"/>
    <x v="15"/>
    <n v="1"/>
    <n v="1"/>
    <x v="12"/>
    <b v="0"/>
    <s v="Working"/>
    <n v="4"/>
    <x v="6"/>
    <n v="1"/>
    <n v="0.2"/>
    <x v="0"/>
    <n v="0.2576"/>
    <x v="20"/>
    <x v="2"/>
    <x v="0"/>
    <x v="0"/>
    <x v="45"/>
    <x v="95"/>
  </r>
  <r>
    <n v="736"/>
    <x v="15"/>
    <n v="1"/>
    <n v="1"/>
    <x v="3"/>
    <b v="0"/>
    <s v="Working"/>
    <n v="4"/>
    <x v="6"/>
    <n v="1"/>
    <n v="0.22"/>
    <x v="0"/>
    <n v="0.2576"/>
    <x v="19"/>
    <x v="2"/>
    <x v="8"/>
    <x v="9"/>
    <x v="96"/>
    <x v="96"/>
  </r>
  <r>
    <n v="737"/>
    <x v="15"/>
    <n v="1"/>
    <n v="1"/>
    <x v="20"/>
    <b v="0"/>
    <s v="Working"/>
    <n v="4"/>
    <x v="6"/>
    <n v="1"/>
    <n v="0.26"/>
    <x v="1"/>
    <n v="0.28789999999999999"/>
    <x v="24"/>
    <x v="2"/>
    <x v="0"/>
    <x v="6"/>
    <x v="97"/>
    <x v="59"/>
  </r>
  <r>
    <n v="738"/>
    <x v="15"/>
    <n v="1"/>
    <n v="1"/>
    <x v="21"/>
    <b v="0"/>
    <s v="Working"/>
    <n v="4"/>
    <x v="6"/>
    <n v="1"/>
    <n v="0.26"/>
    <x v="1"/>
    <n v="0.2727"/>
    <x v="24"/>
    <x v="2"/>
    <x v="7"/>
    <x v="14"/>
    <x v="13"/>
    <x v="97"/>
  </r>
  <r>
    <n v="739"/>
    <x v="15"/>
    <n v="1"/>
    <n v="1"/>
    <x v="23"/>
    <b v="0"/>
    <s v="Working"/>
    <n v="4"/>
    <x v="6"/>
    <n v="1"/>
    <n v="0.28000000000000003"/>
    <x v="1"/>
    <n v="0.2727"/>
    <x v="43"/>
    <x v="2"/>
    <x v="6"/>
    <x v="7"/>
    <x v="98"/>
    <x v="40"/>
  </r>
  <r>
    <n v="740"/>
    <x v="15"/>
    <n v="1"/>
    <n v="1"/>
    <x v="13"/>
    <b v="0"/>
    <s v="Working"/>
    <n v="4"/>
    <x v="6"/>
    <n v="1"/>
    <n v="0.28000000000000003"/>
    <x v="1"/>
    <n v="0.2727"/>
    <x v="43"/>
    <x v="2"/>
    <x v="0"/>
    <x v="13"/>
    <x v="60"/>
    <x v="88"/>
  </r>
  <r>
    <n v="741"/>
    <x v="15"/>
    <n v="1"/>
    <n v="1"/>
    <x v="4"/>
    <b v="0"/>
    <s v="Working"/>
    <n v="4"/>
    <x v="6"/>
    <n v="1"/>
    <n v="0.26"/>
    <x v="1"/>
    <n v="0.2576"/>
    <x v="42"/>
    <x v="2"/>
    <x v="6"/>
    <x v="14"/>
    <x v="88"/>
    <x v="98"/>
  </r>
  <r>
    <n v="742"/>
    <x v="15"/>
    <n v="1"/>
    <n v="1"/>
    <x v="16"/>
    <b v="0"/>
    <s v="Working"/>
    <n v="4"/>
    <x v="6"/>
    <n v="1"/>
    <n v="0.22"/>
    <x v="0"/>
    <n v="0.2273"/>
    <x v="34"/>
    <x v="2"/>
    <x v="6"/>
    <x v="5"/>
    <x v="99"/>
    <x v="99"/>
  </r>
  <r>
    <n v="743"/>
    <x v="15"/>
    <n v="1"/>
    <n v="1"/>
    <x v="5"/>
    <b v="0"/>
    <s v="Working"/>
    <n v="4"/>
    <x v="6"/>
    <n v="1"/>
    <n v="0.22"/>
    <x v="0"/>
    <n v="0.2273"/>
    <x v="34"/>
    <x v="2"/>
    <x v="9"/>
    <x v="1"/>
    <x v="100"/>
    <x v="100"/>
  </r>
  <r>
    <n v="744"/>
    <x v="15"/>
    <n v="1"/>
    <n v="1"/>
    <x v="6"/>
    <b v="0"/>
    <s v="Working"/>
    <n v="4"/>
    <x v="6"/>
    <n v="1"/>
    <n v="0.22"/>
    <x v="0"/>
    <n v="0.2576"/>
    <x v="29"/>
    <x v="2"/>
    <x v="8"/>
    <x v="0"/>
    <x v="87"/>
    <x v="80"/>
  </r>
  <r>
    <n v="745"/>
    <x v="15"/>
    <n v="1"/>
    <n v="1"/>
    <x v="7"/>
    <b v="0"/>
    <s v="Working"/>
    <n v="4"/>
    <x v="6"/>
    <n v="1"/>
    <n v="0.2"/>
    <x v="0"/>
    <n v="0.21210000000000001"/>
    <x v="34"/>
    <x v="2"/>
    <x v="6"/>
    <x v="0"/>
    <x v="69"/>
    <x v="101"/>
  </r>
  <r>
    <n v="746"/>
    <x v="15"/>
    <n v="1"/>
    <n v="1"/>
    <x v="8"/>
    <b v="0"/>
    <s v="Working"/>
    <n v="4"/>
    <x v="6"/>
    <n v="2"/>
    <n v="0.22"/>
    <x v="0"/>
    <n v="0.21210000000000001"/>
    <x v="29"/>
    <x v="2"/>
    <x v="5"/>
    <x v="12"/>
    <x v="68"/>
    <x v="45"/>
  </r>
  <r>
    <n v="747"/>
    <x v="15"/>
    <n v="1"/>
    <n v="1"/>
    <x v="9"/>
    <b v="0"/>
    <s v="Working"/>
    <n v="4"/>
    <x v="6"/>
    <n v="2"/>
    <n v="0.22"/>
    <x v="0"/>
    <n v="0.21210000000000001"/>
    <x v="34"/>
    <x v="2"/>
    <x v="1"/>
    <x v="2"/>
    <x v="19"/>
    <x v="39"/>
  </r>
  <r>
    <n v="748"/>
    <x v="15"/>
    <n v="1"/>
    <n v="1"/>
    <x v="17"/>
    <b v="0"/>
    <s v="Working"/>
    <n v="4"/>
    <x v="6"/>
    <n v="2"/>
    <n v="0.2"/>
    <x v="0"/>
    <n v="0.19700000000000001"/>
    <x v="30"/>
    <x v="2"/>
    <x v="4"/>
    <x v="8"/>
    <x v="34"/>
    <x v="102"/>
  </r>
  <r>
    <n v="749"/>
    <x v="16"/>
    <n v="1"/>
    <n v="1"/>
    <x v="10"/>
    <b v="0"/>
    <s v="Working"/>
    <n v="5"/>
    <x v="5"/>
    <n v="2"/>
    <n v="0.2"/>
    <x v="0"/>
    <n v="0.19700000000000001"/>
    <x v="27"/>
    <x v="2"/>
    <x v="4"/>
    <x v="8"/>
    <x v="0"/>
    <x v="10"/>
  </r>
  <r>
    <n v="750"/>
    <x v="16"/>
    <n v="1"/>
    <n v="1"/>
    <x v="0"/>
    <b v="0"/>
    <s v="Working"/>
    <n v="5"/>
    <x v="5"/>
    <n v="2"/>
    <n v="0.2"/>
    <x v="0"/>
    <n v="0.19700000000000001"/>
    <x v="28"/>
    <x v="2"/>
    <x v="5"/>
    <x v="9"/>
    <x v="26"/>
    <x v="23"/>
  </r>
  <r>
    <n v="751"/>
    <x v="16"/>
    <n v="1"/>
    <n v="1"/>
    <x v="1"/>
    <b v="0"/>
    <s v="Working"/>
    <n v="5"/>
    <x v="5"/>
    <n v="2"/>
    <n v="0.2"/>
    <x v="0"/>
    <n v="0.19700000000000001"/>
    <x v="28"/>
    <x v="2"/>
    <x v="5"/>
    <x v="12"/>
    <x v="25"/>
    <x v="24"/>
  </r>
  <r>
    <n v="752"/>
    <x v="16"/>
    <n v="1"/>
    <n v="1"/>
    <x v="22"/>
    <b v="0"/>
    <s v="Working"/>
    <n v="5"/>
    <x v="5"/>
    <n v="2"/>
    <n v="0.2"/>
    <x v="0"/>
    <n v="0.21210000000000001"/>
    <x v="28"/>
    <x v="2"/>
    <x v="9"/>
    <x v="12"/>
    <x v="25"/>
    <x v="24"/>
  </r>
  <r>
    <n v="753"/>
    <x v="16"/>
    <n v="1"/>
    <n v="1"/>
    <x v="18"/>
    <b v="0"/>
    <s v="Working"/>
    <n v="5"/>
    <x v="5"/>
    <n v="3"/>
    <n v="0.22"/>
    <x v="0"/>
    <n v="0.2727"/>
    <x v="29"/>
    <x v="2"/>
    <x v="0"/>
    <x v="12"/>
    <x v="26"/>
    <x v="25"/>
  </r>
  <r>
    <n v="754"/>
    <x v="16"/>
    <n v="1"/>
    <n v="1"/>
    <x v="19"/>
    <b v="0"/>
    <s v="Working"/>
    <n v="5"/>
    <x v="5"/>
    <n v="2"/>
    <n v="0.2"/>
    <x v="0"/>
    <n v="0.2576"/>
    <x v="28"/>
    <x v="2"/>
    <x v="0"/>
    <x v="13"/>
    <x v="5"/>
    <x v="8"/>
  </r>
  <r>
    <n v="755"/>
    <x v="16"/>
    <n v="1"/>
    <n v="1"/>
    <x v="2"/>
    <b v="0"/>
    <s v="Working"/>
    <n v="5"/>
    <x v="5"/>
    <n v="1"/>
    <n v="0.2"/>
    <x v="0"/>
    <n v="0.21210000000000001"/>
    <x v="28"/>
    <x v="2"/>
    <x v="9"/>
    <x v="13"/>
    <x v="101"/>
    <x v="59"/>
  </r>
  <r>
    <n v="756"/>
    <x v="16"/>
    <n v="1"/>
    <n v="1"/>
    <x v="14"/>
    <b v="0"/>
    <s v="Working"/>
    <n v="5"/>
    <x v="5"/>
    <n v="1"/>
    <n v="0.2"/>
    <x v="0"/>
    <n v="0.19700000000000001"/>
    <x v="34"/>
    <x v="2"/>
    <x v="3"/>
    <x v="20"/>
    <x v="102"/>
    <x v="103"/>
  </r>
  <r>
    <n v="757"/>
    <x v="16"/>
    <n v="1"/>
    <n v="1"/>
    <x v="15"/>
    <b v="0"/>
    <s v="Working"/>
    <n v="5"/>
    <x v="5"/>
    <n v="1"/>
    <n v="0.2"/>
    <x v="0"/>
    <n v="0.18179999999999999"/>
    <x v="20"/>
    <x v="2"/>
    <x v="2"/>
    <x v="5"/>
    <x v="103"/>
    <x v="104"/>
  </r>
  <r>
    <n v="758"/>
    <x v="16"/>
    <n v="1"/>
    <n v="1"/>
    <x v="12"/>
    <b v="0"/>
    <s v="Working"/>
    <n v="5"/>
    <x v="5"/>
    <n v="1"/>
    <n v="0.22"/>
    <x v="0"/>
    <n v="0.19700000000000001"/>
    <x v="39"/>
    <x v="2"/>
    <x v="10"/>
    <x v="19"/>
    <x v="38"/>
    <x v="77"/>
  </r>
  <r>
    <n v="759"/>
    <x v="16"/>
    <n v="1"/>
    <n v="1"/>
    <x v="3"/>
    <b v="0"/>
    <s v="Working"/>
    <n v="5"/>
    <x v="5"/>
    <n v="2"/>
    <n v="0.2"/>
    <x v="0"/>
    <n v="0.19700000000000001"/>
    <x v="23"/>
    <x v="2"/>
    <x v="5"/>
    <x v="11"/>
    <x v="68"/>
    <x v="97"/>
  </r>
  <r>
    <n v="760"/>
    <x v="16"/>
    <n v="1"/>
    <n v="1"/>
    <x v="20"/>
    <b v="0"/>
    <s v="Working"/>
    <n v="5"/>
    <x v="5"/>
    <n v="2"/>
    <n v="0.2"/>
    <x v="0"/>
    <n v="0.19700000000000001"/>
    <x v="39"/>
    <x v="2"/>
    <x v="3"/>
    <x v="5"/>
    <x v="77"/>
    <x v="96"/>
  </r>
  <r>
    <n v="761"/>
    <x v="16"/>
    <n v="1"/>
    <n v="1"/>
    <x v="21"/>
    <b v="0"/>
    <s v="Working"/>
    <n v="5"/>
    <x v="5"/>
    <n v="2"/>
    <n v="0.2"/>
    <x v="0"/>
    <n v="0.18179999999999999"/>
    <x v="39"/>
    <x v="2"/>
    <x v="1"/>
    <x v="5"/>
    <x v="62"/>
    <x v="105"/>
  </r>
  <r>
    <n v="762"/>
    <x v="16"/>
    <n v="1"/>
    <n v="1"/>
    <x v="23"/>
    <b v="0"/>
    <s v="Working"/>
    <n v="5"/>
    <x v="5"/>
    <n v="2"/>
    <n v="0.2"/>
    <x v="0"/>
    <n v="0.19700000000000001"/>
    <x v="23"/>
    <x v="2"/>
    <x v="3"/>
    <x v="10"/>
    <x v="43"/>
    <x v="106"/>
  </r>
  <r>
    <n v="763"/>
    <x v="16"/>
    <n v="1"/>
    <n v="1"/>
    <x v="13"/>
    <b v="0"/>
    <s v="Working"/>
    <n v="5"/>
    <x v="5"/>
    <n v="2"/>
    <n v="0.2"/>
    <x v="0"/>
    <n v="0.21210000000000001"/>
    <x v="39"/>
    <x v="2"/>
    <x v="6"/>
    <x v="5"/>
    <x v="65"/>
    <x v="43"/>
  </r>
  <r>
    <n v="764"/>
    <x v="16"/>
    <n v="1"/>
    <n v="1"/>
    <x v="4"/>
    <b v="0"/>
    <s v="Working"/>
    <n v="5"/>
    <x v="5"/>
    <n v="2"/>
    <n v="0.2"/>
    <x v="0"/>
    <n v="0.21210000000000001"/>
    <x v="39"/>
    <x v="2"/>
    <x v="6"/>
    <x v="1"/>
    <x v="93"/>
    <x v="107"/>
  </r>
  <r>
    <n v="765"/>
    <x v="16"/>
    <n v="1"/>
    <n v="1"/>
    <x v="16"/>
    <b v="0"/>
    <s v="Working"/>
    <n v="5"/>
    <x v="5"/>
    <n v="2"/>
    <n v="0.2"/>
    <x v="0"/>
    <n v="0.2576"/>
    <x v="39"/>
    <x v="2"/>
    <x v="0"/>
    <x v="5"/>
    <x v="104"/>
    <x v="108"/>
  </r>
  <r>
    <n v="766"/>
    <x v="16"/>
    <n v="1"/>
    <n v="1"/>
    <x v="5"/>
    <b v="0"/>
    <s v="Working"/>
    <n v="5"/>
    <x v="5"/>
    <n v="1"/>
    <n v="0.2"/>
    <x v="0"/>
    <n v="0.2273"/>
    <x v="23"/>
    <x v="2"/>
    <x v="8"/>
    <x v="10"/>
    <x v="95"/>
    <x v="109"/>
  </r>
  <r>
    <n v="767"/>
    <x v="16"/>
    <n v="1"/>
    <n v="1"/>
    <x v="6"/>
    <b v="0"/>
    <s v="Working"/>
    <n v="5"/>
    <x v="5"/>
    <n v="1"/>
    <n v="0.16"/>
    <x v="0"/>
    <n v="0.19700000000000001"/>
    <x v="29"/>
    <x v="2"/>
    <x v="8"/>
    <x v="0"/>
    <x v="74"/>
    <x v="19"/>
  </r>
  <r>
    <n v="768"/>
    <x v="16"/>
    <n v="1"/>
    <n v="1"/>
    <x v="7"/>
    <b v="0"/>
    <s v="Working"/>
    <n v="5"/>
    <x v="5"/>
    <n v="1"/>
    <n v="0.18"/>
    <x v="0"/>
    <n v="0.21210000000000001"/>
    <x v="20"/>
    <x v="2"/>
    <x v="7"/>
    <x v="2"/>
    <x v="77"/>
    <x v="20"/>
  </r>
  <r>
    <n v="769"/>
    <x v="16"/>
    <n v="1"/>
    <n v="1"/>
    <x v="8"/>
    <b v="0"/>
    <s v="Working"/>
    <n v="5"/>
    <x v="5"/>
    <n v="1"/>
    <n v="0.18"/>
    <x v="0"/>
    <n v="0.19700000000000001"/>
    <x v="20"/>
    <x v="2"/>
    <x v="9"/>
    <x v="12"/>
    <x v="105"/>
    <x v="110"/>
  </r>
  <r>
    <n v="770"/>
    <x v="16"/>
    <n v="1"/>
    <n v="1"/>
    <x v="9"/>
    <b v="0"/>
    <s v="Working"/>
    <n v="5"/>
    <x v="5"/>
    <n v="2"/>
    <n v="0.18"/>
    <x v="0"/>
    <n v="0.19700000000000001"/>
    <x v="22"/>
    <x v="2"/>
    <x v="6"/>
    <x v="9"/>
    <x v="84"/>
    <x v="7"/>
  </r>
  <r>
    <n v="771"/>
    <x v="16"/>
    <n v="1"/>
    <n v="1"/>
    <x v="17"/>
    <b v="0"/>
    <s v="Working"/>
    <n v="5"/>
    <x v="5"/>
    <n v="2"/>
    <n v="0.18"/>
    <x v="0"/>
    <n v="0.19700000000000001"/>
    <x v="34"/>
    <x v="2"/>
    <x v="6"/>
    <x v="2"/>
    <x v="106"/>
    <x v="15"/>
  </r>
  <r>
    <n v="772"/>
    <x v="2"/>
    <n v="1"/>
    <n v="1"/>
    <x v="10"/>
    <b v="0"/>
    <s v="Working"/>
    <n v="6"/>
    <x v="0"/>
    <n v="2"/>
    <n v="0.18"/>
    <x v="0"/>
    <n v="0.19700000000000001"/>
    <x v="34"/>
    <x v="2"/>
    <x v="6"/>
    <x v="2"/>
    <x v="54"/>
    <x v="111"/>
  </r>
  <r>
    <n v="773"/>
    <x v="2"/>
    <n v="1"/>
    <n v="1"/>
    <x v="0"/>
    <b v="0"/>
    <s v="Working"/>
    <n v="6"/>
    <x v="0"/>
    <n v="2"/>
    <n v="0.18"/>
    <x v="0"/>
    <n v="0.21210000000000001"/>
    <x v="29"/>
    <x v="2"/>
    <x v="8"/>
    <x v="2"/>
    <x v="14"/>
    <x v="0"/>
  </r>
  <r>
    <n v="774"/>
    <x v="2"/>
    <n v="1"/>
    <n v="1"/>
    <x v="1"/>
    <b v="0"/>
    <s v="Working"/>
    <n v="6"/>
    <x v="0"/>
    <n v="2"/>
    <n v="0.18"/>
    <x v="0"/>
    <n v="0.2424"/>
    <x v="29"/>
    <x v="2"/>
    <x v="0"/>
    <x v="0"/>
    <x v="0"/>
    <x v="0"/>
  </r>
  <r>
    <n v="775"/>
    <x v="2"/>
    <n v="1"/>
    <n v="1"/>
    <x v="11"/>
    <b v="0"/>
    <s v="Working"/>
    <n v="6"/>
    <x v="0"/>
    <n v="3"/>
    <n v="0.18"/>
    <x v="0"/>
    <n v="0.19700000000000001"/>
    <x v="29"/>
    <x v="2"/>
    <x v="6"/>
    <x v="12"/>
    <x v="23"/>
    <x v="23"/>
  </r>
  <r>
    <n v="776"/>
    <x v="2"/>
    <n v="1"/>
    <n v="1"/>
    <x v="22"/>
    <b v="0"/>
    <s v="Working"/>
    <n v="6"/>
    <x v="0"/>
    <n v="3"/>
    <n v="0.18"/>
    <x v="0"/>
    <n v="0.19700000000000001"/>
    <x v="29"/>
    <x v="2"/>
    <x v="6"/>
    <x v="12"/>
    <x v="25"/>
    <x v="24"/>
  </r>
  <r>
    <n v="777"/>
    <x v="2"/>
    <n v="1"/>
    <n v="1"/>
    <x v="18"/>
    <b v="0"/>
    <s v="Working"/>
    <n v="6"/>
    <x v="0"/>
    <n v="2"/>
    <n v="0.16"/>
    <x v="0"/>
    <n v="0.16669999999999999"/>
    <x v="33"/>
    <x v="2"/>
    <x v="6"/>
    <x v="12"/>
    <x v="26"/>
    <x v="25"/>
  </r>
  <r>
    <n v="778"/>
    <x v="2"/>
    <n v="1"/>
    <n v="1"/>
    <x v="19"/>
    <b v="0"/>
    <s v="Working"/>
    <n v="6"/>
    <x v="0"/>
    <n v="2"/>
    <n v="0.16"/>
    <x v="0"/>
    <n v="0.16669999999999999"/>
    <x v="33"/>
    <x v="2"/>
    <x v="6"/>
    <x v="12"/>
    <x v="2"/>
    <x v="34"/>
  </r>
  <r>
    <n v="779"/>
    <x v="2"/>
    <n v="1"/>
    <n v="1"/>
    <x v="2"/>
    <b v="0"/>
    <s v="Working"/>
    <n v="6"/>
    <x v="0"/>
    <n v="2"/>
    <n v="0.16"/>
    <x v="0"/>
    <n v="0.18179999999999999"/>
    <x v="33"/>
    <x v="2"/>
    <x v="7"/>
    <x v="2"/>
    <x v="10"/>
    <x v="11"/>
  </r>
  <r>
    <n v="783"/>
    <x v="2"/>
    <n v="1"/>
    <n v="1"/>
    <x v="3"/>
    <b v="0"/>
    <s v="Working"/>
    <n v="6"/>
    <x v="0"/>
    <n v="2"/>
    <n v="0.2"/>
    <x v="0"/>
    <n v="0.18179999999999999"/>
    <x v="28"/>
    <x v="2"/>
    <x v="14"/>
    <x v="9"/>
    <x v="107"/>
    <x v="88"/>
  </r>
  <r>
    <n v="784"/>
    <x v="2"/>
    <n v="1"/>
    <n v="1"/>
    <x v="20"/>
    <b v="0"/>
    <s v="Working"/>
    <n v="6"/>
    <x v="0"/>
    <n v="2"/>
    <n v="0.2"/>
    <x v="0"/>
    <n v="0.18179999999999999"/>
    <x v="30"/>
    <x v="2"/>
    <x v="11"/>
    <x v="13"/>
    <x v="108"/>
    <x v="112"/>
  </r>
  <r>
    <n v="785"/>
    <x v="2"/>
    <n v="1"/>
    <n v="1"/>
    <x v="21"/>
    <b v="0"/>
    <s v="Working"/>
    <n v="6"/>
    <x v="0"/>
    <n v="1"/>
    <n v="0.2"/>
    <x v="0"/>
    <n v="0.18179999999999999"/>
    <x v="19"/>
    <x v="2"/>
    <x v="10"/>
    <x v="10"/>
    <x v="48"/>
    <x v="113"/>
  </r>
  <r>
    <n v="786"/>
    <x v="2"/>
    <n v="1"/>
    <n v="1"/>
    <x v="23"/>
    <b v="0"/>
    <s v="Working"/>
    <n v="6"/>
    <x v="0"/>
    <n v="1"/>
    <n v="0.2"/>
    <x v="0"/>
    <n v="0.16669999999999999"/>
    <x v="26"/>
    <x v="2"/>
    <x v="15"/>
    <x v="14"/>
    <x v="31"/>
    <x v="19"/>
  </r>
  <r>
    <n v="787"/>
    <x v="2"/>
    <n v="1"/>
    <n v="1"/>
    <x v="13"/>
    <b v="0"/>
    <s v="Working"/>
    <n v="6"/>
    <x v="0"/>
    <n v="1"/>
    <n v="0.2"/>
    <x v="0"/>
    <n v="0.16669999999999999"/>
    <x v="26"/>
    <x v="2"/>
    <x v="13"/>
    <x v="1"/>
    <x v="41"/>
    <x v="14"/>
  </r>
  <r>
    <n v="788"/>
    <x v="2"/>
    <n v="1"/>
    <n v="1"/>
    <x v="4"/>
    <b v="0"/>
    <s v="Working"/>
    <n v="6"/>
    <x v="0"/>
    <n v="1"/>
    <n v="0.18"/>
    <x v="0"/>
    <n v="0.13639999999999999"/>
    <x v="44"/>
    <x v="2"/>
    <x v="13"/>
    <x v="13"/>
    <x v="79"/>
    <x v="17"/>
  </r>
  <r>
    <n v="789"/>
    <x v="2"/>
    <n v="1"/>
    <n v="1"/>
    <x v="16"/>
    <b v="0"/>
    <s v="Working"/>
    <n v="6"/>
    <x v="0"/>
    <n v="1"/>
    <n v="0.16"/>
    <x v="0"/>
    <n v="0.1212"/>
    <x v="39"/>
    <x v="2"/>
    <x v="16"/>
    <x v="1"/>
    <x v="62"/>
    <x v="101"/>
  </r>
  <r>
    <n v="790"/>
    <x v="2"/>
    <n v="1"/>
    <n v="1"/>
    <x v="5"/>
    <b v="0"/>
    <s v="Working"/>
    <n v="6"/>
    <x v="0"/>
    <n v="1"/>
    <n v="0.14000000000000001"/>
    <x v="0"/>
    <n v="0.1212"/>
    <x v="45"/>
    <x v="2"/>
    <x v="2"/>
    <x v="0"/>
    <x v="4"/>
    <x v="114"/>
  </r>
  <r>
    <n v="791"/>
    <x v="2"/>
    <n v="1"/>
    <n v="1"/>
    <x v="6"/>
    <b v="0"/>
    <s v="Working"/>
    <n v="6"/>
    <x v="0"/>
    <n v="1"/>
    <n v="0.14000000000000001"/>
    <x v="0"/>
    <n v="0.1212"/>
    <x v="43"/>
    <x v="2"/>
    <x v="3"/>
    <x v="8"/>
    <x v="5"/>
    <x v="42"/>
  </r>
  <r>
    <n v="792"/>
    <x v="2"/>
    <n v="1"/>
    <n v="1"/>
    <x v="7"/>
    <b v="0"/>
    <s v="Working"/>
    <n v="6"/>
    <x v="0"/>
    <n v="1"/>
    <n v="0.12"/>
    <x v="0"/>
    <n v="0.1212"/>
    <x v="43"/>
    <x v="2"/>
    <x v="3"/>
    <x v="12"/>
    <x v="21"/>
    <x v="9"/>
  </r>
  <r>
    <n v="793"/>
    <x v="2"/>
    <n v="1"/>
    <n v="1"/>
    <x v="8"/>
    <b v="0"/>
    <s v="Working"/>
    <n v="6"/>
    <x v="0"/>
    <n v="1"/>
    <n v="0.12"/>
    <x v="0"/>
    <n v="0.1061"/>
    <x v="45"/>
    <x v="2"/>
    <x v="11"/>
    <x v="9"/>
    <x v="42"/>
    <x v="6"/>
  </r>
  <r>
    <n v="794"/>
    <x v="2"/>
    <n v="1"/>
    <n v="1"/>
    <x v="9"/>
    <b v="0"/>
    <s v="Working"/>
    <n v="6"/>
    <x v="0"/>
    <n v="1"/>
    <n v="0.12"/>
    <x v="0"/>
    <n v="0.1061"/>
    <x v="43"/>
    <x v="2"/>
    <x v="14"/>
    <x v="2"/>
    <x v="33"/>
    <x v="8"/>
  </r>
  <r>
    <n v="795"/>
    <x v="2"/>
    <n v="1"/>
    <n v="1"/>
    <x v="17"/>
    <b v="0"/>
    <s v="Working"/>
    <n v="6"/>
    <x v="0"/>
    <n v="1"/>
    <n v="0.1"/>
    <x v="0"/>
    <n v="6.0600000000000001E-2"/>
    <x v="45"/>
    <x v="2"/>
    <x v="13"/>
    <x v="12"/>
    <x v="28"/>
    <x v="28"/>
  </r>
  <r>
    <n v="796"/>
    <x v="17"/>
    <n v="1"/>
    <n v="1"/>
    <x v="10"/>
    <b v="0"/>
    <s v="Working"/>
    <n v="0"/>
    <x v="1"/>
    <n v="1"/>
    <n v="0.1"/>
    <x v="0"/>
    <n v="7.5800000000000006E-2"/>
    <x v="18"/>
    <x v="2"/>
    <x v="14"/>
    <x v="2"/>
    <x v="54"/>
    <x v="111"/>
  </r>
  <r>
    <n v="797"/>
    <x v="17"/>
    <n v="1"/>
    <n v="1"/>
    <x v="0"/>
    <b v="0"/>
    <s v="Working"/>
    <n v="0"/>
    <x v="1"/>
    <n v="1"/>
    <n v="0.1"/>
    <x v="0"/>
    <n v="6.0600000000000001E-2"/>
    <x v="18"/>
    <x v="2"/>
    <x v="12"/>
    <x v="12"/>
    <x v="109"/>
    <x v="70"/>
  </r>
  <r>
    <n v="798"/>
    <x v="17"/>
    <n v="1"/>
    <n v="1"/>
    <x v="1"/>
    <b v="0"/>
    <s v="Working"/>
    <n v="0"/>
    <x v="1"/>
    <n v="1"/>
    <n v="0.1"/>
    <x v="0"/>
    <n v="6.0600000000000001E-2"/>
    <x v="17"/>
    <x v="2"/>
    <x v="12"/>
    <x v="12"/>
    <x v="73"/>
    <x v="82"/>
  </r>
  <r>
    <n v="799"/>
    <x v="17"/>
    <n v="1"/>
    <n v="1"/>
    <x v="11"/>
    <b v="0"/>
    <s v="Working"/>
    <n v="0"/>
    <x v="1"/>
    <n v="1"/>
    <n v="0.1"/>
    <x v="0"/>
    <n v="7.5800000000000006E-2"/>
    <x v="17"/>
    <x v="2"/>
    <x v="17"/>
    <x v="12"/>
    <x v="11"/>
    <x v="27"/>
  </r>
  <r>
    <n v="800"/>
    <x v="17"/>
    <n v="1"/>
    <n v="1"/>
    <x v="22"/>
    <b v="0"/>
    <s v="Working"/>
    <n v="0"/>
    <x v="1"/>
    <n v="1"/>
    <n v="0.08"/>
    <x v="0"/>
    <n v="9.0899999999999995E-2"/>
    <x v="46"/>
    <x v="2"/>
    <x v="4"/>
    <x v="12"/>
    <x v="25"/>
    <x v="24"/>
  </r>
  <r>
    <n v="801"/>
    <x v="17"/>
    <n v="1"/>
    <n v="1"/>
    <x v="18"/>
    <b v="0"/>
    <s v="Working"/>
    <n v="0"/>
    <x v="1"/>
    <n v="1"/>
    <n v="0.08"/>
    <x v="0"/>
    <n v="9.0899999999999995E-2"/>
    <x v="46"/>
    <x v="2"/>
    <x v="4"/>
    <x v="12"/>
    <x v="25"/>
    <x v="24"/>
  </r>
  <r>
    <n v="802"/>
    <x v="17"/>
    <n v="1"/>
    <n v="1"/>
    <x v="19"/>
    <b v="0"/>
    <s v="Working"/>
    <n v="0"/>
    <x v="1"/>
    <n v="1"/>
    <n v="0.1"/>
    <x v="0"/>
    <n v="9.0899999999999995E-2"/>
    <x v="37"/>
    <x v="2"/>
    <x v="1"/>
    <x v="12"/>
    <x v="25"/>
    <x v="24"/>
  </r>
  <r>
    <n v="803"/>
    <x v="17"/>
    <n v="1"/>
    <n v="1"/>
    <x v="2"/>
    <b v="0"/>
    <s v="Working"/>
    <n v="0"/>
    <x v="1"/>
    <n v="1"/>
    <n v="0.08"/>
    <x v="0"/>
    <n v="9.0899999999999995E-2"/>
    <x v="46"/>
    <x v="2"/>
    <x v="4"/>
    <x v="2"/>
    <x v="26"/>
    <x v="12"/>
  </r>
  <r>
    <n v="804"/>
    <x v="17"/>
    <n v="1"/>
    <n v="1"/>
    <x v="14"/>
    <b v="0"/>
    <s v="Working"/>
    <n v="0"/>
    <x v="1"/>
    <n v="1"/>
    <n v="0.1"/>
    <x v="0"/>
    <n v="9.0899999999999995E-2"/>
    <x v="37"/>
    <x v="2"/>
    <x v="1"/>
    <x v="12"/>
    <x v="57"/>
    <x v="115"/>
  </r>
  <r>
    <n v="805"/>
    <x v="17"/>
    <n v="1"/>
    <n v="1"/>
    <x v="15"/>
    <b v="0"/>
    <s v="Working"/>
    <n v="0"/>
    <x v="1"/>
    <n v="1"/>
    <n v="0.12"/>
    <x v="0"/>
    <n v="7.5800000000000006E-2"/>
    <x v="17"/>
    <x v="2"/>
    <x v="18"/>
    <x v="12"/>
    <x v="34"/>
    <x v="22"/>
  </r>
  <r>
    <n v="806"/>
    <x v="17"/>
    <n v="1"/>
    <n v="1"/>
    <x v="12"/>
    <b v="0"/>
    <s v="Working"/>
    <n v="0"/>
    <x v="1"/>
    <n v="1"/>
    <n v="0.14000000000000001"/>
    <x v="0"/>
    <n v="0.1061"/>
    <x v="22"/>
    <x v="2"/>
    <x v="14"/>
    <x v="12"/>
    <x v="49"/>
    <x v="51"/>
  </r>
  <r>
    <n v="807"/>
    <x v="17"/>
    <n v="1"/>
    <n v="1"/>
    <x v="3"/>
    <b v="0"/>
    <s v="Working"/>
    <n v="0"/>
    <x v="1"/>
    <n v="1"/>
    <n v="0.16"/>
    <x v="0"/>
    <n v="0.1212"/>
    <x v="23"/>
    <x v="2"/>
    <x v="18"/>
    <x v="9"/>
    <x v="38"/>
    <x v="51"/>
  </r>
  <r>
    <n v="808"/>
    <x v="17"/>
    <n v="1"/>
    <n v="1"/>
    <x v="20"/>
    <b v="0"/>
    <s v="Working"/>
    <n v="0"/>
    <x v="1"/>
    <n v="1"/>
    <n v="0.18"/>
    <x v="0"/>
    <n v="0.13639999999999999"/>
    <x v="39"/>
    <x v="2"/>
    <x v="13"/>
    <x v="8"/>
    <x v="78"/>
    <x v="31"/>
  </r>
  <r>
    <n v="809"/>
    <x v="17"/>
    <n v="1"/>
    <n v="1"/>
    <x v="21"/>
    <b v="0"/>
    <s v="Working"/>
    <n v="0"/>
    <x v="1"/>
    <n v="1"/>
    <n v="0.2"/>
    <x v="0"/>
    <n v="0.16669999999999999"/>
    <x v="47"/>
    <x v="2"/>
    <x v="13"/>
    <x v="6"/>
    <x v="41"/>
    <x v="63"/>
  </r>
  <r>
    <n v="810"/>
    <x v="17"/>
    <n v="1"/>
    <n v="1"/>
    <x v="23"/>
    <b v="0"/>
    <s v="Working"/>
    <n v="0"/>
    <x v="1"/>
    <n v="1"/>
    <n v="0.22"/>
    <x v="0"/>
    <n v="0.18179999999999999"/>
    <x v="26"/>
    <x v="2"/>
    <x v="12"/>
    <x v="13"/>
    <x v="62"/>
    <x v="43"/>
  </r>
  <r>
    <n v="811"/>
    <x v="17"/>
    <n v="1"/>
    <n v="1"/>
    <x v="13"/>
    <b v="0"/>
    <s v="Working"/>
    <n v="0"/>
    <x v="1"/>
    <n v="1"/>
    <n v="0.22"/>
    <x v="0"/>
    <n v="0.19700000000000001"/>
    <x v="24"/>
    <x v="2"/>
    <x v="11"/>
    <x v="1"/>
    <x v="110"/>
    <x v="116"/>
  </r>
  <r>
    <n v="812"/>
    <x v="17"/>
    <n v="1"/>
    <n v="1"/>
    <x v="4"/>
    <b v="0"/>
    <s v="Working"/>
    <n v="0"/>
    <x v="1"/>
    <n v="1"/>
    <n v="0.2"/>
    <x v="0"/>
    <n v="0.16669999999999999"/>
    <x v="47"/>
    <x v="2"/>
    <x v="13"/>
    <x v="22"/>
    <x v="78"/>
    <x v="117"/>
  </r>
  <r>
    <n v="813"/>
    <x v="17"/>
    <n v="1"/>
    <n v="1"/>
    <x v="16"/>
    <b v="0"/>
    <s v="Working"/>
    <n v="0"/>
    <x v="1"/>
    <n v="1"/>
    <n v="0.18"/>
    <x v="0"/>
    <n v="0.1515"/>
    <x v="39"/>
    <x v="2"/>
    <x v="14"/>
    <x v="0"/>
    <x v="98"/>
    <x v="88"/>
  </r>
  <r>
    <n v="814"/>
    <x v="17"/>
    <n v="1"/>
    <n v="1"/>
    <x v="5"/>
    <b v="0"/>
    <s v="Working"/>
    <n v="0"/>
    <x v="1"/>
    <n v="1"/>
    <n v="0.16"/>
    <x v="0"/>
    <n v="0.13639999999999999"/>
    <x v="23"/>
    <x v="2"/>
    <x v="10"/>
    <x v="8"/>
    <x v="111"/>
    <x v="45"/>
  </r>
  <r>
    <n v="815"/>
    <x v="17"/>
    <n v="1"/>
    <n v="1"/>
    <x v="6"/>
    <b v="0"/>
    <s v="Working"/>
    <n v="0"/>
    <x v="1"/>
    <n v="1"/>
    <n v="0.16"/>
    <x v="0"/>
    <n v="0.13639999999999999"/>
    <x v="22"/>
    <x v="2"/>
    <x v="10"/>
    <x v="2"/>
    <x v="50"/>
    <x v="32"/>
  </r>
  <r>
    <n v="816"/>
    <x v="17"/>
    <n v="1"/>
    <n v="1"/>
    <x v="7"/>
    <b v="0"/>
    <s v="Working"/>
    <n v="0"/>
    <x v="1"/>
    <n v="1"/>
    <n v="0.14000000000000001"/>
    <x v="0"/>
    <n v="0.1212"/>
    <x v="17"/>
    <x v="2"/>
    <x v="3"/>
    <x v="12"/>
    <x v="112"/>
    <x v="57"/>
  </r>
  <r>
    <n v="817"/>
    <x v="17"/>
    <n v="1"/>
    <n v="1"/>
    <x v="8"/>
    <b v="0"/>
    <s v="Working"/>
    <n v="0"/>
    <x v="1"/>
    <n v="1"/>
    <n v="0.14000000000000001"/>
    <x v="0"/>
    <n v="0.1061"/>
    <x v="17"/>
    <x v="2"/>
    <x v="17"/>
    <x v="2"/>
    <x v="34"/>
    <x v="16"/>
  </r>
  <r>
    <n v="818"/>
    <x v="17"/>
    <n v="1"/>
    <n v="1"/>
    <x v="9"/>
    <b v="0"/>
    <s v="Working"/>
    <n v="0"/>
    <x v="1"/>
    <n v="1"/>
    <n v="0.14000000000000001"/>
    <x v="0"/>
    <n v="0.1212"/>
    <x v="17"/>
    <x v="2"/>
    <x v="2"/>
    <x v="1"/>
    <x v="57"/>
    <x v="15"/>
  </r>
  <r>
    <n v="819"/>
    <x v="17"/>
    <n v="1"/>
    <n v="1"/>
    <x v="17"/>
    <b v="0"/>
    <s v="Working"/>
    <n v="0"/>
    <x v="1"/>
    <n v="1"/>
    <n v="0.12"/>
    <x v="0"/>
    <n v="0.13639999999999999"/>
    <x v="21"/>
    <x v="2"/>
    <x v="4"/>
    <x v="12"/>
    <x v="24"/>
    <x v="12"/>
  </r>
  <r>
    <n v="820"/>
    <x v="18"/>
    <n v="1"/>
    <n v="1"/>
    <x v="10"/>
    <b v="0"/>
    <s v="Working"/>
    <n v="1"/>
    <x v="4"/>
    <n v="1"/>
    <n v="0.12"/>
    <x v="0"/>
    <n v="0.1212"/>
    <x v="21"/>
    <x v="2"/>
    <x v="1"/>
    <x v="9"/>
    <x v="27"/>
    <x v="25"/>
  </r>
  <r>
    <n v="821"/>
    <x v="18"/>
    <n v="1"/>
    <n v="1"/>
    <x v="0"/>
    <b v="0"/>
    <s v="Working"/>
    <n v="1"/>
    <x v="4"/>
    <n v="1"/>
    <n v="0.12"/>
    <x v="0"/>
    <n v="0.1212"/>
    <x v="21"/>
    <x v="2"/>
    <x v="1"/>
    <x v="2"/>
    <x v="51"/>
    <x v="24"/>
  </r>
  <r>
    <n v="822"/>
    <x v="18"/>
    <n v="1"/>
    <n v="1"/>
    <x v="1"/>
    <b v="0"/>
    <s v="Working"/>
    <n v="1"/>
    <x v="4"/>
    <n v="1"/>
    <n v="0.12"/>
    <x v="0"/>
    <n v="0.1212"/>
    <x v="21"/>
    <x v="2"/>
    <x v="5"/>
    <x v="12"/>
    <x v="27"/>
    <x v="2"/>
  </r>
  <r>
    <n v="823"/>
    <x v="18"/>
    <n v="1"/>
    <n v="1"/>
    <x v="11"/>
    <b v="0"/>
    <s v="Working"/>
    <n v="1"/>
    <x v="4"/>
    <n v="1"/>
    <n v="0.12"/>
    <x v="0"/>
    <n v="0.1212"/>
    <x v="21"/>
    <x v="2"/>
    <x v="5"/>
    <x v="12"/>
    <x v="25"/>
    <x v="24"/>
  </r>
  <r>
    <n v="824"/>
    <x v="18"/>
    <n v="1"/>
    <n v="1"/>
    <x v="22"/>
    <b v="0"/>
    <s v="Working"/>
    <n v="1"/>
    <x v="4"/>
    <n v="1"/>
    <n v="0.1"/>
    <x v="0"/>
    <n v="0.1212"/>
    <x v="48"/>
    <x v="2"/>
    <x v="9"/>
    <x v="2"/>
    <x v="2"/>
    <x v="2"/>
  </r>
  <r>
    <n v="825"/>
    <x v="18"/>
    <n v="1"/>
    <n v="1"/>
    <x v="18"/>
    <b v="0"/>
    <s v="Working"/>
    <n v="1"/>
    <x v="4"/>
    <n v="1"/>
    <n v="0.1"/>
    <x v="0"/>
    <n v="0.1061"/>
    <x v="48"/>
    <x v="2"/>
    <x v="3"/>
    <x v="12"/>
    <x v="27"/>
    <x v="2"/>
  </r>
  <r>
    <n v="826"/>
    <x v="18"/>
    <n v="1"/>
    <n v="1"/>
    <x v="19"/>
    <b v="0"/>
    <s v="Working"/>
    <n v="1"/>
    <x v="4"/>
    <n v="1"/>
    <n v="0.12"/>
    <x v="0"/>
    <n v="0.1212"/>
    <x v="21"/>
    <x v="2"/>
    <x v="1"/>
    <x v="12"/>
    <x v="6"/>
    <x v="52"/>
  </r>
  <r>
    <n v="827"/>
    <x v="18"/>
    <n v="1"/>
    <n v="1"/>
    <x v="2"/>
    <b v="0"/>
    <s v="Working"/>
    <n v="1"/>
    <x v="4"/>
    <n v="1"/>
    <n v="0.12"/>
    <x v="0"/>
    <n v="0.1212"/>
    <x v="21"/>
    <x v="2"/>
    <x v="5"/>
    <x v="9"/>
    <x v="113"/>
    <x v="69"/>
  </r>
  <r>
    <n v="828"/>
    <x v="18"/>
    <n v="1"/>
    <n v="1"/>
    <x v="14"/>
    <b v="0"/>
    <s v="Working"/>
    <n v="1"/>
    <x v="4"/>
    <n v="2"/>
    <n v="0.12"/>
    <x v="0"/>
    <n v="0.1212"/>
    <x v="21"/>
    <x v="2"/>
    <x v="1"/>
    <x v="8"/>
    <x v="114"/>
    <x v="118"/>
  </r>
  <r>
    <n v="829"/>
    <x v="18"/>
    <n v="1"/>
    <n v="1"/>
    <x v="15"/>
    <b v="0"/>
    <s v="Working"/>
    <n v="1"/>
    <x v="4"/>
    <n v="2"/>
    <n v="0.14000000000000001"/>
    <x v="0"/>
    <n v="0.1212"/>
    <x v="21"/>
    <x v="2"/>
    <x v="3"/>
    <x v="9"/>
    <x v="74"/>
    <x v="60"/>
  </r>
  <r>
    <n v="830"/>
    <x v="18"/>
    <n v="1"/>
    <n v="1"/>
    <x v="12"/>
    <b v="0"/>
    <s v="Working"/>
    <n v="1"/>
    <x v="4"/>
    <n v="2"/>
    <n v="0.14000000000000001"/>
    <x v="0"/>
    <n v="0.1212"/>
    <x v="21"/>
    <x v="2"/>
    <x v="2"/>
    <x v="12"/>
    <x v="6"/>
    <x v="52"/>
  </r>
  <r>
    <n v="831"/>
    <x v="18"/>
    <n v="1"/>
    <n v="1"/>
    <x v="3"/>
    <b v="0"/>
    <s v="Working"/>
    <n v="1"/>
    <x v="4"/>
    <n v="2"/>
    <n v="0.16"/>
    <x v="0"/>
    <n v="0.13639999999999999"/>
    <x v="20"/>
    <x v="2"/>
    <x v="1"/>
    <x v="9"/>
    <x v="21"/>
    <x v="42"/>
  </r>
  <r>
    <n v="832"/>
    <x v="18"/>
    <n v="1"/>
    <n v="1"/>
    <x v="20"/>
    <b v="0"/>
    <s v="Working"/>
    <n v="1"/>
    <x v="4"/>
    <n v="2"/>
    <n v="0.2"/>
    <x v="0"/>
    <n v="0.18179999999999999"/>
    <x v="23"/>
    <x v="2"/>
    <x v="1"/>
    <x v="1"/>
    <x v="38"/>
    <x v="39"/>
  </r>
  <r>
    <n v="833"/>
    <x v="18"/>
    <n v="1"/>
    <n v="1"/>
    <x v="21"/>
    <b v="0"/>
    <s v="Working"/>
    <n v="1"/>
    <x v="4"/>
    <n v="2"/>
    <n v="0.2"/>
    <x v="0"/>
    <n v="0.18179999999999999"/>
    <x v="23"/>
    <x v="2"/>
    <x v="1"/>
    <x v="8"/>
    <x v="77"/>
    <x v="81"/>
  </r>
  <r>
    <n v="834"/>
    <x v="18"/>
    <n v="1"/>
    <n v="1"/>
    <x v="23"/>
    <b v="0"/>
    <s v="Working"/>
    <n v="1"/>
    <x v="4"/>
    <n v="2"/>
    <n v="0.2"/>
    <x v="0"/>
    <n v="0.19700000000000001"/>
    <x v="23"/>
    <x v="2"/>
    <x v="5"/>
    <x v="12"/>
    <x v="38"/>
    <x v="38"/>
  </r>
  <r>
    <n v="835"/>
    <x v="18"/>
    <n v="1"/>
    <n v="1"/>
    <x v="13"/>
    <b v="0"/>
    <s v="Working"/>
    <n v="1"/>
    <x v="4"/>
    <n v="2"/>
    <n v="0.2"/>
    <x v="0"/>
    <n v="0.19700000000000001"/>
    <x v="23"/>
    <x v="2"/>
    <x v="5"/>
    <x v="9"/>
    <x v="43"/>
    <x v="95"/>
  </r>
  <r>
    <n v="836"/>
    <x v="18"/>
    <n v="1"/>
    <n v="1"/>
    <x v="4"/>
    <b v="0"/>
    <s v="Working"/>
    <n v="1"/>
    <x v="4"/>
    <n v="1"/>
    <n v="0.2"/>
    <x v="0"/>
    <n v="0.21210000000000001"/>
    <x v="23"/>
    <x v="2"/>
    <x v="9"/>
    <x v="8"/>
    <x v="59"/>
    <x v="14"/>
  </r>
  <r>
    <n v="837"/>
    <x v="18"/>
    <n v="1"/>
    <n v="1"/>
    <x v="16"/>
    <b v="0"/>
    <s v="Working"/>
    <n v="1"/>
    <x v="4"/>
    <n v="1"/>
    <n v="0.2"/>
    <x v="0"/>
    <n v="0.2273"/>
    <x v="23"/>
    <x v="2"/>
    <x v="7"/>
    <x v="8"/>
    <x v="115"/>
    <x v="119"/>
  </r>
  <r>
    <n v="838"/>
    <x v="18"/>
    <n v="1"/>
    <n v="1"/>
    <x v="5"/>
    <b v="0"/>
    <s v="Working"/>
    <n v="1"/>
    <x v="4"/>
    <n v="1"/>
    <n v="0.2"/>
    <x v="0"/>
    <n v="0.19700000000000001"/>
    <x v="23"/>
    <x v="2"/>
    <x v="5"/>
    <x v="2"/>
    <x v="116"/>
    <x v="120"/>
  </r>
  <r>
    <n v="839"/>
    <x v="18"/>
    <n v="1"/>
    <n v="1"/>
    <x v="6"/>
    <b v="0"/>
    <s v="Working"/>
    <n v="1"/>
    <x v="4"/>
    <n v="1"/>
    <n v="0.16"/>
    <x v="0"/>
    <n v="0.16669999999999999"/>
    <x v="20"/>
    <x v="2"/>
    <x v="6"/>
    <x v="0"/>
    <x v="74"/>
    <x v="19"/>
  </r>
  <r>
    <n v="840"/>
    <x v="18"/>
    <n v="1"/>
    <n v="1"/>
    <x v="7"/>
    <b v="0"/>
    <s v="Working"/>
    <n v="1"/>
    <x v="4"/>
    <n v="1"/>
    <n v="0.16"/>
    <x v="0"/>
    <n v="0.16669999999999999"/>
    <x v="21"/>
    <x v="2"/>
    <x v="6"/>
    <x v="2"/>
    <x v="61"/>
    <x v="14"/>
  </r>
  <r>
    <n v="841"/>
    <x v="18"/>
    <n v="1"/>
    <n v="1"/>
    <x v="8"/>
    <b v="0"/>
    <s v="Working"/>
    <n v="1"/>
    <x v="4"/>
    <n v="1"/>
    <n v="0.14000000000000001"/>
    <x v="0"/>
    <n v="0.13639999999999999"/>
    <x v="30"/>
    <x v="2"/>
    <x v="4"/>
    <x v="2"/>
    <x v="76"/>
    <x v="57"/>
  </r>
  <r>
    <n v="842"/>
    <x v="18"/>
    <n v="1"/>
    <n v="1"/>
    <x v="9"/>
    <b v="0"/>
    <s v="Working"/>
    <n v="1"/>
    <x v="4"/>
    <n v="1"/>
    <n v="0.14000000000000001"/>
    <x v="0"/>
    <n v="0.1515"/>
    <x v="30"/>
    <x v="2"/>
    <x v="6"/>
    <x v="9"/>
    <x v="28"/>
    <x v="121"/>
  </r>
  <r>
    <n v="843"/>
    <x v="18"/>
    <n v="1"/>
    <n v="1"/>
    <x v="17"/>
    <b v="0"/>
    <s v="Working"/>
    <n v="1"/>
    <x v="4"/>
    <n v="1"/>
    <n v="0.14000000000000001"/>
    <x v="0"/>
    <n v="0.1515"/>
    <x v="30"/>
    <x v="2"/>
    <x v="6"/>
    <x v="12"/>
    <x v="22"/>
    <x v="122"/>
  </r>
  <r>
    <n v="844"/>
    <x v="3"/>
    <n v="1"/>
    <n v="1"/>
    <x v="10"/>
    <b v="0"/>
    <s v="Working"/>
    <n v="2"/>
    <x v="2"/>
    <n v="1"/>
    <n v="0.14000000000000001"/>
    <x v="0"/>
    <n v="0.16669999999999999"/>
    <x v="30"/>
    <x v="2"/>
    <x v="7"/>
    <x v="9"/>
    <x v="57"/>
    <x v="70"/>
  </r>
  <r>
    <n v="845"/>
    <x v="3"/>
    <n v="1"/>
    <n v="1"/>
    <x v="0"/>
    <b v="0"/>
    <s v="Working"/>
    <n v="2"/>
    <x v="2"/>
    <n v="1"/>
    <n v="0.14000000000000001"/>
    <x v="0"/>
    <n v="0.1515"/>
    <x v="30"/>
    <x v="2"/>
    <x v="6"/>
    <x v="12"/>
    <x v="27"/>
    <x v="2"/>
  </r>
  <r>
    <n v="846"/>
    <x v="3"/>
    <n v="1"/>
    <n v="1"/>
    <x v="1"/>
    <b v="0"/>
    <s v="Working"/>
    <n v="2"/>
    <x v="2"/>
    <n v="2"/>
    <n v="0.16"/>
    <x v="0"/>
    <n v="0.1515"/>
    <x v="29"/>
    <x v="2"/>
    <x v="4"/>
    <x v="12"/>
    <x v="27"/>
    <x v="2"/>
  </r>
  <r>
    <n v="847"/>
    <x v="3"/>
    <n v="1"/>
    <n v="1"/>
    <x v="18"/>
    <b v="0"/>
    <s v="Working"/>
    <n v="2"/>
    <x v="2"/>
    <n v="2"/>
    <n v="0.16"/>
    <x v="0"/>
    <n v="0.18179999999999999"/>
    <x v="29"/>
    <x v="2"/>
    <x v="9"/>
    <x v="12"/>
    <x v="24"/>
    <x v="12"/>
  </r>
  <r>
    <n v="848"/>
    <x v="3"/>
    <n v="1"/>
    <n v="1"/>
    <x v="19"/>
    <b v="0"/>
    <s v="Working"/>
    <n v="2"/>
    <x v="2"/>
    <n v="2"/>
    <n v="0.16"/>
    <x v="0"/>
    <n v="0.18179999999999999"/>
    <x v="29"/>
    <x v="2"/>
    <x v="9"/>
    <x v="12"/>
    <x v="1"/>
    <x v="54"/>
  </r>
  <r>
    <n v="849"/>
    <x v="3"/>
    <n v="1"/>
    <n v="1"/>
    <x v="2"/>
    <b v="0"/>
    <s v="Working"/>
    <n v="2"/>
    <x v="2"/>
    <n v="2"/>
    <n v="0.16"/>
    <x v="0"/>
    <n v="0.2273"/>
    <x v="29"/>
    <x v="2"/>
    <x v="0"/>
    <x v="9"/>
    <x v="117"/>
    <x v="56"/>
  </r>
  <r>
    <n v="850"/>
    <x v="3"/>
    <n v="1"/>
    <n v="1"/>
    <x v="14"/>
    <b v="0"/>
    <s v="Working"/>
    <n v="2"/>
    <x v="2"/>
    <n v="2"/>
    <n v="0.18"/>
    <x v="0"/>
    <n v="0.21210000000000001"/>
    <x v="34"/>
    <x v="2"/>
    <x v="8"/>
    <x v="0"/>
    <x v="118"/>
    <x v="123"/>
  </r>
  <r>
    <n v="851"/>
    <x v="3"/>
    <n v="1"/>
    <n v="1"/>
    <x v="15"/>
    <b v="0"/>
    <s v="Working"/>
    <n v="2"/>
    <x v="2"/>
    <n v="2"/>
    <n v="0.18"/>
    <x v="0"/>
    <n v="0.19700000000000001"/>
    <x v="34"/>
    <x v="2"/>
    <x v="6"/>
    <x v="0"/>
    <x v="92"/>
    <x v="124"/>
  </r>
  <r>
    <n v="852"/>
    <x v="3"/>
    <n v="1"/>
    <n v="1"/>
    <x v="12"/>
    <b v="0"/>
    <s v="Working"/>
    <n v="2"/>
    <x v="2"/>
    <n v="2"/>
    <n v="0.2"/>
    <x v="0"/>
    <n v="0.21210000000000001"/>
    <x v="34"/>
    <x v="2"/>
    <x v="6"/>
    <x v="0"/>
    <x v="19"/>
    <x v="81"/>
  </r>
  <r>
    <n v="853"/>
    <x v="3"/>
    <n v="1"/>
    <n v="1"/>
    <x v="3"/>
    <b v="0"/>
    <s v="Working"/>
    <n v="2"/>
    <x v="2"/>
    <n v="2"/>
    <n v="0.2"/>
    <x v="0"/>
    <n v="0.21210000000000001"/>
    <x v="20"/>
    <x v="2"/>
    <x v="9"/>
    <x v="8"/>
    <x v="6"/>
    <x v="5"/>
  </r>
  <r>
    <n v="854"/>
    <x v="3"/>
    <n v="1"/>
    <n v="1"/>
    <x v="20"/>
    <b v="0"/>
    <s v="Working"/>
    <n v="2"/>
    <x v="2"/>
    <n v="2"/>
    <n v="0.2"/>
    <x v="0"/>
    <n v="0.2273"/>
    <x v="34"/>
    <x v="2"/>
    <x v="7"/>
    <x v="9"/>
    <x v="13"/>
    <x v="74"/>
  </r>
  <r>
    <n v="855"/>
    <x v="3"/>
    <n v="1"/>
    <n v="1"/>
    <x v="21"/>
    <b v="0"/>
    <s v="Working"/>
    <n v="2"/>
    <x v="2"/>
    <n v="2"/>
    <n v="0.2"/>
    <x v="0"/>
    <n v="0.2273"/>
    <x v="30"/>
    <x v="2"/>
    <x v="8"/>
    <x v="6"/>
    <x v="12"/>
    <x v="39"/>
  </r>
  <r>
    <n v="856"/>
    <x v="3"/>
    <n v="1"/>
    <n v="1"/>
    <x v="23"/>
    <b v="0"/>
    <s v="Working"/>
    <n v="2"/>
    <x v="2"/>
    <n v="2"/>
    <n v="0.2"/>
    <x v="0"/>
    <n v="0.2273"/>
    <x v="30"/>
    <x v="2"/>
    <x v="8"/>
    <x v="0"/>
    <x v="107"/>
    <x v="77"/>
  </r>
  <r>
    <n v="871"/>
    <x v="4"/>
    <n v="1"/>
    <n v="1"/>
    <x v="2"/>
    <b v="0"/>
    <s v="Working"/>
    <n v="3"/>
    <x v="3"/>
    <n v="1"/>
    <n v="0.14000000000000001"/>
    <x v="0"/>
    <n v="0.1515"/>
    <x v="28"/>
    <x v="2"/>
    <x v="9"/>
    <x v="12"/>
    <x v="60"/>
    <x v="81"/>
  </r>
  <r>
    <n v="872"/>
    <x v="4"/>
    <n v="1"/>
    <n v="1"/>
    <x v="14"/>
    <b v="0"/>
    <s v="Working"/>
    <n v="3"/>
    <x v="3"/>
    <n v="1"/>
    <n v="0.16"/>
    <x v="0"/>
    <n v="0.16669999999999999"/>
    <x v="30"/>
    <x v="2"/>
    <x v="6"/>
    <x v="0"/>
    <x v="103"/>
    <x v="125"/>
  </r>
  <r>
    <n v="873"/>
    <x v="4"/>
    <n v="1"/>
    <n v="1"/>
    <x v="15"/>
    <b v="0"/>
    <s v="Working"/>
    <n v="3"/>
    <x v="3"/>
    <n v="1"/>
    <n v="0.16"/>
    <x v="0"/>
    <n v="0.13639999999999999"/>
    <x v="30"/>
    <x v="2"/>
    <x v="10"/>
    <x v="0"/>
    <x v="97"/>
    <x v="126"/>
  </r>
  <r>
    <n v="874"/>
    <x v="4"/>
    <n v="1"/>
    <n v="1"/>
    <x v="12"/>
    <b v="0"/>
    <s v="Working"/>
    <n v="3"/>
    <x v="3"/>
    <n v="1"/>
    <n v="0.18"/>
    <x v="0"/>
    <n v="0.18179999999999999"/>
    <x v="29"/>
    <x v="2"/>
    <x v="5"/>
    <x v="12"/>
    <x v="105"/>
    <x v="110"/>
  </r>
  <r>
    <n v="875"/>
    <x v="4"/>
    <n v="1"/>
    <n v="1"/>
    <x v="3"/>
    <b v="0"/>
    <s v="Working"/>
    <n v="3"/>
    <x v="3"/>
    <n v="1"/>
    <n v="0.2"/>
    <x v="0"/>
    <n v="0.18179999999999999"/>
    <x v="34"/>
    <x v="2"/>
    <x v="14"/>
    <x v="0"/>
    <x v="20"/>
    <x v="5"/>
  </r>
  <r>
    <n v="876"/>
    <x v="4"/>
    <n v="1"/>
    <n v="1"/>
    <x v="20"/>
    <b v="0"/>
    <s v="Working"/>
    <n v="3"/>
    <x v="3"/>
    <n v="1"/>
    <n v="0.2"/>
    <x v="0"/>
    <n v="0.1515"/>
    <x v="20"/>
    <x v="2"/>
    <x v="19"/>
    <x v="0"/>
    <x v="4"/>
    <x v="114"/>
  </r>
  <r>
    <n v="877"/>
    <x v="4"/>
    <n v="1"/>
    <n v="1"/>
    <x v="21"/>
    <b v="0"/>
    <s v="Working"/>
    <n v="3"/>
    <x v="3"/>
    <n v="1"/>
    <n v="0.22"/>
    <x v="0"/>
    <n v="0.19700000000000001"/>
    <x v="19"/>
    <x v="2"/>
    <x v="11"/>
    <x v="12"/>
    <x v="49"/>
    <x v="51"/>
  </r>
  <r>
    <n v="878"/>
    <x v="4"/>
    <n v="1"/>
    <n v="1"/>
    <x v="23"/>
    <b v="0"/>
    <s v="Working"/>
    <n v="3"/>
    <x v="3"/>
    <n v="1"/>
    <n v="0.2"/>
    <x v="0"/>
    <n v="0.18179999999999999"/>
    <x v="20"/>
    <x v="2"/>
    <x v="10"/>
    <x v="12"/>
    <x v="111"/>
    <x v="68"/>
  </r>
  <r>
    <n v="879"/>
    <x v="4"/>
    <n v="1"/>
    <n v="1"/>
    <x v="13"/>
    <b v="0"/>
    <s v="Working"/>
    <n v="3"/>
    <x v="3"/>
    <n v="1"/>
    <n v="0.2"/>
    <x v="0"/>
    <n v="0.16669999999999999"/>
    <x v="20"/>
    <x v="2"/>
    <x v="17"/>
    <x v="2"/>
    <x v="68"/>
    <x v="51"/>
  </r>
  <r>
    <n v="880"/>
    <x v="4"/>
    <n v="1"/>
    <n v="1"/>
    <x v="4"/>
    <b v="0"/>
    <s v="Working"/>
    <n v="3"/>
    <x v="3"/>
    <n v="1"/>
    <n v="0.22"/>
    <x v="0"/>
    <n v="0.19700000000000001"/>
    <x v="19"/>
    <x v="2"/>
    <x v="10"/>
    <x v="1"/>
    <x v="65"/>
    <x v="127"/>
  </r>
  <r>
    <n v="881"/>
    <x v="4"/>
    <n v="1"/>
    <n v="1"/>
    <x v="16"/>
    <b v="0"/>
    <s v="Working"/>
    <n v="3"/>
    <x v="3"/>
    <n v="1"/>
    <n v="0.2"/>
    <x v="0"/>
    <n v="0.18179999999999999"/>
    <x v="20"/>
    <x v="2"/>
    <x v="11"/>
    <x v="12"/>
    <x v="119"/>
    <x v="128"/>
  </r>
  <r>
    <n v="882"/>
    <x v="4"/>
    <n v="1"/>
    <n v="1"/>
    <x v="5"/>
    <b v="0"/>
    <s v="Working"/>
    <n v="3"/>
    <x v="3"/>
    <n v="1"/>
    <n v="0.2"/>
    <x v="0"/>
    <n v="0.1515"/>
    <x v="20"/>
    <x v="2"/>
    <x v="18"/>
    <x v="9"/>
    <x v="120"/>
    <x v="129"/>
  </r>
  <r>
    <n v="883"/>
    <x v="4"/>
    <n v="1"/>
    <n v="1"/>
    <x v="6"/>
    <b v="0"/>
    <s v="Working"/>
    <n v="3"/>
    <x v="3"/>
    <n v="1"/>
    <n v="0.18"/>
    <x v="0"/>
    <n v="0.1515"/>
    <x v="20"/>
    <x v="2"/>
    <x v="17"/>
    <x v="2"/>
    <x v="93"/>
    <x v="31"/>
  </r>
  <r>
    <n v="884"/>
    <x v="4"/>
    <n v="1"/>
    <n v="1"/>
    <x v="7"/>
    <b v="0"/>
    <s v="Working"/>
    <n v="3"/>
    <x v="3"/>
    <n v="1"/>
    <n v="0.16"/>
    <x v="0"/>
    <n v="0.13639999999999999"/>
    <x v="21"/>
    <x v="2"/>
    <x v="10"/>
    <x v="9"/>
    <x v="60"/>
    <x v="3"/>
  </r>
  <r>
    <n v="885"/>
    <x v="4"/>
    <n v="1"/>
    <n v="1"/>
    <x v="8"/>
    <b v="0"/>
    <s v="Working"/>
    <n v="3"/>
    <x v="3"/>
    <n v="1"/>
    <n v="0.16"/>
    <x v="0"/>
    <n v="0.13639999999999999"/>
    <x v="29"/>
    <x v="2"/>
    <x v="10"/>
    <x v="12"/>
    <x v="96"/>
    <x v="74"/>
  </r>
  <r>
    <n v="886"/>
    <x v="4"/>
    <n v="1"/>
    <n v="1"/>
    <x v="9"/>
    <b v="0"/>
    <s v="Working"/>
    <n v="3"/>
    <x v="3"/>
    <n v="1"/>
    <n v="0.16"/>
    <x v="0"/>
    <n v="0.1212"/>
    <x v="29"/>
    <x v="2"/>
    <x v="13"/>
    <x v="2"/>
    <x v="20"/>
    <x v="33"/>
  </r>
  <r>
    <n v="887"/>
    <x v="4"/>
    <n v="1"/>
    <n v="1"/>
    <x v="17"/>
    <b v="0"/>
    <s v="Working"/>
    <n v="3"/>
    <x v="3"/>
    <n v="1"/>
    <n v="0.14000000000000001"/>
    <x v="0"/>
    <n v="0.1061"/>
    <x v="30"/>
    <x v="2"/>
    <x v="17"/>
    <x v="2"/>
    <x v="34"/>
    <x v="16"/>
  </r>
  <r>
    <n v="888"/>
    <x v="19"/>
    <n v="1"/>
    <n v="1"/>
    <x v="10"/>
    <b v="0"/>
    <s v="Working"/>
    <n v="4"/>
    <x v="6"/>
    <n v="1"/>
    <n v="0.14000000000000001"/>
    <x v="0"/>
    <n v="0.1212"/>
    <x v="30"/>
    <x v="2"/>
    <x v="1"/>
    <x v="2"/>
    <x v="24"/>
    <x v="23"/>
  </r>
  <r>
    <n v="889"/>
    <x v="19"/>
    <n v="1"/>
    <n v="1"/>
    <x v="0"/>
    <b v="0"/>
    <s v="Working"/>
    <n v="4"/>
    <x v="6"/>
    <n v="1"/>
    <n v="0.14000000000000001"/>
    <x v="0"/>
    <n v="0.1212"/>
    <x v="21"/>
    <x v="2"/>
    <x v="1"/>
    <x v="12"/>
    <x v="2"/>
    <x v="34"/>
  </r>
  <r>
    <n v="890"/>
    <x v="19"/>
    <n v="1"/>
    <n v="1"/>
    <x v="1"/>
    <b v="0"/>
    <s v="Working"/>
    <n v="4"/>
    <x v="6"/>
    <n v="1"/>
    <n v="0.14000000000000001"/>
    <x v="0"/>
    <n v="0.1212"/>
    <x v="21"/>
    <x v="2"/>
    <x v="11"/>
    <x v="12"/>
    <x v="2"/>
    <x v="34"/>
  </r>
  <r>
    <n v="891"/>
    <x v="19"/>
    <n v="1"/>
    <n v="1"/>
    <x v="11"/>
    <b v="0"/>
    <s v="Working"/>
    <n v="4"/>
    <x v="6"/>
    <n v="1"/>
    <n v="0.14000000000000001"/>
    <x v="0"/>
    <n v="0.1212"/>
    <x v="21"/>
    <x v="2"/>
    <x v="10"/>
    <x v="12"/>
    <x v="27"/>
    <x v="2"/>
  </r>
  <r>
    <n v="892"/>
    <x v="19"/>
    <n v="1"/>
    <n v="1"/>
    <x v="22"/>
    <b v="0"/>
    <s v="Working"/>
    <n v="4"/>
    <x v="6"/>
    <n v="1"/>
    <n v="0.14000000000000001"/>
    <x v="0"/>
    <n v="0.1212"/>
    <x v="21"/>
    <x v="2"/>
    <x v="3"/>
    <x v="12"/>
    <x v="11"/>
    <x v="27"/>
  </r>
  <r>
    <n v="893"/>
    <x v="19"/>
    <n v="1"/>
    <n v="1"/>
    <x v="18"/>
    <b v="0"/>
    <s v="Working"/>
    <n v="4"/>
    <x v="6"/>
    <n v="1"/>
    <n v="0.14000000000000001"/>
    <x v="0"/>
    <n v="0.1212"/>
    <x v="21"/>
    <x v="2"/>
    <x v="2"/>
    <x v="12"/>
    <x v="27"/>
    <x v="2"/>
  </r>
  <r>
    <n v="894"/>
    <x v="19"/>
    <n v="1"/>
    <n v="1"/>
    <x v="19"/>
    <b v="0"/>
    <s v="Working"/>
    <n v="4"/>
    <x v="6"/>
    <n v="1"/>
    <n v="0.12"/>
    <x v="0"/>
    <n v="0.1515"/>
    <x v="48"/>
    <x v="2"/>
    <x v="9"/>
    <x v="12"/>
    <x v="21"/>
    <x v="9"/>
  </r>
  <r>
    <n v="895"/>
    <x v="19"/>
    <n v="1"/>
    <n v="1"/>
    <x v="2"/>
    <b v="0"/>
    <s v="Working"/>
    <n v="4"/>
    <x v="6"/>
    <n v="1"/>
    <n v="0.12"/>
    <x v="0"/>
    <n v="0.1515"/>
    <x v="48"/>
    <x v="2"/>
    <x v="9"/>
    <x v="12"/>
    <x v="16"/>
    <x v="43"/>
  </r>
  <r>
    <n v="896"/>
    <x v="19"/>
    <n v="1"/>
    <n v="1"/>
    <x v="14"/>
    <b v="0"/>
    <s v="Working"/>
    <n v="4"/>
    <x v="6"/>
    <n v="1"/>
    <n v="0.14000000000000001"/>
    <x v="0"/>
    <n v="0.13639999999999999"/>
    <x v="21"/>
    <x v="2"/>
    <x v="4"/>
    <x v="1"/>
    <x v="121"/>
    <x v="130"/>
  </r>
  <r>
    <n v="897"/>
    <x v="19"/>
    <n v="1"/>
    <n v="1"/>
    <x v="15"/>
    <b v="0"/>
    <s v="Working"/>
    <n v="4"/>
    <x v="6"/>
    <n v="1"/>
    <n v="0.14000000000000001"/>
    <x v="0"/>
    <n v="0.1212"/>
    <x v="21"/>
    <x v="2"/>
    <x v="10"/>
    <x v="9"/>
    <x v="122"/>
    <x v="128"/>
  </r>
  <r>
    <n v="898"/>
    <x v="19"/>
    <n v="1"/>
    <n v="1"/>
    <x v="12"/>
    <b v="0"/>
    <s v="Working"/>
    <n v="4"/>
    <x v="6"/>
    <n v="2"/>
    <n v="0.16"/>
    <x v="0"/>
    <n v="0.13639999999999999"/>
    <x v="21"/>
    <x v="2"/>
    <x v="11"/>
    <x v="9"/>
    <x v="44"/>
    <x v="57"/>
  </r>
  <r>
    <n v="899"/>
    <x v="19"/>
    <n v="1"/>
    <n v="1"/>
    <x v="3"/>
    <b v="0"/>
    <s v="Working"/>
    <n v="4"/>
    <x v="6"/>
    <n v="2"/>
    <n v="0.2"/>
    <x v="0"/>
    <n v="0.16669999999999999"/>
    <x v="19"/>
    <x v="2"/>
    <x v="13"/>
    <x v="8"/>
    <x v="33"/>
    <x v="6"/>
  </r>
  <r>
    <n v="900"/>
    <x v="19"/>
    <n v="1"/>
    <n v="1"/>
    <x v="20"/>
    <b v="0"/>
    <s v="Working"/>
    <n v="4"/>
    <x v="6"/>
    <n v="1"/>
    <n v="0.2"/>
    <x v="0"/>
    <n v="0.16669999999999999"/>
    <x v="19"/>
    <x v="2"/>
    <x v="17"/>
    <x v="0"/>
    <x v="49"/>
    <x v="39"/>
  </r>
  <r>
    <n v="901"/>
    <x v="19"/>
    <n v="1"/>
    <n v="1"/>
    <x v="21"/>
    <b v="0"/>
    <s v="Working"/>
    <n v="4"/>
    <x v="6"/>
    <n v="1"/>
    <n v="0.22"/>
    <x v="0"/>
    <n v="0.19700000000000001"/>
    <x v="49"/>
    <x v="2"/>
    <x v="13"/>
    <x v="9"/>
    <x v="67"/>
    <x v="31"/>
  </r>
  <r>
    <n v="902"/>
    <x v="19"/>
    <n v="1"/>
    <n v="1"/>
    <x v="23"/>
    <b v="0"/>
    <s v="Working"/>
    <n v="4"/>
    <x v="6"/>
    <n v="1"/>
    <n v="0.22"/>
    <x v="0"/>
    <n v="0.19700000000000001"/>
    <x v="49"/>
    <x v="2"/>
    <x v="14"/>
    <x v="0"/>
    <x v="105"/>
    <x v="73"/>
  </r>
  <r>
    <n v="903"/>
    <x v="19"/>
    <n v="1"/>
    <n v="1"/>
    <x v="13"/>
    <b v="0"/>
    <s v="Working"/>
    <n v="4"/>
    <x v="6"/>
    <n v="1"/>
    <n v="0.24"/>
    <x v="0"/>
    <n v="0.21210000000000001"/>
    <x v="42"/>
    <x v="2"/>
    <x v="2"/>
    <x v="1"/>
    <x v="13"/>
    <x v="48"/>
  </r>
  <r>
    <n v="904"/>
    <x v="19"/>
    <n v="1"/>
    <n v="1"/>
    <x v="4"/>
    <b v="0"/>
    <s v="Working"/>
    <n v="4"/>
    <x v="6"/>
    <n v="1"/>
    <n v="0.24"/>
    <x v="0"/>
    <n v="0.21210000000000001"/>
    <x v="42"/>
    <x v="2"/>
    <x v="11"/>
    <x v="9"/>
    <x v="101"/>
    <x v="75"/>
  </r>
  <r>
    <n v="905"/>
    <x v="19"/>
    <n v="1"/>
    <n v="1"/>
    <x v="16"/>
    <b v="0"/>
    <s v="Working"/>
    <n v="4"/>
    <x v="6"/>
    <n v="1"/>
    <n v="0.2"/>
    <x v="0"/>
    <n v="0.18179999999999999"/>
    <x v="23"/>
    <x v="2"/>
    <x v="1"/>
    <x v="8"/>
    <x v="100"/>
    <x v="131"/>
  </r>
  <r>
    <n v="906"/>
    <x v="19"/>
    <n v="1"/>
    <n v="1"/>
    <x v="5"/>
    <b v="0"/>
    <s v="Working"/>
    <n v="4"/>
    <x v="6"/>
    <n v="1"/>
    <n v="0.2"/>
    <x v="0"/>
    <n v="0.18179999999999999"/>
    <x v="23"/>
    <x v="2"/>
    <x v="10"/>
    <x v="0"/>
    <x v="123"/>
    <x v="132"/>
  </r>
  <r>
    <n v="907"/>
    <x v="19"/>
    <n v="1"/>
    <n v="1"/>
    <x v="6"/>
    <b v="0"/>
    <s v="Working"/>
    <n v="4"/>
    <x v="6"/>
    <n v="1"/>
    <n v="0.16"/>
    <x v="0"/>
    <n v="0.1515"/>
    <x v="20"/>
    <x v="2"/>
    <x v="3"/>
    <x v="2"/>
    <x v="56"/>
    <x v="56"/>
  </r>
  <r>
    <n v="908"/>
    <x v="19"/>
    <n v="1"/>
    <n v="1"/>
    <x v="7"/>
    <b v="0"/>
    <s v="Working"/>
    <n v="4"/>
    <x v="6"/>
    <n v="1"/>
    <n v="0.16"/>
    <x v="0"/>
    <n v="0.1515"/>
    <x v="20"/>
    <x v="2"/>
    <x v="5"/>
    <x v="12"/>
    <x v="62"/>
    <x v="65"/>
  </r>
  <r>
    <n v="909"/>
    <x v="19"/>
    <n v="1"/>
    <n v="1"/>
    <x v="8"/>
    <b v="0"/>
    <s v="Working"/>
    <n v="4"/>
    <x v="6"/>
    <n v="1"/>
    <n v="0.14000000000000001"/>
    <x v="0"/>
    <n v="0.1212"/>
    <x v="17"/>
    <x v="2"/>
    <x v="2"/>
    <x v="12"/>
    <x v="50"/>
    <x v="53"/>
  </r>
  <r>
    <n v="910"/>
    <x v="19"/>
    <n v="1"/>
    <n v="1"/>
    <x v="9"/>
    <b v="0"/>
    <s v="Working"/>
    <n v="4"/>
    <x v="6"/>
    <n v="1"/>
    <n v="0.14000000000000001"/>
    <x v="0"/>
    <n v="0.1212"/>
    <x v="17"/>
    <x v="2"/>
    <x v="10"/>
    <x v="12"/>
    <x v="3"/>
    <x v="42"/>
  </r>
  <r>
    <n v="911"/>
    <x v="19"/>
    <n v="1"/>
    <n v="1"/>
    <x v="17"/>
    <b v="0"/>
    <s v="Working"/>
    <n v="4"/>
    <x v="6"/>
    <n v="1"/>
    <n v="0.12"/>
    <x v="0"/>
    <n v="0.13639999999999999"/>
    <x v="21"/>
    <x v="2"/>
    <x v="4"/>
    <x v="2"/>
    <x v="106"/>
    <x v="15"/>
  </r>
  <r>
    <n v="912"/>
    <x v="20"/>
    <n v="1"/>
    <n v="1"/>
    <x v="10"/>
    <b v="0"/>
    <s v="Working"/>
    <n v="5"/>
    <x v="5"/>
    <n v="1"/>
    <n v="0.12"/>
    <x v="0"/>
    <n v="0.13639999999999999"/>
    <x v="21"/>
    <x v="2"/>
    <x v="4"/>
    <x v="12"/>
    <x v="106"/>
    <x v="58"/>
  </r>
  <r>
    <n v="913"/>
    <x v="20"/>
    <n v="1"/>
    <n v="1"/>
    <x v="0"/>
    <b v="0"/>
    <s v="Working"/>
    <n v="5"/>
    <x v="5"/>
    <n v="1"/>
    <n v="0.1"/>
    <x v="0"/>
    <n v="0.1212"/>
    <x v="48"/>
    <x v="2"/>
    <x v="6"/>
    <x v="12"/>
    <x v="26"/>
    <x v="25"/>
  </r>
  <r>
    <n v="914"/>
    <x v="20"/>
    <n v="1"/>
    <n v="1"/>
    <x v="1"/>
    <b v="0"/>
    <s v="Working"/>
    <n v="5"/>
    <x v="5"/>
    <n v="1"/>
    <n v="0.1"/>
    <x v="0"/>
    <n v="0.1212"/>
    <x v="48"/>
    <x v="2"/>
    <x v="9"/>
    <x v="12"/>
    <x v="25"/>
    <x v="24"/>
  </r>
  <r>
    <n v="915"/>
    <x v="20"/>
    <n v="1"/>
    <n v="1"/>
    <x v="11"/>
    <b v="0"/>
    <s v="Working"/>
    <n v="5"/>
    <x v="5"/>
    <n v="1"/>
    <n v="0.1"/>
    <x v="0"/>
    <n v="0.13639999999999999"/>
    <x v="48"/>
    <x v="2"/>
    <x v="7"/>
    <x v="12"/>
    <x v="25"/>
    <x v="24"/>
  </r>
  <r>
    <n v="916"/>
    <x v="20"/>
    <n v="1"/>
    <n v="1"/>
    <x v="18"/>
    <b v="0"/>
    <s v="Working"/>
    <n v="5"/>
    <x v="5"/>
    <n v="1"/>
    <n v="0.1"/>
    <x v="0"/>
    <n v="0.13639999999999999"/>
    <x v="48"/>
    <x v="2"/>
    <x v="8"/>
    <x v="12"/>
    <x v="10"/>
    <x v="41"/>
  </r>
  <r>
    <n v="917"/>
    <x v="20"/>
    <n v="1"/>
    <n v="1"/>
    <x v="19"/>
    <b v="0"/>
    <s v="Working"/>
    <n v="5"/>
    <x v="5"/>
    <n v="1"/>
    <n v="0.1"/>
    <x v="0"/>
    <n v="0.18179999999999999"/>
    <x v="48"/>
    <x v="2"/>
    <x v="0"/>
    <x v="12"/>
    <x v="8"/>
    <x v="10"/>
  </r>
  <r>
    <n v="918"/>
    <x v="20"/>
    <n v="1"/>
    <n v="1"/>
    <x v="2"/>
    <b v="0"/>
    <s v="Working"/>
    <n v="5"/>
    <x v="5"/>
    <n v="1"/>
    <n v="0.1"/>
    <x v="0"/>
    <n v="0.1212"/>
    <x v="33"/>
    <x v="2"/>
    <x v="6"/>
    <x v="12"/>
    <x v="59"/>
    <x v="40"/>
  </r>
  <r>
    <n v="919"/>
    <x v="20"/>
    <n v="1"/>
    <n v="1"/>
    <x v="14"/>
    <b v="0"/>
    <s v="Working"/>
    <n v="5"/>
    <x v="5"/>
    <n v="1"/>
    <n v="0.12"/>
    <x v="0"/>
    <n v="0.16669999999999999"/>
    <x v="32"/>
    <x v="2"/>
    <x v="0"/>
    <x v="9"/>
    <x v="124"/>
    <x v="133"/>
  </r>
  <r>
    <n v="920"/>
    <x v="20"/>
    <n v="1"/>
    <n v="1"/>
    <x v="15"/>
    <b v="0"/>
    <s v="Working"/>
    <n v="5"/>
    <x v="5"/>
    <n v="1"/>
    <n v="0.14000000000000001"/>
    <x v="0"/>
    <n v="0.1515"/>
    <x v="28"/>
    <x v="2"/>
    <x v="9"/>
    <x v="12"/>
    <x v="125"/>
    <x v="134"/>
  </r>
  <r>
    <n v="921"/>
    <x v="20"/>
    <n v="1"/>
    <n v="1"/>
    <x v="12"/>
    <b v="0"/>
    <s v="Working"/>
    <n v="5"/>
    <x v="5"/>
    <n v="1"/>
    <n v="0.18"/>
    <x v="0"/>
    <n v="0.18179999999999999"/>
    <x v="29"/>
    <x v="2"/>
    <x v="4"/>
    <x v="8"/>
    <x v="50"/>
    <x v="68"/>
  </r>
  <r>
    <n v="922"/>
    <x v="20"/>
    <n v="1"/>
    <n v="1"/>
    <x v="3"/>
    <b v="0"/>
    <s v="Working"/>
    <n v="5"/>
    <x v="5"/>
    <n v="1"/>
    <n v="0.18"/>
    <x v="0"/>
    <n v="0.16669999999999999"/>
    <x v="34"/>
    <x v="2"/>
    <x v="1"/>
    <x v="6"/>
    <x v="38"/>
    <x v="13"/>
  </r>
  <r>
    <n v="923"/>
    <x v="20"/>
    <n v="1"/>
    <n v="1"/>
    <x v="20"/>
    <b v="0"/>
    <s v="Working"/>
    <n v="5"/>
    <x v="5"/>
    <n v="1"/>
    <n v="0.2"/>
    <x v="0"/>
    <n v="0.19700000000000001"/>
    <x v="19"/>
    <x v="2"/>
    <x v="3"/>
    <x v="9"/>
    <x v="98"/>
    <x v="29"/>
  </r>
  <r>
    <n v="924"/>
    <x v="20"/>
    <n v="1"/>
    <n v="1"/>
    <x v="21"/>
    <b v="0"/>
    <s v="Working"/>
    <n v="5"/>
    <x v="5"/>
    <n v="1"/>
    <n v="0.22"/>
    <x v="0"/>
    <n v="0.19700000000000001"/>
    <x v="39"/>
    <x v="2"/>
    <x v="14"/>
    <x v="8"/>
    <x v="61"/>
    <x v="69"/>
  </r>
  <r>
    <n v="925"/>
    <x v="20"/>
    <n v="1"/>
    <n v="1"/>
    <x v="23"/>
    <b v="0"/>
    <s v="Working"/>
    <n v="5"/>
    <x v="5"/>
    <n v="1"/>
    <n v="0.22"/>
    <x v="0"/>
    <n v="0.21210000000000001"/>
    <x v="49"/>
    <x v="2"/>
    <x v="1"/>
    <x v="1"/>
    <x v="98"/>
    <x v="65"/>
  </r>
  <r>
    <n v="926"/>
    <x v="20"/>
    <n v="1"/>
    <n v="1"/>
    <x v="13"/>
    <b v="0"/>
    <s v="Working"/>
    <n v="5"/>
    <x v="5"/>
    <n v="1"/>
    <n v="0.24"/>
    <x v="0"/>
    <n v="0.2424"/>
    <x v="42"/>
    <x v="2"/>
    <x v="6"/>
    <x v="5"/>
    <x v="98"/>
    <x v="127"/>
  </r>
  <r>
    <n v="927"/>
    <x v="20"/>
    <n v="1"/>
    <n v="1"/>
    <x v="4"/>
    <b v="0"/>
    <s v="Working"/>
    <n v="5"/>
    <x v="5"/>
    <n v="1"/>
    <n v="0.22"/>
    <x v="0"/>
    <n v="0.2424"/>
    <x v="49"/>
    <x v="2"/>
    <x v="7"/>
    <x v="0"/>
    <x v="85"/>
    <x v="35"/>
  </r>
  <r>
    <n v="928"/>
    <x v="20"/>
    <n v="1"/>
    <n v="1"/>
    <x v="16"/>
    <b v="0"/>
    <s v="Working"/>
    <n v="5"/>
    <x v="5"/>
    <n v="1"/>
    <n v="0.22"/>
    <x v="0"/>
    <n v="0.2273"/>
    <x v="49"/>
    <x v="2"/>
    <x v="6"/>
    <x v="8"/>
    <x v="47"/>
    <x v="135"/>
  </r>
  <r>
    <n v="929"/>
    <x v="20"/>
    <n v="1"/>
    <n v="1"/>
    <x v="5"/>
    <b v="0"/>
    <s v="Working"/>
    <n v="5"/>
    <x v="5"/>
    <n v="1"/>
    <n v="0.2"/>
    <x v="0"/>
    <n v="0.2576"/>
    <x v="20"/>
    <x v="2"/>
    <x v="0"/>
    <x v="1"/>
    <x v="126"/>
    <x v="128"/>
  </r>
  <r>
    <n v="930"/>
    <x v="20"/>
    <n v="1"/>
    <n v="1"/>
    <x v="6"/>
    <b v="0"/>
    <s v="Working"/>
    <n v="5"/>
    <x v="5"/>
    <n v="1"/>
    <n v="0.16"/>
    <x v="0"/>
    <n v="0.19700000000000001"/>
    <x v="30"/>
    <x v="2"/>
    <x v="8"/>
    <x v="0"/>
    <x v="35"/>
    <x v="117"/>
  </r>
  <r>
    <n v="931"/>
    <x v="20"/>
    <n v="1"/>
    <n v="1"/>
    <x v="7"/>
    <b v="0"/>
    <s v="Working"/>
    <n v="5"/>
    <x v="5"/>
    <n v="1"/>
    <n v="0.18"/>
    <x v="0"/>
    <n v="0.2424"/>
    <x v="30"/>
    <x v="2"/>
    <x v="0"/>
    <x v="12"/>
    <x v="79"/>
    <x v="127"/>
  </r>
  <r>
    <n v="932"/>
    <x v="20"/>
    <n v="1"/>
    <n v="1"/>
    <x v="8"/>
    <b v="0"/>
    <s v="Working"/>
    <n v="5"/>
    <x v="5"/>
    <n v="1"/>
    <n v="0.16"/>
    <x v="0"/>
    <n v="0.2273"/>
    <x v="28"/>
    <x v="2"/>
    <x v="0"/>
    <x v="8"/>
    <x v="68"/>
    <x v="39"/>
  </r>
  <r>
    <n v="933"/>
    <x v="20"/>
    <n v="1"/>
    <n v="1"/>
    <x v="9"/>
    <b v="0"/>
    <s v="Working"/>
    <n v="5"/>
    <x v="5"/>
    <n v="2"/>
    <n v="0.16"/>
    <x v="0"/>
    <n v="0.2273"/>
    <x v="28"/>
    <x v="2"/>
    <x v="0"/>
    <x v="9"/>
    <x v="84"/>
    <x v="7"/>
  </r>
  <r>
    <n v="934"/>
    <x v="20"/>
    <n v="1"/>
    <n v="1"/>
    <x v="17"/>
    <b v="0"/>
    <s v="Working"/>
    <n v="5"/>
    <x v="5"/>
    <n v="2"/>
    <n v="0.18"/>
    <x v="0"/>
    <n v="0.2424"/>
    <x v="29"/>
    <x v="2"/>
    <x v="0"/>
    <x v="2"/>
    <x v="5"/>
    <x v="54"/>
  </r>
  <r>
    <n v="935"/>
    <x v="21"/>
    <n v="1"/>
    <n v="1"/>
    <x v="10"/>
    <b v="0"/>
    <s v="Working"/>
    <n v="6"/>
    <x v="0"/>
    <n v="1"/>
    <n v="0.18"/>
    <x v="0"/>
    <n v="0.2424"/>
    <x v="29"/>
    <x v="2"/>
    <x v="0"/>
    <x v="0"/>
    <x v="7"/>
    <x v="9"/>
  </r>
  <r>
    <n v="936"/>
    <x v="21"/>
    <n v="1"/>
    <n v="1"/>
    <x v="0"/>
    <b v="0"/>
    <s v="Working"/>
    <n v="6"/>
    <x v="0"/>
    <n v="2"/>
    <n v="0.16"/>
    <x v="0"/>
    <n v="0.19700000000000001"/>
    <x v="30"/>
    <x v="2"/>
    <x v="8"/>
    <x v="9"/>
    <x v="22"/>
    <x v="16"/>
  </r>
  <r>
    <n v="937"/>
    <x v="21"/>
    <n v="1"/>
    <n v="1"/>
    <x v="1"/>
    <b v="0"/>
    <s v="Working"/>
    <n v="6"/>
    <x v="0"/>
    <n v="2"/>
    <n v="0.16"/>
    <x v="0"/>
    <n v="0.19700000000000001"/>
    <x v="30"/>
    <x v="2"/>
    <x v="8"/>
    <x v="12"/>
    <x v="109"/>
    <x v="70"/>
  </r>
  <r>
    <n v="938"/>
    <x v="21"/>
    <n v="1"/>
    <n v="1"/>
    <x v="11"/>
    <b v="0"/>
    <s v="Working"/>
    <n v="6"/>
    <x v="0"/>
    <n v="2"/>
    <n v="0.16"/>
    <x v="0"/>
    <n v="0.2273"/>
    <x v="30"/>
    <x v="2"/>
    <x v="0"/>
    <x v="2"/>
    <x v="23"/>
    <x v="41"/>
  </r>
  <r>
    <n v="939"/>
    <x v="21"/>
    <n v="1"/>
    <n v="1"/>
    <x v="22"/>
    <b v="0"/>
    <s v="Working"/>
    <n v="6"/>
    <x v="0"/>
    <n v="2"/>
    <n v="0.16"/>
    <x v="0"/>
    <n v="0.2273"/>
    <x v="30"/>
    <x v="2"/>
    <x v="0"/>
    <x v="12"/>
    <x v="26"/>
    <x v="25"/>
  </r>
  <r>
    <n v="940"/>
    <x v="21"/>
    <n v="1"/>
    <n v="1"/>
    <x v="18"/>
    <b v="0"/>
    <s v="Working"/>
    <n v="6"/>
    <x v="0"/>
    <n v="1"/>
    <n v="0.16"/>
    <x v="0"/>
    <n v="0.2273"/>
    <x v="30"/>
    <x v="2"/>
    <x v="0"/>
    <x v="12"/>
    <x v="25"/>
    <x v="24"/>
  </r>
  <r>
    <n v="941"/>
    <x v="21"/>
    <n v="1"/>
    <n v="1"/>
    <x v="19"/>
    <b v="0"/>
    <s v="Working"/>
    <n v="6"/>
    <x v="0"/>
    <n v="1"/>
    <n v="0.14000000000000001"/>
    <x v="0"/>
    <n v="0.16669999999999999"/>
    <x v="31"/>
    <x v="2"/>
    <x v="7"/>
    <x v="2"/>
    <x v="2"/>
    <x v="2"/>
  </r>
  <r>
    <n v="942"/>
    <x v="21"/>
    <n v="1"/>
    <n v="1"/>
    <x v="2"/>
    <b v="0"/>
    <s v="Working"/>
    <n v="6"/>
    <x v="0"/>
    <n v="1"/>
    <n v="0.14000000000000001"/>
    <x v="0"/>
    <n v="0.21210000000000001"/>
    <x v="31"/>
    <x v="2"/>
    <x v="0"/>
    <x v="2"/>
    <x v="64"/>
    <x v="115"/>
  </r>
  <r>
    <n v="943"/>
    <x v="21"/>
    <n v="1"/>
    <n v="1"/>
    <x v="14"/>
    <b v="0"/>
    <s v="Working"/>
    <n v="6"/>
    <x v="0"/>
    <n v="1"/>
    <n v="0.14000000000000001"/>
    <x v="0"/>
    <n v="0.1515"/>
    <x v="31"/>
    <x v="2"/>
    <x v="9"/>
    <x v="2"/>
    <x v="28"/>
    <x v="102"/>
  </r>
  <r>
    <n v="944"/>
    <x v="21"/>
    <n v="1"/>
    <n v="1"/>
    <x v="15"/>
    <b v="0"/>
    <s v="Working"/>
    <n v="6"/>
    <x v="0"/>
    <n v="1"/>
    <n v="0.16"/>
    <x v="0"/>
    <n v="0.18179999999999999"/>
    <x v="27"/>
    <x v="2"/>
    <x v="9"/>
    <x v="9"/>
    <x v="6"/>
    <x v="33"/>
  </r>
  <r>
    <n v="945"/>
    <x v="21"/>
    <n v="1"/>
    <n v="1"/>
    <x v="12"/>
    <b v="0"/>
    <s v="Working"/>
    <n v="6"/>
    <x v="0"/>
    <n v="1"/>
    <n v="0.18"/>
    <x v="0"/>
    <n v="0.19700000000000001"/>
    <x v="30"/>
    <x v="2"/>
    <x v="6"/>
    <x v="9"/>
    <x v="96"/>
    <x v="96"/>
  </r>
  <r>
    <n v="946"/>
    <x v="21"/>
    <n v="1"/>
    <n v="1"/>
    <x v="3"/>
    <b v="0"/>
    <s v="Working"/>
    <n v="6"/>
    <x v="0"/>
    <n v="1"/>
    <n v="0.2"/>
    <x v="0"/>
    <n v="0.19700000000000001"/>
    <x v="29"/>
    <x v="2"/>
    <x v="5"/>
    <x v="24"/>
    <x v="60"/>
    <x v="43"/>
  </r>
  <r>
    <n v="947"/>
    <x v="21"/>
    <n v="1"/>
    <n v="1"/>
    <x v="20"/>
    <b v="0"/>
    <s v="Working"/>
    <n v="6"/>
    <x v="0"/>
    <n v="1"/>
    <n v="0.24"/>
    <x v="0"/>
    <n v="0.2273"/>
    <x v="38"/>
    <x v="2"/>
    <x v="5"/>
    <x v="26"/>
    <x v="88"/>
    <x v="89"/>
  </r>
  <r>
    <n v="948"/>
    <x v="21"/>
    <n v="1"/>
    <n v="1"/>
    <x v="21"/>
    <b v="0"/>
    <s v="Working"/>
    <n v="6"/>
    <x v="0"/>
    <n v="1"/>
    <n v="0.28000000000000003"/>
    <x v="1"/>
    <n v="0.2576"/>
    <x v="42"/>
    <x v="2"/>
    <x v="2"/>
    <x v="27"/>
    <x v="127"/>
    <x v="50"/>
  </r>
  <r>
    <n v="949"/>
    <x v="21"/>
    <n v="1"/>
    <n v="1"/>
    <x v="23"/>
    <b v="0"/>
    <s v="Working"/>
    <n v="6"/>
    <x v="0"/>
    <n v="1"/>
    <n v="0.3"/>
    <x v="1"/>
    <n v="0.28789999999999999"/>
    <x v="45"/>
    <x v="2"/>
    <x v="1"/>
    <x v="3"/>
    <x v="74"/>
    <x v="136"/>
  </r>
  <r>
    <n v="950"/>
    <x v="21"/>
    <n v="1"/>
    <n v="1"/>
    <x v="13"/>
    <b v="0"/>
    <s v="Working"/>
    <n v="6"/>
    <x v="0"/>
    <n v="2"/>
    <n v="0.32"/>
    <x v="1"/>
    <n v="0.31819999999999998"/>
    <x v="43"/>
    <x v="2"/>
    <x v="4"/>
    <x v="27"/>
    <x v="128"/>
    <x v="137"/>
  </r>
  <r>
    <n v="951"/>
    <x v="21"/>
    <n v="1"/>
    <n v="1"/>
    <x v="4"/>
    <b v="0"/>
    <s v="Working"/>
    <n v="6"/>
    <x v="0"/>
    <n v="2"/>
    <n v="0.34"/>
    <x v="1"/>
    <n v="0.33329999999999999"/>
    <x v="47"/>
    <x v="2"/>
    <x v="4"/>
    <x v="28"/>
    <x v="48"/>
    <x v="125"/>
  </r>
  <r>
    <n v="952"/>
    <x v="21"/>
    <n v="1"/>
    <n v="1"/>
    <x v="16"/>
    <b v="0"/>
    <s v="Working"/>
    <n v="6"/>
    <x v="0"/>
    <n v="2"/>
    <n v="0.32"/>
    <x v="1"/>
    <n v="0.30299999999999999"/>
    <x v="43"/>
    <x v="2"/>
    <x v="1"/>
    <x v="15"/>
    <x v="60"/>
    <x v="31"/>
  </r>
  <r>
    <n v="953"/>
    <x v="21"/>
    <n v="1"/>
    <n v="1"/>
    <x v="5"/>
    <b v="0"/>
    <s v="Working"/>
    <n v="6"/>
    <x v="0"/>
    <n v="2"/>
    <n v="0.3"/>
    <x v="1"/>
    <n v="0.28789999999999999"/>
    <x v="50"/>
    <x v="2"/>
    <x v="3"/>
    <x v="26"/>
    <x v="41"/>
    <x v="59"/>
  </r>
  <r>
    <n v="954"/>
    <x v="21"/>
    <n v="1"/>
    <n v="1"/>
    <x v="6"/>
    <b v="0"/>
    <s v="Working"/>
    <n v="6"/>
    <x v="0"/>
    <n v="2"/>
    <n v="0.32"/>
    <x v="1"/>
    <n v="0.30299999999999999"/>
    <x v="45"/>
    <x v="2"/>
    <x v="3"/>
    <x v="23"/>
    <x v="107"/>
    <x v="14"/>
  </r>
  <r>
    <n v="955"/>
    <x v="21"/>
    <n v="1"/>
    <n v="1"/>
    <x v="7"/>
    <b v="0"/>
    <s v="Working"/>
    <n v="6"/>
    <x v="0"/>
    <n v="2"/>
    <n v="0.32"/>
    <x v="1"/>
    <n v="0.30299999999999999"/>
    <x v="45"/>
    <x v="2"/>
    <x v="3"/>
    <x v="6"/>
    <x v="42"/>
    <x v="32"/>
  </r>
  <r>
    <n v="956"/>
    <x v="21"/>
    <n v="1"/>
    <n v="1"/>
    <x v="8"/>
    <b v="0"/>
    <s v="Working"/>
    <n v="6"/>
    <x v="0"/>
    <n v="2"/>
    <n v="0.32"/>
    <x v="1"/>
    <n v="0.30299999999999999"/>
    <x v="45"/>
    <x v="2"/>
    <x v="5"/>
    <x v="6"/>
    <x v="19"/>
    <x v="74"/>
  </r>
  <r>
    <n v="957"/>
    <x v="21"/>
    <n v="1"/>
    <n v="1"/>
    <x v="9"/>
    <b v="0"/>
    <s v="Working"/>
    <n v="6"/>
    <x v="0"/>
    <n v="2"/>
    <n v="0.3"/>
    <x v="1"/>
    <n v="0.31819999999999998"/>
    <x v="18"/>
    <x v="2"/>
    <x v="7"/>
    <x v="12"/>
    <x v="5"/>
    <x v="47"/>
  </r>
  <r>
    <n v="958"/>
    <x v="21"/>
    <n v="1"/>
    <n v="1"/>
    <x v="17"/>
    <b v="0"/>
    <s v="Working"/>
    <n v="6"/>
    <x v="0"/>
    <n v="1"/>
    <n v="0.3"/>
    <x v="1"/>
    <n v="0.28789999999999999"/>
    <x v="50"/>
    <x v="2"/>
    <x v="1"/>
    <x v="1"/>
    <x v="105"/>
    <x v="68"/>
  </r>
  <r>
    <n v="959"/>
    <x v="22"/>
    <n v="1"/>
    <n v="1"/>
    <x v="10"/>
    <b v="0"/>
    <s v="Working"/>
    <n v="0"/>
    <x v="1"/>
    <n v="1"/>
    <n v="0.26"/>
    <x v="1"/>
    <n v="0.30299999999999999"/>
    <x v="35"/>
    <x v="2"/>
    <x v="0"/>
    <x v="6"/>
    <x v="33"/>
    <x v="110"/>
  </r>
  <r>
    <n v="960"/>
    <x v="22"/>
    <n v="1"/>
    <n v="1"/>
    <x v="0"/>
    <b v="0"/>
    <s v="Working"/>
    <n v="0"/>
    <x v="1"/>
    <n v="1"/>
    <n v="0.26"/>
    <x v="1"/>
    <n v="0.2727"/>
    <x v="35"/>
    <x v="2"/>
    <x v="9"/>
    <x v="8"/>
    <x v="34"/>
    <x v="102"/>
  </r>
  <r>
    <n v="961"/>
    <x v="22"/>
    <n v="1"/>
    <n v="1"/>
    <x v="1"/>
    <b v="0"/>
    <s v="Working"/>
    <n v="0"/>
    <x v="1"/>
    <n v="1"/>
    <n v="0.26"/>
    <x v="1"/>
    <n v="0.28789999999999999"/>
    <x v="35"/>
    <x v="2"/>
    <x v="8"/>
    <x v="0"/>
    <x v="0"/>
    <x v="0"/>
  </r>
  <r>
    <n v="962"/>
    <x v="22"/>
    <n v="1"/>
    <n v="1"/>
    <x v="11"/>
    <b v="0"/>
    <s v="Working"/>
    <n v="0"/>
    <x v="1"/>
    <n v="1"/>
    <n v="0.22"/>
    <x v="0"/>
    <n v="0.2727"/>
    <x v="28"/>
    <x v="2"/>
    <x v="0"/>
    <x v="5"/>
    <x v="24"/>
    <x v="15"/>
  </r>
  <r>
    <n v="963"/>
    <x v="22"/>
    <n v="1"/>
    <n v="1"/>
    <x v="22"/>
    <b v="0"/>
    <s v="Working"/>
    <n v="0"/>
    <x v="1"/>
    <n v="1"/>
    <n v="0.26"/>
    <x v="1"/>
    <n v="0.2576"/>
    <x v="35"/>
    <x v="2"/>
    <x v="6"/>
    <x v="12"/>
    <x v="25"/>
    <x v="24"/>
  </r>
  <r>
    <n v="964"/>
    <x v="22"/>
    <n v="1"/>
    <n v="1"/>
    <x v="18"/>
    <b v="0"/>
    <s v="Working"/>
    <n v="0"/>
    <x v="1"/>
    <n v="2"/>
    <n v="0.26"/>
    <x v="1"/>
    <n v="0.2576"/>
    <x v="35"/>
    <x v="2"/>
    <x v="6"/>
    <x v="2"/>
    <x v="25"/>
    <x v="34"/>
  </r>
  <r>
    <n v="965"/>
    <x v="22"/>
    <n v="1"/>
    <n v="1"/>
    <x v="19"/>
    <b v="0"/>
    <s v="Working"/>
    <n v="0"/>
    <x v="1"/>
    <n v="2"/>
    <n v="0.26"/>
    <x v="1"/>
    <n v="0.2576"/>
    <x v="35"/>
    <x v="2"/>
    <x v="6"/>
    <x v="12"/>
    <x v="25"/>
    <x v="24"/>
  </r>
  <r>
    <n v="966"/>
    <x v="22"/>
    <n v="1"/>
    <n v="1"/>
    <x v="2"/>
    <b v="0"/>
    <s v="Working"/>
    <n v="0"/>
    <x v="1"/>
    <n v="2"/>
    <n v="0.24"/>
    <x v="0"/>
    <n v="0.21210000000000001"/>
    <x v="35"/>
    <x v="2"/>
    <x v="2"/>
    <x v="12"/>
    <x v="27"/>
    <x v="2"/>
  </r>
  <r>
    <n v="967"/>
    <x v="22"/>
    <n v="1"/>
    <n v="1"/>
    <x v="14"/>
    <b v="0"/>
    <s v="Working"/>
    <n v="0"/>
    <x v="1"/>
    <n v="1"/>
    <n v="0.22"/>
    <x v="0"/>
    <n v="0.21210000000000001"/>
    <x v="29"/>
    <x v="2"/>
    <x v="1"/>
    <x v="12"/>
    <x v="22"/>
    <x v="122"/>
  </r>
  <r>
    <n v="968"/>
    <x v="22"/>
    <n v="1"/>
    <n v="1"/>
    <x v="15"/>
    <b v="0"/>
    <s v="Working"/>
    <n v="0"/>
    <x v="1"/>
    <n v="1"/>
    <n v="0.22"/>
    <x v="0"/>
    <n v="0.21210000000000001"/>
    <x v="34"/>
    <x v="2"/>
    <x v="3"/>
    <x v="0"/>
    <x v="40"/>
    <x v="1"/>
  </r>
  <r>
    <n v="969"/>
    <x v="22"/>
    <n v="1"/>
    <n v="1"/>
    <x v="12"/>
    <b v="0"/>
    <s v="Working"/>
    <n v="0"/>
    <x v="1"/>
    <n v="1"/>
    <n v="0.22"/>
    <x v="0"/>
    <n v="0.21210000000000001"/>
    <x v="34"/>
    <x v="2"/>
    <x v="1"/>
    <x v="13"/>
    <x v="58"/>
    <x v="86"/>
  </r>
  <r>
    <n v="970"/>
    <x v="22"/>
    <n v="1"/>
    <n v="1"/>
    <x v="3"/>
    <b v="0"/>
    <s v="Working"/>
    <n v="0"/>
    <x v="1"/>
    <n v="1"/>
    <n v="0.24"/>
    <x v="0"/>
    <n v="0.2273"/>
    <x v="19"/>
    <x v="2"/>
    <x v="3"/>
    <x v="29"/>
    <x v="59"/>
    <x v="4"/>
  </r>
  <r>
    <n v="971"/>
    <x v="22"/>
    <n v="1"/>
    <n v="1"/>
    <x v="20"/>
    <b v="0"/>
    <s v="Working"/>
    <n v="0"/>
    <x v="1"/>
    <n v="1"/>
    <n v="0.24"/>
    <x v="0"/>
    <n v="0.21210000000000001"/>
    <x v="49"/>
    <x v="2"/>
    <x v="1"/>
    <x v="15"/>
    <x v="113"/>
    <x v="138"/>
  </r>
  <r>
    <n v="972"/>
    <x v="22"/>
    <n v="1"/>
    <n v="1"/>
    <x v="21"/>
    <b v="0"/>
    <s v="Working"/>
    <n v="0"/>
    <x v="1"/>
    <n v="1"/>
    <n v="0.26"/>
    <x v="1"/>
    <n v="0.2273"/>
    <x v="24"/>
    <x v="2"/>
    <x v="2"/>
    <x v="29"/>
    <x v="48"/>
    <x v="136"/>
  </r>
  <r>
    <n v="973"/>
    <x v="22"/>
    <n v="1"/>
    <n v="1"/>
    <x v="23"/>
    <b v="0"/>
    <s v="Working"/>
    <n v="0"/>
    <x v="1"/>
    <n v="1"/>
    <n v="0.28000000000000003"/>
    <x v="1"/>
    <n v="0.2727"/>
    <x v="43"/>
    <x v="2"/>
    <x v="3"/>
    <x v="30"/>
    <x v="41"/>
    <x v="139"/>
  </r>
  <r>
    <n v="974"/>
    <x v="22"/>
    <n v="1"/>
    <n v="1"/>
    <x v="13"/>
    <b v="0"/>
    <s v="Working"/>
    <n v="0"/>
    <x v="1"/>
    <n v="1"/>
    <n v="0.26"/>
    <x v="1"/>
    <n v="0.2424"/>
    <x v="42"/>
    <x v="2"/>
    <x v="3"/>
    <x v="17"/>
    <x v="97"/>
    <x v="140"/>
  </r>
  <r>
    <n v="975"/>
    <x v="22"/>
    <n v="1"/>
    <n v="1"/>
    <x v="4"/>
    <b v="0"/>
    <s v="Working"/>
    <n v="0"/>
    <x v="1"/>
    <n v="1"/>
    <n v="0.24"/>
    <x v="0"/>
    <n v="0.2273"/>
    <x v="42"/>
    <x v="2"/>
    <x v="5"/>
    <x v="30"/>
    <x v="110"/>
    <x v="56"/>
  </r>
  <r>
    <n v="976"/>
    <x v="22"/>
    <n v="1"/>
    <n v="1"/>
    <x v="16"/>
    <b v="0"/>
    <s v="Working"/>
    <n v="0"/>
    <x v="1"/>
    <n v="1"/>
    <n v="0.22"/>
    <x v="0"/>
    <n v="0.21210000000000001"/>
    <x v="39"/>
    <x v="2"/>
    <x v="3"/>
    <x v="29"/>
    <x v="93"/>
    <x v="141"/>
  </r>
  <r>
    <n v="977"/>
    <x v="22"/>
    <n v="1"/>
    <n v="1"/>
    <x v="5"/>
    <b v="0"/>
    <s v="Working"/>
    <n v="0"/>
    <x v="1"/>
    <n v="1"/>
    <n v="0.2"/>
    <x v="0"/>
    <n v="0.21210000000000001"/>
    <x v="23"/>
    <x v="2"/>
    <x v="6"/>
    <x v="7"/>
    <x v="52"/>
    <x v="97"/>
  </r>
  <r>
    <n v="978"/>
    <x v="22"/>
    <n v="1"/>
    <n v="1"/>
    <x v="6"/>
    <b v="0"/>
    <s v="Working"/>
    <n v="0"/>
    <x v="1"/>
    <n v="1"/>
    <n v="0.18"/>
    <x v="0"/>
    <n v="0.19700000000000001"/>
    <x v="20"/>
    <x v="2"/>
    <x v="9"/>
    <x v="23"/>
    <x v="38"/>
    <x v="29"/>
  </r>
  <r>
    <n v="979"/>
    <x v="22"/>
    <n v="1"/>
    <n v="1"/>
    <x v="7"/>
    <b v="0"/>
    <s v="Working"/>
    <n v="0"/>
    <x v="1"/>
    <n v="1"/>
    <n v="0.18"/>
    <x v="0"/>
    <n v="0.19700000000000001"/>
    <x v="20"/>
    <x v="2"/>
    <x v="6"/>
    <x v="10"/>
    <x v="77"/>
    <x v="74"/>
  </r>
  <r>
    <n v="980"/>
    <x v="22"/>
    <n v="1"/>
    <n v="1"/>
    <x v="8"/>
    <b v="0"/>
    <s v="Working"/>
    <n v="0"/>
    <x v="1"/>
    <n v="1"/>
    <n v="0.18"/>
    <x v="0"/>
    <n v="0.19700000000000001"/>
    <x v="34"/>
    <x v="2"/>
    <x v="6"/>
    <x v="6"/>
    <x v="28"/>
    <x v="9"/>
  </r>
  <r>
    <n v="981"/>
    <x v="22"/>
    <n v="1"/>
    <n v="1"/>
    <x v="9"/>
    <b v="0"/>
    <s v="Working"/>
    <n v="0"/>
    <x v="1"/>
    <n v="2"/>
    <n v="0.2"/>
    <x v="0"/>
    <n v="0.21210000000000001"/>
    <x v="37"/>
    <x v="2"/>
    <x v="9"/>
    <x v="9"/>
    <x v="34"/>
    <x v="142"/>
  </r>
  <r>
    <n v="982"/>
    <x v="22"/>
    <n v="1"/>
    <n v="1"/>
    <x v="17"/>
    <b v="0"/>
    <s v="Working"/>
    <n v="0"/>
    <x v="1"/>
    <n v="2"/>
    <n v="0.2"/>
    <x v="0"/>
    <n v="0.2273"/>
    <x v="23"/>
    <x v="2"/>
    <x v="7"/>
    <x v="12"/>
    <x v="22"/>
    <x v="122"/>
  </r>
  <r>
    <n v="983"/>
    <x v="5"/>
    <n v="1"/>
    <n v="1"/>
    <x v="10"/>
    <b v="1"/>
    <s v="Holiday"/>
    <n v="1"/>
    <x v="4"/>
    <n v="2"/>
    <n v="0.2"/>
    <x v="0"/>
    <n v="0.19700000000000001"/>
    <x v="20"/>
    <x v="2"/>
    <x v="5"/>
    <x v="2"/>
    <x v="9"/>
    <x v="10"/>
  </r>
  <r>
    <n v="984"/>
    <x v="5"/>
    <n v="1"/>
    <n v="1"/>
    <x v="0"/>
    <b v="1"/>
    <s v="Holiday"/>
    <n v="1"/>
    <x v="4"/>
    <n v="2"/>
    <n v="0.2"/>
    <x v="0"/>
    <n v="0.19700000000000001"/>
    <x v="19"/>
    <x v="2"/>
    <x v="4"/>
    <x v="2"/>
    <x v="14"/>
    <x v="0"/>
  </r>
  <r>
    <n v="985"/>
    <x v="5"/>
    <n v="1"/>
    <n v="1"/>
    <x v="1"/>
    <b v="1"/>
    <s v="Holiday"/>
    <n v="1"/>
    <x v="4"/>
    <n v="2"/>
    <n v="0.18"/>
    <x v="0"/>
    <n v="0.16669999999999999"/>
    <x v="22"/>
    <x v="2"/>
    <x v="3"/>
    <x v="12"/>
    <x v="10"/>
    <x v="41"/>
  </r>
  <r>
    <n v="986"/>
    <x v="5"/>
    <n v="1"/>
    <n v="1"/>
    <x v="11"/>
    <b v="1"/>
    <s v="Holiday"/>
    <n v="1"/>
    <x v="4"/>
    <n v="2"/>
    <n v="0.18"/>
    <x v="0"/>
    <n v="0.18179999999999999"/>
    <x v="22"/>
    <x v="2"/>
    <x v="4"/>
    <x v="12"/>
    <x v="2"/>
    <x v="34"/>
  </r>
  <r>
    <n v="987"/>
    <x v="5"/>
    <n v="1"/>
    <n v="1"/>
    <x v="22"/>
    <b v="1"/>
    <s v="Holiday"/>
    <n v="1"/>
    <x v="4"/>
    <n v="2"/>
    <n v="0.18"/>
    <x v="0"/>
    <n v="0.19700000000000001"/>
    <x v="22"/>
    <x v="2"/>
    <x v="9"/>
    <x v="2"/>
    <x v="2"/>
    <x v="2"/>
  </r>
  <r>
    <n v="988"/>
    <x v="5"/>
    <n v="1"/>
    <n v="1"/>
    <x v="18"/>
    <b v="1"/>
    <s v="Holiday"/>
    <n v="1"/>
    <x v="4"/>
    <n v="2"/>
    <n v="0.18"/>
    <x v="0"/>
    <n v="0.19700000000000001"/>
    <x v="22"/>
    <x v="2"/>
    <x v="6"/>
    <x v="12"/>
    <x v="25"/>
    <x v="24"/>
  </r>
  <r>
    <n v="989"/>
    <x v="5"/>
    <n v="1"/>
    <n v="1"/>
    <x v="19"/>
    <b v="1"/>
    <s v="Holiday"/>
    <n v="1"/>
    <x v="4"/>
    <n v="2"/>
    <n v="0.18"/>
    <x v="0"/>
    <n v="0.18179999999999999"/>
    <x v="22"/>
    <x v="2"/>
    <x v="4"/>
    <x v="12"/>
    <x v="26"/>
    <x v="25"/>
  </r>
  <r>
    <n v="990"/>
    <x v="5"/>
    <n v="1"/>
    <n v="1"/>
    <x v="2"/>
    <b v="1"/>
    <s v="Holiday"/>
    <n v="1"/>
    <x v="4"/>
    <n v="2"/>
    <n v="0.16"/>
    <x v="0"/>
    <n v="0.18179999999999999"/>
    <x v="21"/>
    <x v="2"/>
    <x v="9"/>
    <x v="8"/>
    <x v="64"/>
    <x v="26"/>
  </r>
  <r>
    <n v="991"/>
    <x v="5"/>
    <n v="1"/>
    <n v="1"/>
    <x v="14"/>
    <b v="1"/>
    <s v="Holiday"/>
    <n v="1"/>
    <x v="4"/>
    <n v="2"/>
    <n v="0.16"/>
    <x v="0"/>
    <n v="0.1515"/>
    <x v="20"/>
    <x v="2"/>
    <x v="5"/>
    <x v="0"/>
    <x v="3"/>
    <x v="33"/>
  </r>
  <r>
    <n v="992"/>
    <x v="5"/>
    <n v="1"/>
    <n v="1"/>
    <x v="15"/>
    <b v="1"/>
    <s v="Holiday"/>
    <n v="1"/>
    <x v="4"/>
    <n v="2"/>
    <n v="0.16"/>
    <x v="0"/>
    <n v="0.1515"/>
    <x v="20"/>
    <x v="2"/>
    <x v="5"/>
    <x v="13"/>
    <x v="105"/>
    <x v="38"/>
  </r>
  <r>
    <n v="993"/>
    <x v="5"/>
    <n v="1"/>
    <n v="1"/>
    <x v="12"/>
    <b v="1"/>
    <s v="Holiday"/>
    <n v="1"/>
    <x v="4"/>
    <n v="2"/>
    <n v="0.16"/>
    <x v="0"/>
    <n v="0.1515"/>
    <x v="21"/>
    <x v="2"/>
    <x v="3"/>
    <x v="10"/>
    <x v="77"/>
    <x v="74"/>
  </r>
  <r>
    <n v="994"/>
    <x v="5"/>
    <n v="1"/>
    <n v="1"/>
    <x v="3"/>
    <b v="1"/>
    <s v="Holiday"/>
    <n v="1"/>
    <x v="4"/>
    <n v="2"/>
    <n v="0.16"/>
    <x v="0"/>
    <n v="0.1515"/>
    <x v="29"/>
    <x v="2"/>
    <x v="4"/>
    <x v="5"/>
    <x v="13"/>
    <x v="65"/>
  </r>
  <r>
    <n v="995"/>
    <x v="5"/>
    <n v="1"/>
    <n v="1"/>
    <x v="20"/>
    <b v="1"/>
    <s v="Holiday"/>
    <n v="1"/>
    <x v="4"/>
    <n v="2"/>
    <n v="0.18"/>
    <x v="0"/>
    <n v="0.19700000000000001"/>
    <x v="20"/>
    <x v="2"/>
    <x v="9"/>
    <x v="21"/>
    <x v="59"/>
    <x v="143"/>
  </r>
  <r>
    <n v="996"/>
    <x v="5"/>
    <n v="1"/>
    <n v="1"/>
    <x v="21"/>
    <b v="1"/>
    <s v="Holiday"/>
    <n v="1"/>
    <x v="4"/>
    <n v="2"/>
    <n v="0.18"/>
    <x v="0"/>
    <n v="0.19700000000000001"/>
    <x v="20"/>
    <x v="2"/>
    <x v="9"/>
    <x v="22"/>
    <x v="127"/>
    <x v="4"/>
  </r>
  <r>
    <n v="997"/>
    <x v="5"/>
    <n v="1"/>
    <n v="1"/>
    <x v="23"/>
    <b v="1"/>
    <s v="Holiday"/>
    <n v="1"/>
    <x v="4"/>
    <n v="2"/>
    <n v="0.18"/>
    <x v="0"/>
    <n v="0.21210000000000001"/>
    <x v="22"/>
    <x v="2"/>
    <x v="7"/>
    <x v="14"/>
    <x v="88"/>
    <x v="98"/>
  </r>
  <r>
    <n v="998"/>
    <x v="5"/>
    <n v="1"/>
    <n v="1"/>
    <x v="13"/>
    <b v="1"/>
    <s v="Holiday"/>
    <n v="1"/>
    <x v="4"/>
    <n v="2"/>
    <n v="0.2"/>
    <x v="0"/>
    <n v="0.21210000000000001"/>
    <x v="20"/>
    <x v="2"/>
    <x v="6"/>
    <x v="27"/>
    <x v="16"/>
    <x v="4"/>
  </r>
  <r>
    <n v="999"/>
    <x v="5"/>
    <n v="1"/>
    <n v="1"/>
    <x v="4"/>
    <b v="1"/>
    <s v="Holiday"/>
    <n v="1"/>
    <x v="4"/>
    <n v="2"/>
    <n v="0.2"/>
    <x v="0"/>
    <n v="0.21210000000000001"/>
    <x v="20"/>
    <x v="2"/>
    <x v="6"/>
    <x v="6"/>
    <x v="101"/>
    <x v="116"/>
  </r>
  <r>
    <n v="1000"/>
    <x v="5"/>
    <n v="1"/>
    <n v="1"/>
    <x v="16"/>
    <b v="1"/>
    <s v="Holiday"/>
    <n v="1"/>
    <x v="4"/>
    <n v="1"/>
    <n v="0.2"/>
    <x v="0"/>
    <n v="0.19700000000000001"/>
    <x v="34"/>
    <x v="2"/>
    <x v="4"/>
    <x v="8"/>
    <x v="63"/>
    <x v="87"/>
  </r>
  <r>
    <n v="1001"/>
    <x v="5"/>
    <n v="1"/>
    <n v="1"/>
    <x v="5"/>
    <b v="1"/>
    <s v="Holiday"/>
    <n v="1"/>
    <x v="4"/>
    <n v="2"/>
    <n v="0.18"/>
    <x v="0"/>
    <n v="0.16669999999999999"/>
    <x v="29"/>
    <x v="2"/>
    <x v="3"/>
    <x v="10"/>
    <x v="89"/>
    <x v="117"/>
  </r>
  <r>
    <n v="1002"/>
    <x v="5"/>
    <n v="1"/>
    <n v="1"/>
    <x v="6"/>
    <b v="1"/>
    <s v="Holiday"/>
    <n v="1"/>
    <x v="4"/>
    <n v="3"/>
    <n v="0.18"/>
    <x v="0"/>
    <n v="0.18179999999999999"/>
    <x v="30"/>
    <x v="2"/>
    <x v="4"/>
    <x v="9"/>
    <x v="46"/>
    <x v="48"/>
  </r>
  <r>
    <n v="1031"/>
    <x v="7"/>
    <n v="1"/>
    <n v="1"/>
    <x v="21"/>
    <b v="0"/>
    <s v="Working"/>
    <n v="3"/>
    <x v="3"/>
    <n v="1"/>
    <n v="0.4"/>
    <x v="1"/>
    <n v="0.40910000000000002"/>
    <x v="51"/>
    <x v="2"/>
    <x v="1"/>
    <x v="7"/>
    <x v="63"/>
    <x v="75"/>
  </r>
  <r>
    <n v="1032"/>
    <x v="7"/>
    <n v="1"/>
    <n v="1"/>
    <x v="23"/>
    <b v="0"/>
    <s v="Working"/>
    <n v="3"/>
    <x v="3"/>
    <n v="1"/>
    <n v="0.4"/>
    <x v="1"/>
    <n v="0.40910000000000002"/>
    <x v="52"/>
    <x v="2"/>
    <x v="3"/>
    <x v="10"/>
    <x v="79"/>
    <x v="63"/>
  </r>
  <r>
    <n v="1033"/>
    <x v="7"/>
    <n v="1"/>
    <n v="1"/>
    <x v="13"/>
    <b v="0"/>
    <s v="Working"/>
    <n v="3"/>
    <x v="3"/>
    <n v="1"/>
    <n v="0.4"/>
    <x v="1"/>
    <n v="0.40910000000000002"/>
    <x v="48"/>
    <x v="2"/>
    <x v="1"/>
    <x v="8"/>
    <x v="97"/>
    <x v="116"/>
  </r>
  <r>
    <n v="1034"/>
    <x v="7"/>
    <n v="1"/>
    <n v="1"/>
    <x v="4"/>
    <b v="0"/>
    <s v="Working"/>
    <n v="3"/>
    <x v="3"/>
    <n v="1"/>
    <n v="0.38"/>
    <x v="1"/>
    <n v="0.39389999999999997"/>
    <x v="52"/>
    <x v="2"/>
    <x v="14"/>
    <x v="21"/>
    <x v="18"/>
    <x v="138"/>
  </r>
  <r>
    <n v="1035"/>
    <x v="7"/>
    <n v="1"/>
    <n v="1"/>
    <x v="16"/>
    <b v="0"/>
    <s v="Working"/>
    <n v="3"/>
    <x v="3"/>
    <n v="1"/>
    <n v="0.36"/>
    <x v="1"/>
    <n v="0.33329999999999999"/>
    <x v="16"/>
    <x v="2"/>
    <x v="10"/>
    <x v="10"/>
    <x v="102"/>
    <x v="36"/>
  </r>
  <r>
    <n v="1036"/>
    <x v="7"/>
    <n v="1"/>
    <n v="1"/>
    <x v="5"/>
    <b v="0"/>
    <s v="Working"/>
    <n v="3"/>
    <x v="3"/>
    <n v="1"/>
    <n v="0.34"/>
    <x v="1"/>
    <n v="0.31819999999999998"/>
    <x v="53"/>
    <x v="2"/>
    <x v="1"/>
    <x v="1"/>
    <x v="124"/>
    <x v="144"/>
  </r>
  <r>
    <n v="1037"/>
    <x v="7"/>
    <n v="1"/>
    <n v="1"/>
    <x v="6"/>
    <b v="0"/>
    <s v="Working"/>
    <n v="3"/>
    <x v="3"/>
    <n v="1"/>
    <n v="0.32"/>
    <x v="1"/>
    <n v="0.28789999999999999"/>
    <x v="16"/>
    <x v="2"/>
    <x v="17"/>
    <x v="8"/>
    <x v="128"/>
    <x v="80"/>
  </r>
  <r>
    <n v="1038"/>
    <x v="7"/>
    <n v="1"/>
    <n v="1"/>
    <x v="7"/>
    <b v="0"/>
    <s v="Working"/>
    <n v="3"/>
    <x v="3"/>
    <n v="1"/>
    <n v="0.32"/>
    <x v="1"/>
    <n v="0.30299999999999999"/>
    <x v="37"/>
    <x v="2"/>
    <x v="2"/>
    <x v="9"/>
    <x v="88"/>
    <x v="17"/>
  </r>
  <r>
    <n v="1039"/>
    <x v="7"/>
    <n v="1"/>
    <n v="1"/>
    <x v="8"/>
    <b v="0"/>
    <s v="Working"/>
    <n v="3"/>
    <x v="3"/>
    <n v="1"/>
    <n v="0.32"/>
    <x v="1"/>
    <n v="0.28789999999999999"/>
    <x v="37"/>
    <x v="2"/>
    <x v="17"/>
    <x v="8"/>
    <x v="13"/>
    <x v="96"/>
  </r>
  <r>
    <n v="1040"/>
    <x v="7"/>
    <n v="1"/>
    <n v="1"/>
    <x v="9"/>
    <b v="0"/>
    <s v="Working"/>
    <n v="3"/>
    <x v="3"/>
    <n v="1"/>
    <n v="0.3"/>
    <x v="1"/>
    <n v="0.30299999999999999"/>
    <x v="36"/>
    <x v="2"/>
    <x v="6"/>
    <x v="6"/>
    <x v="83"/>
    <x v="96"/>
  </r>
  <r>
    <n v="1041"/>
    <x v="7"/>
    <n v="1"/>
    <n v="1"/>
    <x v="17"/>
    <b v="0"/>
    <s v="Working"/>
    <n v="3"/>
    <x v="3"/>
    <n v="1"/>
    <n v="0.3"/>
    <x v="1"/>
    <n v="0.2727"/>
    <x v="36"/>
    <x v="2"/>
    <x v="12"/>
    <x v="2"/>
    <x v="1"/>
    <x v="9"/>
  </r>
  <r>
    <n v="1042"/>
    <x v="23"/>
    <n v="1"/>
    <n v="1"/>
    <x v="10"/>
    <b v="0"/>
    <s v="Working"/>
    <n v="4"/>
    <x v="6"/>
    <n v="1"/>
    <n v="0.26"/>
    <x v="1"/>
    <n v="0.2273"/>
    <x v="35"/>
    <x v="2"/>
    <x v="14"/>
    <x v="1"/>
    <x v="10"/>
    <x v="26"/>
  </r>
  <r>
    <n v="1043"/>
    <x v="23"/>
    <n v="1"/>
    <n v="1"/>
    <x v="0"/>
    <b v="0"/>
    <s v="Working"/>
    <n v="4"/>
    <x v="6"/>
    <n v="1"/>
    <n v="0.26"/>
    <x v="1"/>
    <n v="0.2727"/>
    <x v="35"/>
    <x v="2"/>
    <x v="0"/>
    <x v="9"/>
    <x v="27"/>
    <x v="25"/>
  </r>
  <r>
    <n v="1044"/>
    <x v="23"/>
    <n v="1"/>
    <n v="1"/>
    <x v="1"/>
    <b v="0"/>
    <s v="Working"/>
    <n v="4"/>
    <x v="6"/>
    <n v="1"/>
    <n v="0.26"/>
    <x v="1"/>
    <n v="0.2727"/>
    <x v="35"/>
    <x v="2"/>
    <x v="0"/>
    <x v="12"/>
    <x v="2"/>
    <x v="34"/>
  </r>
  <r>
    <n v="1045"/>
    <x v="23"/>
    <n v="1"/>
    <n v="1"/>
    <x v="11"/>
    <b v="0"/>
    <s v="Working"/>
    <n v="4"/>
    <x v="6"/>
    <n v="1"/>
    <n v="0.26"/>
    <x v="1"/>
    <n v="0.2576"/>
    <x v="35"/>
    <x v="2"/>
    <x v="6"/>
    <x v="12"/>
    <x v="25"/>
    <x v="24"/>
  </r>
  <r>
    <n v="1046"/>
    <x v="23"/>
    <n v="1"/>
    <n v="1"/>
    <x v="22"/>
    <b v="0"/>
    <s v="Working"/>
    <n v="4"/>
    <x v="6"/>
    <n v="1"/>
    <n v="0.26"/>
    <x v="1"/>
    <n v="0.2576"/>
    <x v="35"/>
    <x v="2"/>
    <x v="6"/>
    <x v="12"/>
    <x v="25"/>
    <x v="24"/>
  </r>
  <r>
    <n v="1047"/>
    <x v="23"/>
    <n v="1"/>
    <n v="1"/>
    <x v="18"/>
    <b v="0"/>
    <s v="Working"/>
    <n v="4"/>
    <x v="6"/>
    <n v="1"/>
    <n v="0.24"/>
    <x v="0"/>
    <n v="0.2273"/>
    <x v="54"/>
    <x v="2"/>
    <x v="5"/>
    <x v="12"/>
    <x v="24"/>
    <x v="12"/>
  </r>
  <r>
    <n v="1048"/>
    <x v="23"/>
    <n v="1"/>
    <n v="1"/>
    <x v="19"/>
    <b v="0"/>
    <s v="Working"/>
    <n v="4"/>
    <x v="6"/>
    <n v="1"/>
    <n v="0.22"/>
    <x v="0"/>
    <n v="0.21210000000000001"/>
    <x v="54"/>
    <x v="2"/>
    <x v="5"/>
    <x v="12"/>
    <x v="42"/>
    <x v="5"/>
  </r>
  <r>
    <n v="1049"/>
    <x v="23"/>
    <n v="1"/>
    <n v="1"/>
    <x v="2"/>
    <b v="0"/>
    <s v="Working"/>
    <n v="4"/>
    <x v="6"/>
    <n v="1"/>
    <n v="0.22"/>
    <x v="0"/>
    <n v="0.21210000000000001"/>
    <x v="29"/>
    <x v="2"/>
    <x v="5"/>
    <x v="2"/>
    <x v="129"/>
    <x v="50"/>
  </r>
  <r>
    <n v="1050"/>
    <x v="23"/>
    <n v="1"/>
    <n v="1"/>
    <x v="14"/>
    <b v="0"/>
    <s v="Working"/>
    <n v="4"/>
    <x v="6"/>
    <n v="1"/>
    <n v="0.22"/>
    <x v="0"/>
    <n v="0.21210000000000001"/>
    <x v="29"/>
    <x v="2"/>
    <x v="1"/>
    <x v="9"/>
    <x v="130"/>
    <x v="145"/>
  </r>
  <r>
    <n v="1051"/>
    <x v="23"/>
    <n v="1"/>
    <n v="1"/>
    <x v="15"/>
    <b v="0"/>
    <s v="Working"/>
    <n v="4"/>
    <x v="6"/>
    <n v="2"/>
    <n v="0.24"/>
    <x v="0"/>
    <n v="0.2273"/>
    <x v="36"/>
    <x v="2"/>
    <x v="5"/>
    <x v="0"/>
    <x v="131"/>
    <x v="146"/>
  </r>
  <r>
    <n v="1052"/>
    <x v="23"/>
    <n v="1"/>
    <n v="1"/>
    <x v="12"/>
    <b v="0"/>
    <s v="Working"/>
    <n v="4"/>
    <x v="6"/>
    <n v="1"/>
    <n v="0.26"/>
    <x v="1"/>
    <n v="0.2273"/>
    <x v="38"/>
    <x v="2"/>
    <x v="2"/>
    <x v="2"/>
    <x v="52"/>
    <x v="74"/>
  </r>
  <r>
    <n v="1053"/>
    <x v="23"/>
    <n v="1"/>
    <n v="1"/>
    <x v="3"/>
    <b v="0"/>
    <s v="Working"/>
    <n v="4"/>
    <x v="6"/>
    <n v="2"/>
    <n v="0.28000000000000003"/>
    <x v="1"/>
    <n v="0.2727"/>
    <x v="50"/>
    <x v="2"/>
    <x v="6"/>
    <x v="1"/>
    <x v="65"/>
    <x v="127"/>
  </r>
  <r>
    <n v="1054"/>
    <x v="23"/>
    <n v="1"/>
    <n v="1"/>
    <x v="20"/>
    <b v="0"/>
    <s v="Working"/>
    <n v="4"/>
    <x v="6"/>
    <n v="2"/>
    <n v="0.3"/>
    <x v="1"/>
    <n v="0.33329999999999999"/>
    <x v="18"/>
    <x v="2"/>
    <x v="0"/>
    <x v="10"/>
    <x v="110"/>
    <x v="59"/>
  </r>
  <r>
    <n v="1055"/>
    <x v="23"/>
    <n v="1"/>
    <n v="1"/>
    <x v="21"/>
    <b v="0"/>
    <s v="Working"/>
    <n v="4"/>
    <x v="6"/>
    <n v="2"/>
    <n v="0.28000000000000003"/>
    <x v="1"/>
    <n v="0.28789999999999999"/>
    <x v="50"/>
    <x v="2"/>
    <x v="7"/>
    <x v="14"/>
    <x v="132"/>
    <x v="112"/>
  </r>
  <r>
    <n v="1056"/>
    <x v="23"/>
    <n v="1"/>
    <n v="1"/>
    <x v="23"/>
    <b v="0"/>
    <s v="Working"/>
    <n v="4"/>
    <x v="6"/>
    <n v="2"/>
    <n v="0.3"/>
    <x v="1"/>
    <n v="0.30299999999999999"/>
    <x v="50"/>
    <x v="2"/>
    <x v="9"/>
    <x v="6"/>
    <x v="113"/>
    <x v="126"/>
  </r>
  <r>
    <n v="1057"/>
    <x v="23"/>
    <n v="1"/>
    <n v="1"/>
    <x v="13"/>
    <b v="0"/>
    <s v="Working"/>
    <n v="4"/>
    <x v="6"/>
    <n v="2"/>
    <n v="0.32"/>
    <x v="1"/>
    <n v="0.31819999999999998"/>
    <x v="50"/>
    <x v="2"/>
    <x v="4"/>
    <x v="13"/>
    <x v="133"/>
    <x v="40"/>
  </r>
  <r>
    <n v="1058"/>
    <x v="23"/>
    <n v="1"/>
    <n v="1"/>
    <x v="4"/>
    <b v="0"/>
    <s v="Working"/>
    <n v="4"/>
    <x v="6"/>
    <n v="2"/>
    <n v="0.3"/>
    <x v="1"/>
    <n v="0.30299999999999999"/>
    <x v="37"/>
    <x v="2"/>
    <x v="9"/>
    <x v="13"/>
    <x v="31"/>
    <x v="139"/>
  </r>
  <r>
    <n v="1059"/>
    <x v="23"/>
    <n v="1"/>
    <n v="1"/>
    <x v="16"/>
    <b v="0"/>
    <s v="Working"/>
    <n v="4"/>
    <x v="6"/>
    <n v="2"/>
    <n v="0.3"/>
    <x v="1"/>
    <n v="0.31819999999999998"/>
    <x v="37"/>
    <x v="2"/>
    <x v="7"/>
    <x v="13"/>
    <x v="134"/>
    <x v="147"/>
  </r>
  <r>
    <n v="1060"/>
    <x v="23"/>
    <n v="1"/>
    <n v="1"/>
    <x v="5"/>
    <b v="0"/>
    <s v="Working"/>
    <n v="4"/>
    <x v="6"/>
    <n v="2"/>
    <n v="0.26"/>
    <x v="1"/>
    <n v="0.2576"/>
    <x v="35"/>
    <x v="2"/>
    <x v="4"/>
    <x v="2"/>
    <x v="114"/>
    <x v="148"/>
  </r>
  <r>
    <n v="1061"/>
    <x v="23"/>
    <n v="1"/>
    <n v="1"/>
    <x v="6"/>
    <b v="0"/>
    <s v="Working"/>
    <n v="4"/>
    <x v="6"/>
    <n v="1"/>
    <n v="0.26"/>
    <x v="1"/>
    <n v="0.2273"/>
    <x v="35"/>
    <x v="2"/>
    <x v="10"/>
    <x v="6"/>
    <x v="70"/>
    <x v="149"/>
  </r>
  <r>
    <n v="1062"/>
    <x v="23"/>
    <n v="1"/>
    <n v="1"/>
    <x v="7"/>
    <b v="0"/>
    <s v="Working"/>
    <n v="4"/>
    <x v="6"/>
    <n v="2"/>
    <n v="0.26"/>
    <x v="1"/>
    <n v="0.2424"/>
    <x v="54"/>
    <x v="2"/>
    <x v="1"/>
    <x v="9"/>
    <x v="30"/>
    <x v="150"/>
  </r>
  <r>
    <n v="1063"/>
    <x v="23"/>
    <n v="1"/>
    <n v="1"/>
    <x v="8"/>
    <b v="0"/>
    <s v="Working"/>
    <n v="4"/>
    <x v="6"/>
    <n v="2"/>
    <n v="0.24"/>
    <x v="0"/>
    <n v="0.2273"/>
    <x v="54"/>
    <x v="2"/>
    <x v="3"/>
    <x v="0"/>
    <x v="60"/>
    <x v="74"/>
  </r>
  <r>
    <n v="1064"/>
    <x v="23"/>
    <n v="1"/>
    <n v="1"/>
    <x v="9"/>
    <b v="0"/>
    <s v="Working"/>
    <n v="4"/>
    <x v="6"/>
    <n v="2"/>
    <n v="0.24"/>
    <x v="0"/>
    <n v="0.21210000000000001"/>
    <x v="55"/>
    <x v="2"/>
    <x v="1"/>
    <x v="12"/>
    <x v="52"/>
    <x v="3"/>
  </r>
  <r>
    <n v="1065"/>
    <x v="23"/>
    <n v="1"/>
    <n v="1"/>
    <x v="17"/>
    <b v="0"/>
    <s v="Working"/>
    <n v="4"/>
    <x v="6"/>
    <n v="2"/>
    <n v="0.24"/>
    <x v="0"/>
    <n v="0.21210000000000001"/>
    <x v="55"/>
    <x v="2"/>
    <x v="10"/>
    <x v="0"/>
    <x v="21"/>
    <x v="52"/>
  </r>
  <r>
    <n v="1066"/>
    <x v="8"/>
    <n v="1"/>
    <n v="1"/>
    <x v="10"/>
    <b v="0"/>
    <s v="Working"/>
    <n v="5"/>
    <x v="5"/>
    <n v="2"/>
    <n v="0.24"/>
    <x v="0"/>
    <n v="0.2273"/>
    <x v="56"/>
    <x v="2"/>
    <x v="3"/>
    <x v="2"/>
    <x v="15"/>
    <x v="142"/>
  </r>
  <r>
    <n v="1067"/>
    <x v="8"/>
    <n v="1"/>
    <n v="1"/>
    <x v="0"/>
    <b v="0"/>
    <s v="Working"/>
    <n v="5"/>
    <x v="5"/>
    <n v="2"/>
    <n v="0.24"/>
    <x v="0"/>
    <n v="0.2273"/>
    <x v="56"/>
    <x v="2"/>
    <x v="3"/>
    <x v="12"/>
    <x v="24"/>
    <x v="12"/>
  </r>
  <r>
    <n v="1068"/>
    <x v="8"/>
    <n v="1"/>
    <n v="1"/>
    <x v="1"/>
    <b v="0"/>
    <s v="Working"/>
    <n v="5"/>
    <x v="5"/>
    <n v="3"/>
    <n v="0.24"/>
    <x v="0"/>
    <n v="0.2424"/>
    <x v="10"/>
    <x v="2"/>
    <x v="6"/>
    <x v="12"/>
    <x v="2"/>
    <x v="34"/>
  </r>
  <r>
    <n v="1071"/>
    <x v="8"/>
    <n v="1"/>
    <n v="1"/>
    <x v="18"/>
    <b v="0"/>
    <s v="Working"/>
    <n v="5"/>
    <x v="5"/>
    <n v="1"/>
    <n v="0.24"/>
    <x v="0"/>
    <n v="0.19700000000000001"/>
    <x v="54"/>
    <x v="2"/>
    <x v="17"/>
    <x v="2"/>
    <x v="11"/>
    <x v="25"/>
  </r>
  <r>
    <n v="1072"/>
    <x v="8"/>
    <n v="1"/>
    <n v="1"/>
    <x v="19"/>
    <b v="0"/>
    <s v="Working"/>
    <n v="5"/>
    <x v="5"/>
    <n v="1"/>
    <n v="0.22"/>
    <x v="0"/>
    <n v="0.21210000000000001"/>
    <x v="29"/>
    <x v="2"/>
    <x v="3"/>
    <x v="12"/>
    <x v="1"/>
    <x v="54"/>
  </r>
  <r>
    <n v="1073"/>
    <x v="8"/>
    <n v="1"/>
    <n v="1"/>
    <x v="2"/>
    <b v="0"/>
    <s v="Working"/>
    <n v="5"/>
    <x v="5"/>
    <n v="1"/>
    <n v="0.2"/>
    <x v="0"/>
    <n v="0.18179999999999999"/>
    <x v="34"/>
    <x v="2"/>
    <x v="1"/>
    <x v="9"/>
    <x v="69"/>
    <x v="127"/>
  </r>
  <r>
    <n v="1074"/>
    <x v="8"/>
    <n v="1"/>
    <n v="1"/>
    <x v="14"/>
    <b v="0"/>
    <s v="Working"/>
    <n v="5"/>
    <x v="5"/>
    <n v="1"/>
    <n v="0.2"/>
    <x v="0"/>
    <n v="0.18179999999999999"/>
    <x v="20"/>
    <x v="2"/>
    <x v="10"/>
    <x v="10"/>
    <x v="135"/>
    <x v="123"/>
  </r>
  <r>
    <n v="1075"/>
    <x v="8"/>
    <n v="1"/>
    <n v="1"/>
    <x v="15"/>
    <b v="0"/>
    <s v="Working"/>
    <n v="5"/>
    <x v="5"/>
    <n v="1"/>
    <n v="0.2"/>
    <x v="0"/>
    <n v="0.18179999999999999"/>
    <x v="34"/>
    <x v="2"/>
    <x v="11"/>
    <x v="10"/>
    <x v="136"/>
    <x v="151"/>
  </r>
  <r>
    <n v="1076"/>
    <x v="8"/>
    <n v="1"/>
    <n v="1"/>
    <x v="12"/>
    <b v="0"/>
    <s v="Working"/>
    <n v="5"/>
    <x v="5"/>
    <n v="1"/>
    <n v="0.2"/>
    <x v="0"/>
    <n v="0.16669999999999999"/>
    <x v="20"/>
    <x v="2"/>
    <x v="12"/>
    <x v="6"/>
    <x v="96"/>
    <x v="77"/>
  </r>
  <r>
    <n v="1077"/>
    <x v="8"/>
    <n v="1"/>
    <n v="1"/>
    <x v="3"/>
    <b v="0"/>
    <s v="Working"/>
    <n v="5"/>
    <x v="5"/>
    <n v="1"/>
    <n v="0.22"/>
    <x v="0"/>
    <n v="0.18179999999999999"/>
    <x v="49"/>
    <x v="2"/>
    <x v="12"/>
    <x v="6"/>
    <x v="83"/>
    <x v="96"/>
  </r>
  <r>
    <n v="1078"/>
    <x v="8"/>
    <n v="1"/>
    <n v="1"/>
    <x v="20"/>
    <b v="0"/>
    <s v="Working"/>
    <n v="5"/>
    <x v="5"/>
    <n v="1"/>
    <n v="0.22"/>
    <x v="0"/>
    <n v="0.18179999999999999"/>
    <x v="57"/>
    <x v="2"/>
    <x v="19"/>
    <x v="7"/>
    <x v="63"/>
    <x v="75"/>
  </r>
  <r>
    <n v="1079"/>
    <x v="8"/>
    <n v="1"/>
    <n v="1"/>
    <x v="21"/>
    <b v="0"/>
    <s v="Working"/>
    <n v="5"/>
    <x v="5"/>
    <n v="1"/>
    <n v="0.2"/>
    <x v="0"/>
    <n v="0.1515"/>
    <x v="58"/>
    <x v="2"/>
    <x v="19"/>
    <x v="13"/>
    <x v="39"/>
    <x v="105"/>
  </r>
  <r>
    <n v="1080"/>
    <x v="8"/>
    <n v="1"/>
    <n v="1"/>
    <x v="23"/>
    <b v="0"/>
    <s v="Working"/>
    <n v="5"/>
    <x v="5"/>
    <n v="1"/>
    <n v="0.2"/>
    <x v="0"/>
    <n v="0.1515"/>
    <x v="59"/>
    <x v="2"/>
    <x v="18"/>
    <x v="6"/>
    <x v="52"/>
    <x v="88"/>
  </r>
  <r>
    <n v="1081"/>
    <x v="8"/>
    <n v="1"/>
    <n v="1"/>
    <x v="13"/>
    <b v="0"/>
    <s v="Working"/>
    <n v="5"/>
    <x v="5"/>
    <n v="1"/>
    <n v="0.16"/>
    <x v="0"/>
    <n v="0.1212"/>
    <x v="60"/>
    <x v="2"/>
    <x v="13"/>
    <x v="8"/>
    <x v="29"/>
    <x v="64"/>
  </r>
  <r>
    <n v="1082"/>
    <x v="8"/>
    <n v="1"/>
    <n v="1"/>
    <x v="4"/>
    <b v="0"/>
    <s v="Working"/>
    <n v="5"/>
    <x v="5"/>
    <n v="1"/>
    <n v="0.16"/>
    <x v="0"/>
    <n v="0.13639999999999999"/>
    <x v="60"/>
    <x v="2"/>
    <x v="11"/>
    <x v="12"/>
    <x v="117"/>
    <x v="76"/>
  </r>
  <r>
    <n v="1083"/>
    <x v="8"/>
    <n v="1"/>
    <n v="1"/>
    <x v="16"/>
    <b v="0"/>
    <s v="Working"/>
    <n v="5"/>
    <x v="5"/>
    <n v="1"/>
    <n v="0.14000000000000001"/>
    <x v="0"/>
    <n v="0.1212"/>
    <x v="41"/>
    <x v="2"/>
    <x v="11"/>
    <x v="21"/>
    <x v="137"/>
    <x v="144"/>
  </r>
  <r>
    <n v="1084"/>
    <x v="8"/>
    <n v="1"/>
    <n v="1"/>
    <x v="5"/>
    <b v="0"/>
    <s v="Working"/>
    <n v="5"/>
    <x v="5"/>
    <n v="1"/>
    <n v="0.12"/>
    <x v="0"/>
    <n v="0.1212"/>
    <x v="25"/>
    <x v="2"/>
    <x v="3"/>
    <x v="2"/>
    <x v="138"/>
    <x v="152"/>
  </r>
  <r>
    <n v="1085"/>
    <x v="8"/>
    <n v="1"/>
    <n v="1"/>
    <x v="6"/>
    <b v="0"/>
    <s v="Working"/>
    <n v="5"/>
    <x v="5"/>
    <n v="1"/>
    <n v="0.12"/>
    <x v="0"/>
    <n v="0.1061"/>
    <x v="25"/>
    <x v="2"/>
    <x v="10"/>
    <x v="0"/>
    <x v="139"/>
    <x v="153"/>
  </r>
  <r>
    <n v="1086"/>
    <x v="8"/>
    <n v="1"/>
    <n v="1"/>
    <x v="7"/>
    <b v="0"/>
    <s v="Working"/>
    <n v="5"/>
    <x v="5"/>
    <n v="1"/>
    <n v="0.1"/>
    <x v="0"/>
    <n v="7.5800000000000006E-2"/>
    <x v="40"/>
    <x v="2"/>
    <x v="17"/>
    <x v="2"/>
    <x v="4"/>
    <x v="13"/>
  </r>
  <r>
    <n v="1087"/>
    <x v="8"/>
    <n v="1"/>
    <n v="1"/>
    <x v="8"/>
    <b v="0"/>
    <s v="Working"/>
    <n v="5"/>
    <x v="5"/>
    <n v="1"/>
    <n v="0.08"/>
    <x v="0"/>
    <n v="7.5800000000000006E-2"/>
    <x v="42"/>
    <x v="2"/>
    <x v="1"/>
    <x v="12"/>
    <x v="32"/>
    <x v="32"/>
  </r>
  <r>
    <n v="1088"/>
    <x v="8"/>
    <n v="1"/>
    <n v="1"/>
    <x v="9"/>
    <b v="0"/>
    <s v="Working"/>
    <n v="5"/>
    <x v="5"/>
    <n v="1"/>
    <n v="0.06"/>
    <x v="0"/>
    <n v="3.0300000000000001E-2"/>
    <x v="49"/>
    <x v="2"/>
    <x v="14"/>
    <x v="2"/>
    <x v="33"/>
    <x v="8"/>
  </r>
  <r>
    <n v="1089"/>
    <x v="8"/>
    <n v="1"/>
    <n v="1"/>
    <x v="17"/>
    <b v="0"/>
    <s v="Working"/>
    <n v="5"/>
    <x v="5"/>
    <n v="1"/>
    <n v="0.06"/>
    <x v="0"/>
    <n v="4.5499999999999999E-2"/>
    <x v="42"/>
    <x v="2"/>
    <x v="10"/>
    <x v="12"/>
    <x v="1"/>
    <x v="54"/>
  </r>
  <r>
    <n v="1090"/>
    <x v="24"/>
    <n v="1"/>
    <n v="1"/>
    <x v="10"/>
    <b v="0"/>
    <s v="Working"/>
    <n v="6"/>
    <x v="0"/>
    <n v="1"/>
    <n v="0.04"/>
    <x v="0"/>
    <n v="3.0300000000000001E-2"/>
    <x v="50"/>
    <x v="2"/>
    <x v="3"/>
    <x v="12"/>
    <x v="0"/>
    <x v="26"/>
  </r>
  <r>
    <n v="1092"/>
    <x v="24"/>
    <n v="1"/>
    <n v="1"/>
    <x v="1"/>
    <b v="0"/>
    <s v="Working"/>
    <n v="6"/>
    <x v="0"/>
    <n v="2"/>
    <n v="0.04"/>
    <x v="0"/>
    <n v="3.0300000000000001E-2"/>
    <x v="49"/>
    <x v="2"/>
    <x v="3"/>
    <x v="12"/>
    <x v="73"/>
    <x v="82"/>
  </r>
  <r>
    <n v="1093"/>
    <x v="24"/>
    <n v="1"/>
    <n v="1"/>
    <x v="11"/>
    <b v="0"/>
    <s v="Working"/>
    <n v="6"/>
    <x v="0"/>
    <n v="2"/>
    <n v="0.04"/>
    <x v="0"/>
    <n v="3.0300000000000001E-2"/>
    <x v="49"/>
    <x v="2"/>
    <x v="1"/>
    <x v="2"/>
    <x v="24"/>
    <x v="23"/>
  </r>
  <r>
    <n v="1094"/>
    <x v="24"/>
    <n v="1"/>
    <n v="1"/>
    <x v="22"/>
    <b v="0"/>
    <s v="Working"/>
    <n v="6"/>
    <x v="0"/>
    <n v="2"/>
    <n v="0.02"/>
    <x v="0"/>
    <n v="1.52E-2"/>
    <x v="38"/>
    <x v="2"/>
    <x v="2"/>
    <x v="12"/>
    <x v="27"/>
    <x v="2"/>
  </r>
  <r>
    <n v="1095"/>
    <x v="24"/>
    <n v="1"/>
    <n v="1"/>
    <x v="19"/>
    <b v="0"/>
    <s v="Working"/>
    <n v="6"/>
    <x v="0"/>
    <n v="2"/>
    <n v="0.02"/>
    <x v="0"/>
    <n v="3.0300000000000001E-2"/>
    <x v="19"/>
    <x v="2"/>
    <x v="5"/>
    <x v="12"/>
    <x v="2"/>
    <x v="34"/>
  </r>
  <r>
    <n v="1096"/>
    <x v="24"/>
    <n v="1"/>
    <n v="1"/>
    <x v="2"/>
    <b v="0"/>
    <s v="Working"/>
    <n v="6"/>
    <x v="0"/>
    <n v="1"/>
    <n v="0.02"/>
    <x v="0"/>
    <n v="1.52E-2"/>
    <x v="19"/>
    <x v="2"/>
    <x v="1"/>
    <x v="12"/>
    <x v="10"/>
    <x v="41"/>
  </r>
  <r>
    <n v="1098"/>
    <x v="24"/>
    <n v="1"/>
    <n v="1"/>
    <x v="15"/>
    <b v="0"/>
    <s v="Working"/>
    <n v="6"/>
    <x v="0"/>
    <n v="1"/>
    <n v="0.04"/>
    <x v="0"/>
    <n v="3.0300000000000001E-2"/>
    <x v="49"/>
    <x v="2"/>
    <x v="3"/>
    <x v="0"/>
    <x v="76"/>
    <x v="53"/>
  </r>
  <r>
    <n v="1099"/>
    <x v="24"/>
    <n v="1"/>
    <n v="1"/>
    <x v="12"/>
    <b v="0"/>
    <s v="Working"/>
    <n v="6"/>
    <x v="0"/>
    <n v="2"/>
    <n v="0.04"/>
    <x v="0"/>
    <n v="6.0600000000000001E-2"/>
    <x v="49"/>
    <x v="2"/>
    <x v="6"/>
    <x v="0"/>
    <x v="77"/>
    <x v="13"/>
  </r>
  <r>
    <n v="1100"/>
    <x v="24"/>
    <n v="1"/>
    <n v="1"/>
    <x v="3"/>
    <b v="0"/>
    <s v="Working"/>
    <n v="6"/>
    <x v="0"/>
    <n v="2"/>
    <n v="0.06"/>
    <x v="0"/>
    <n v="7.5800000000000006E-2"/>
    <x v="42"/>
    <x v="2"/>
    <x v="9"/>
    <x v="8"/>
    <x v="98"/>
    <x v="77"/>
  </r>
  <r>
    <n v="1101"/>
    <x v="24"/>
    <n v="1"/>
    <n v="1"/>
    <x v="20"/>
    <b v="0"/>
    <s v="Working"/>
    <n v="6"/>
    <x v="0"/>
    <n v="2"/>
    <n v="0.06"/>
    <x v="0"/>
    <n v="0.1061"/>
    <x v="42"/>
    <x v="2"/>
    <x v="7"/>
    <x v="21"/>
    <x v="107"/>
    <x v="40"/>
  </r>
  <r>
    <n v="1102"/>
    <x v="24"/>
    <n v="1"/>
    <n v="1"/>
    <x v="21"/>
    <b v="0"/>
    <s v="Working"/>
    <n v="6"/>
    <x v="0"/>
    <n v="1"/>
    <n v="0.08"/>
    <x v="0"/>
    <n v="0.16669999999999999"/>
    <x v="24"/>
    <x v="2"/>
    <x v="0"/>
    <x v="14"/>
    <x v="16"/>
    <x v="59"/>
  </r>
  <r>
    <n v="1103"/>
    <x v="24"/>
    <n v="1"/>
    <n v="1"/>
    <x v="23"/>
    <b v="0"/>
    <s v="Working"/>
    <n v="6"/>
    <x v="0"/>
    <n v="1"/>
    <n v="0.1"/>
    <x v="0"/>
    <n v="0.13639999999999999"/>
    <x v="40"/>
    <x v="2"/>
    <x v="7"/>
    <x v="7"/>
    <x v="62"/>
    <x v="63"/>
  </r>
  <r>
    <n v="1104"/>
    <x v="24"/>
    <n v="1"/>
    <n v="1"/>
    <x v="13"/>
    <b v="0"/>
    <s v="Working"/>
    <n v="6"/>
    <x v="0"/>
    <n v="1"/>
    <n v="0.12"/>
    <x v="0"/>
    <n v="0.1515"/>
    <x v="41"/>
    <x v="2"/>
    <x v="0"/>
    <x v="21"/>
    <x v="139"/>
    <x v="154"/>
  </r>
  <r>
    <n v="1105"/>
    <x v="24"/>
    <n v="1"/>
    <n v="1"/>
    <x v="4"/>
    <b v="0"/>
    <s v="Working"/>
    <n v="6"/>
    <x v="0"/>
    <n v="1"/>
    <n v="0.12"/>
    <x v="0"/>
    <n v="0.13639999999999999"/>
    <x v="41"/>
    <x v="2"/>
    <x v="4"/>
    <x v="7"/>
    <x v="16"/>
    <x v="31"/>
  </r>
  <r>
    <n v="1106"/>
    <x v="24"/>
    <n v="1"/>
    <n v="1"/>
    <x v="16"/>
    <b v="0"/>
    <s v="Working"/>
    <n v="6"/>
    <x v="0"/>
    <n v="1"/>
    <n v="0.12"/>
    <x v="0"/>
    <n v="0.19700000000000001"/>
    <x v="41"/>
    <x v="2"/>
    <x v="0"/>
    <x v="13"/>
    <x v="98"/>
    <x v="97"/>
  </r>
  <r>
    <n v="1107"/>
    <x v="24"/>
    <n v="1"/>
    <n v="1"/>
    <x v="5"/>
    <b v="0"/>
    <s v="Working"/>
    <n v="6"/>
    <x v="0"/>
    <n v="1"/>
    <n v="0.08"/>
    <x v="0"/>
    <n v="9.0899999999999995E-2"/>
    <x v="24"/>
    <x v="2"/>
    <x v="4"/>
    <x v="12"/>
    <x v="60"/>
    <x v="81"/>
  </r>
  <r>
    <n v="1108"/>
    <x v="24"/>
    <n v="1"/>
    <n v="1"/>
    <x v="6"/>
    <b v="0"/>
    <s v="Working"/>
    <n v="6"/>
    <x v="0"/>
    <n v="1"/>
    <n v="0.08"/>
    <x v="0"/>
    <n v="0.1061"/>
    <x v="24"/>
    <x v="2"/>
    <x v="9"/>
    <x v="6"/>
    <x v="83"/>
    <x v="96"/>
  </r>
  <r>
    <n v="1109"/>
    <x v="24"/>
    <n v="1"/>
    <n v="1"/>
    <x v="7"/>
    <b v="0"/>
    <s v="Working"/>
    <n v="6"/>
    <x v="0"/>
    <n v="1"/>
    <n v="0.06"/>
    <x v="0"/>
    <n v="7.5800000000000006E-2"/>
    <x v="50"/>
    <x v="2"/>
    <x v="6"/>
    <x v="2"/>
    <x v="111"/>
    <x v="95"/>
  </r>
  <r>
    <n v="1110"/>
    <x v="24"/>
    <n v="1"/>
    <n v="1"/>
    <x v="8"/>
    <b v="0"/>
    <s v="Working"/>
    <n v="6"/>
    <x v="0"/>
    <n v="1"/>
    <n v="0.06"/>
    <x v="0"/>
    <n v="0.1061"/>
    <x v="49"/>
    <x v="2"/>
    <x v="8"/>
    <x v="12"/>
    <x v="105"/>
    <x v="110"/>
  </r>
  <r>
    <n v="1111"/>
    <x v="24"/>
    <n v="1"/>
    <n v="1"/>
    <x v="9"/>
    <b v="0"/>
    <s v="Working"/>
    <n v="6"/>
    <x v="0"/>
    <n v="1"/>
    <n v="0.06"/>
    <x v="0"/>
    <n v="0.1515"/>
    <x v="37"/>
    <x v="2"/>
    <x v="0"/>
    <x v="10"/>
    <x v="140"/>
    <x v="42"/>
  </r>
  <r>
    <n v="1112"/>
    <x v="24"/>
    <n v="1"/>
    <n v="1"/>
    <x v="17"/>
    <b v="0"/>
    <s v="Working"/>
    <n v="6"/>
    <x v="0"/>
    <n v="1"/>
    <n v="0.04"/>
    <x v="0"/>
    <n v="7.5800000000000006E-2"/>
    <x v="16"/>
    <x v="2"/>
    <x v="7"/>
    <x v="9"/>
    <x v="6"/>
    <x v="33"/>
  </r>
  <r>
    <n v="1113"/>
    <x v="25"/>
    <n v="1"/>
    <n v="1"/>
    <x v="10"/>
    <b v="0"/>
    <s v="Working"/>
    <n v="0"/>
    <x v="1"/>
    <n v="1"/>
    <n v="0.04"/>
    <x v="0"/>
    <n v="7.5800000000000006E-2"/>
    <x v="16"/>
    <x v="2"/>
    <x v="7"/>
    <x v="9"/>
    <x v="15"/>
    <x v="28"/>
  </r>
  <r>
    <n v="1114"/>
    <x v="25"/>
    <n v="1"/>
    <n v="1"/>
    <x v="0"/>
    <b v="0"/>
    <s v="Working"/>
    <n v="0"/>
    <x v="1"/>
    <n v="1"/>
    <n v="0.04"/>
    <x v="0"/>
    <n v="7.5800000000000006E-2"/>
    <x v="16"/>
    <x v="2"/>
    <x v="7"/>
    <x v="2"/>
    <x v="109"/>
    <x v="26"/>
  </r>
  <r>
    <n v="1115"/>
    <x v="25"/>
    <n v="1"/>
    <n v="1"/>
    <x v="1"/>
    <b v="0"/>
    <s v="Working"/>
    <n v="0"/>
    <x v="1"/>
    <n v="1"/>
    <n v="0.02"/>
    <x v="0"/>
    <n v="6.0600000000000001E-2"/>
    <x v="51"/>
    <x v="2"/>
    <x v="9"/>
    <x v="0"/>
    <x v="14"/>
    <x v="122"/>
  </r>
  <r>
    <n v="1116"/>
    <x v="25"/>
    <n v="1"/>
    <n v="1"/>
    <x v="11"/>
    <b v="0"/>
    <s v="Working"/>
    <n v="0"/>
    <x v="1"/>
    <n v="1"/>
    <n v="0.02"/>
    <x v="0"/>
    <n v="6.0600000000000001E-2"/>
    <x v="51"/>
    <x v="2"/>
    <x v="9"/>
    <x v="2"/>
    <x v="11"/>
    <x v="25"/>
  </r>
  <r>
    <n v="1117"/>
    <x v="25"/>
    <n v="1"/>
    <n v="1"/>
    <x v="18"/>
    <b v="0"/>
    <s v="Working"/>
    <n v="0"/>
    <x v="1"/>
    <n v="2"/>
    <n v="0.04"/>
    <x v="0"/>
    <n v="7.5800000000000006E-2"/>
    <x v="16"/>
    <x v="2"/>
    <x v="7"/>
    <x v="12"/>
    <x v="27"/>
    <x v="2"/>
  </r>
  <r>
    <n v="1118"/>
    <x v="25"/>
    <n v="1"/>
    <n v="1"/>
    <x v="19"/>
    <b v="0"/>
    <s v="Working"/>
    <n v="0"/>
    <x v="1"/>
    <n v="2"/>
    <n v="0.04"/>
    <x v="0"/>
    <n v="7.5800000000000006E-2"/>
    <x v="16"/>
    <x v="2"/>
    <x v="7"/>
    <x v="12"/>
    <x v="25"/>
    <x v="24"/>
  </r>
  <r>
    <n v="1119"/>
    <x v="25"/>
    <n v="1"/>
    <n v="1"/>
    <x v="2"/>
    <b v="0"/>
    <s v="Working"/>
    <n v="0"/>
    <x v="1"/>
    <n v="1"/>
    <n v="0.08"/>
    <x v="0"/>
    <n v="0.1061"/>
    <x v="52"/>
    <x v="2"/>
    <x v="6"/>
    <x v="2"/>
    <x v="25"/>
    <x v="34"/>
  </r>
  <r>
    <n v="1120"/>
    <x v="25"/>
    <n v="1"/>
    <n v="1"/>
    <x v="14"/>
    <b v="0"/>
    <s v="Working"/>
    <n v="0"/>
    <x v="1"/>
    <n v="1"/>
    <n v="0.06"/>
    <x v="0"/>
    <n v="7.5800000000000006E-2"/>
    <x v="51"/>
    <x v="2"/>
    <x v="6"/>
    <x v="9"/>
    <x v="8"/>
    <x v="22"/>
  </r>
  <r>
    <n v="1121"/>
    <x v="25"/>
    <n v="1"/>
    <n v="1"/>
    <x v="15"/>
    <b v="0"/>
    <s v="Working"/>
    <n v="0"/>
    <x v="1"/>
    <n v="1"/>
    <n v="0.1"/>
    <x v="0"/>
    <n v="7.5800000000000006E-2"/>
    <x v="48"/>
    <x v="2"/>
    <x v="11"/>
    <x v="0"/>
    <x v="7"/>
    <x v="9"/>
  </r>
  <r>
    <n v="1122"/>
    <x v="25"/>
    <n v="1"/>
    <n v="1"/>
    <x v="12"/>
    <b v="0"/>
    <s v="Working"/>
    <n v="0"/>
    <x v="1"/>
    <n v="1"/>
    <n v="0.14000000000000001"/>
    <x v="0"/>
    <n v="0.1061"/>
    <x v="17"/>
    <x v="2"/>
    <x v="14"/>
    <x v="10"/>
    <x v="19"/>
    <x v="44"/>
  </r>
  <r>
    <n v="1123"/>
    <x v="25"/>
    <n v="1"/>
    <n v="1"/>
    <x v="3"/>
    <b v="0"/>
    <s v="Working"/>
    <n v="0"/>
    <x v="1"/>
    <n v="1"/>
    <n v="0.14000000000000001"/>
    <x v="0"/>
    <n v="0.13639999999999999"/>
    <x v="22"/>
    <x v="2"/>
    <x v="5"/>
    <x v="30"/>
    <x v="110"/>
    <x v="56"/>
  </r>
  <r>
    <n v="1124"/>
    <x v="25"/>
    <n v="1"/>
    <n v="1"/>
    <x v="20"/>
    <b v="0"/>
    <s v="Working"/>
    <n v="0"/>
    <x v="1"/>
    <n v="1"/>
    <n v="0.16"/>
    <x v="0"/>
    <n v="0.1212"/>
    <x v="39"/>
    <x v="2"/>
    <x v="12"/>
    <x v="31"/>
    <x v="74"/>
    <x v="155"/>
  </r>
  <r>
    <n v="1125"/>
    <x v="25"/>
    <n v="1"/>
    <n v="1"/>
    <x v="21"/>
    <b v="0"/>
    <s v="Working"/>
    <n v="0"/>
    <x v="1"/>
    <n v="1"/>
    <n v="0.14000000000000001"/>
    <x v="0"/>
    <n v="0.1061"/>
    <x v="40"/>
    <x v="2"/>
    <x v="14"/>
    <x v="14"/>
    <x v="113"/>
    <x v="107"/>
  </r>
  <r>
    <n v="1126"/>
    <x v="25"/>
    <n v="1"/>
    <n v="1"/>
    <x v="23"/>
    <b v="0"/>
    <s v="Working"/>
    <n v="0"/>
    <x v="1"/>
    <n v="1"/>
    <n v="0.16"/>
    <x v="0"/>
    <n v="0.13639999999999999"/>
    <x v="41"/>
    <x v="2"/>
    <x v="11"/>
    <x v="25"/>
    <x v="139"/>
    <x v="62"/>
  </r>
  <r>
    <n v="1127"/>
    <x v="25"/>
    <n v="1"/>
    <n v="1"/>
    <x v="13"/>
    <b v="0"/>
    <s v="Working"/>
    <n v="0"/>
    <x v="1"/>
    <n v="1"/>
    <n v="0.16"/>
    <x v="0"/>
    <n v="0.13639999999999999"/>
    <x v="41"/>
    <x v="2"/>
    <x v="11"/>
    <x v="22"/>
    <x v="62"/>
    <x v="69"/>
  </r>
  <r>
    <n v="1128"/>
    <x v="25"/>
    <n v="1"/>
    <n v="1"/>
    <x v="4"/>
    <b v="0"/>
    <s v="Working"/>
    <n v="0"/>
    <x v="1"/>
    <n v="1"/>
    <n v="0.16"/>
    <x v="0"/>
    <n v="0.13639999999999999"/>
    <x v="60"/>
    <x v="2"/>
    <x v="10"/>
    <x v="5"/>
    <x v="52"/>
    <x v="64"/>
  </r>
  <r>
    <n v="1129"/>
    <x v="25"/>
    <n v="1"/>
    <n v="1"/>
    <x v="16"/>
    <b v="0"/>
    <s v="Working"/>
    <n v="0"/>
    <x v="1"/>
    <n v="1"/>
    <n v="0.14000000000000001"/>
    <x v="0"/>
    <n v="0.1061"/>
    <x v="60"/>
    <x v="2"/>
    <x v="14"/>
    <x v="1"/>
    <x v="77"/>
    <x v="114"/>
  </r>
  <r>
    <n v="1130"/>
    <x v="25"/>
    <n v="1"/>
    <n v="1"/>
    <x v="5"/>
    <b v="0"/>
    <s v="Working"/>
    <n v="0"/>
    <x v="1"/>
    <n v="1"/>
    <n v="0.12"/>
    <x v="0"/>
    <n v="0.1212"/>
    <x v="25"/>
    <x v="2"/>
    <x v="3"/>
    <x v="1"/>
    <x v="111"/>
    <x v="51"/>
  </r>
  <r>
    <n v="1131"/>
    <x v="25"/>
    <n v="1"/>
    <n v="1"/>
    <x v="6"/>
    <b v="0"/>
    <s v="Working"/>
    <n v="0"/>
    <x v="1"/>
    <n v="1"/>
    <n v="0.12"/>
    <x v="0"/>
    <n v="0.1212"/>
    <x v="25"/>
    <x v="2"/>
    <x v="1"/>
    <x v="1"/>
    <x v="53"/>
    <x v="106"/>
  </r>
  <r>
    <n v="1132"/>
    <x v="25"/>
    <n v="1"/>
    <n v="1"/>
    <x v="7"/>
    <b v="0"/>
    <s v="Working"/>
    <n v="0"/>
    <x v="1"/>
    <n v="1"/>
    <n v="0.1"/>
    <x v="0"/>
    <n v="0.1061"/>
    <x v="43"/>
    <x v="2"/>
    <x v="3"/>
    <x v="8"/>
    <x v="6"/>
    <x v="5"/>
  </r>
  <r>
    <n v="1133"/>
    <x v="25"/>
    <n v="1"/>
    <n v="1"/>
    <x v="8"/>
    <b v="0"/>
    <s v="Working"/>
    <n v="0"/>
    <x v="1"/>
    <n v="1"/>
    <n v="0.1"/>
    <x v="0"/>
    <n v="0.1061"/>
    <x v="43"/>
    <x v="2"/>
    <x v="4"/>
    <x v="1"/>
    <x v="15"/>
    <x v="111"/>
  </r>
  <r>
    <n v="1134"/>
    <x v="25"/>
    <n v="1"/>
    <n v="1"/>
    <x v="9"/>
    <b v="0"/>
    <s v="Working"/>
    <n v="0"/>
    <x v="1"/>
    <n v="1"/>
    <n v="0.08"/>
    <x v="0"/>
    <n v="9.0899999999999995E-2"/>
    <x v="42"/>
    <x v="2"/>
    <x v="4"/>
    <x v="1"/>
    <x v="140"/>
    <x v="9"/>
  </r>
  <r>
    <n v="1135"/>
    <x v="25"/>
    <n v="1"/>
    <n v="1"/>
    <x v="17"/>
    <b v="0"/>
    <s v="Working"/>
    <n v="0"/>
    <x v="1"/>
    <n v="1"/>
    <n v="0.06"/>
    <x v="0"/>
    <n v="6.0600000000000001E-2"/>
    <x v="49"/>
    <x v="2"/>
    <x v="5"/>
    <x v="8"/>
    <x v="8"/>
    <x v="142"/>
  </r>
  <r>
    <n v="1136"/>
    <x v="26"/>
    <n v="1"/>
    <n v="1"/>
    <x v="10"/>
    <b v="0"/>
    <s v="Working"/>
    <n v="1"/>
    <x v="4"/>
    <n v="1"/>
    <n v="0.06"/>
    <x v="0"/>
    <n v="6.0600000000000001E-2"/>
    <x v="49"/>
    <x v="2"/>
    <x v="4"/>
    <x v="12"/>
    <x v="23"/>
    <x v="23"/>
  </r>
  <r>
    <n v="1137"/>
    <x v="26"/>
    <n v="1"/>
    <n v="1"/>
    <x v="0"/>
    <b v="0"/>
    <s v="Working"/>
    <n v="1"/>
    <x v="4"/>
    <n v="1"/>
    <n v="0.04"/>
    <x v="0"/>
    <n v="4.5499999999999999E-2"/>
    <x v="50"/>
    <x v="2"/>
    <x v="4"/>
    <x v="12"/>
    <x v="25"/>
    <x v="24"/>
  </r>
  <r>
    <n v="1138"/>
    <x v="26"/>
    <n v="1"/>
    <n v="1"/>
    <x v="11"/>
    <b v="0"/>
    <s v="Working"/>
    <n v="1"/>
    <x v="4"/>
    <n v="1"/>
    <n v="0.04"/>
    <x v="0"/>
    <n v="3.0300000000000001E-2"/>
    <x v="50"/>
    <x v="2"/>
    <x v="3"/>
    <x v="12"/>
    <x v="25"/>
    <x v="24"/>
  </r>
  <r>
    <n v="1139"/>
    <x v="26"/>
    <n v="1"/>
    <n v="1"/>
    <x v="22"/>
    <b v="0"/>
    <s v="Working"/>
    <n v="1"/>
    <x v="4"/>
    <n v="1"/>
    <n v="0.02"/>
    <x v="0"/>
    <n v="6.0600000000000001E-2"/>
    <x v="38"/>
    <x v="2"/>
    <x v="9"/>
    <x v="12"/>
    <x v="25"/>
    <x v="24"/>
  </r>
  <r>
    <n v="1140"/>
    <x v="26"/>
    <n v="1"/>
    <n v="1"/>
    <x v="18"/>
    <b v="0"/>
    <s v="Working"/>
    <n v="1"/>
    <x v="4"/>
    <n v="1"/>
    <n v="0.02"/>
    <x v="0"/>
    <n v="6.0600000000000001E-2"/>
    <x v="38"/>
    <x v="2"/>
    <x v="9"/>
    <x v="12"/>
    <x v="26"/>
    <x v="25"/>
  </r>
  <r>
    <n v="1141"/>
    <x v="26"/>
    <n v="1"/>
    <n v="1"/>
    <x v="19"/>
    <b v="0"/>
    <s v="Working"/>
    <n v="1"/>
    <x v="4"/>
    <n v="1"/>
    <n v="0.02"/>
    <x v="0"/>
    <n v="7.5800000000000006E-2"/>
    <x v="38"/>
    <x v="2"/>
    <x v="8"/>
    <x v="12"/>
    <x v="14"/>
    <x v="15"/>
  </r>
  <r>
    <n v="1142"/>
    <x v="26"/>
    <n v="1"/>
    <n v="1"/>
    <x v="2"/>
    <b v="0"/>
    <s v="Working"/>
    <n v="1"/>
    <x v="4"/>
    <n v="1"/>
    <n v="0.02"/>
    <x v="0"/>
    <n v="0.1212"/>
    <x v="38"/>
    <x v="2"/>
    <x v="0"/>
    <x v="1"/>
    <x v="78"/>
    <x v="59"/>
  </r>
  <r>
    <n v="1143"/>
    <x v="26"/>
    <n v="1"/>
    <n v="1"/>
    <x v="14"/>
    <b v="0"/>
    <s v="Working"/>
    <n v="1"/>
    <x v="4"/>
    <n v="1"/>
    <n v="0.04"/>
    <x v="0"/>
    <n v="0.13639999999999999"/>
    <x v="37"/>
    <x v="2"/>
    <x v="0"/>
    <x v="6"/>
    <x v="141"/>
    <x v="156"/>
  </r>
  <r>
    <n v="1144"/>
    <x v="26"/>
    <n v="1"/>
    <n v="1"/>
    <x v="15"/>
    <b v="0"/>
    <s v="Working"/>
    <n v="1"/>
    <x v="4"/>
    <n v="1"/>
    <n v="0.06"/>
    <x v="0"/>
    <n v="0.1515"/>
    <x v="49"/>
    <x v="2"/>
    <x v="0"/>
    <x v="8"/>
    <x v="56"/>
    <x v="113"/>
  </r>
  <r>
    <n v="1145"/>
    <x v="26"/>
    <n v="1"/>
    <n v="1"/>
    <x v="12"/>
    <b v="0"/>
    <s v="Working"/>
    <n v="1"/>
    <x v="4"/>
    <n v="1"/>
    <n v="0.1"/>
    <x v="0"/>
    <n v="0.13639999999999999"/>
    <x v="18"/>
    <x v="2"/>
    <x v="0"/>
    <x v="6"/>
    <x v="84"/>
    <x v="53"/>
  </r>
  <r>
    <n v="1146"/>
    <x v="26"/>
    <n v="1"/>
    <n v="1"/>
    <x v="3"/>
    <b v="0"/>
    <s v="Working"/>
    <n v="1"/>
    <x v="4"/>
    <n v="1"/>
    <n v="0.1"/>
    <x v="0"/>
    <n v="0.1212"/>
    <x v="17"/>
    <x v="2"/>
    <x v="9"/>
    <x v="0"/>
    <x v="43"/>
    <x v="85"/>
  </r>
  <r>
    <n v="1147"/>
    <x v="26"/>
    <n v="1"/>
    <n v="1"/>
    <x v="20"/>
    <b v="0"/>
    <s v="Working"/>
    <n v="1"/>
    <x v="4"/>
    <n v="2"/>
    <n v="0.12"/>
    <x v="0"/>
    <n v="0.13639999999999999"/>
    <x v="18"/>
    <x v="2"/>
    <x v="4"/>
    <x v="7"/>
    <x v="4"/>
    <x v="77"/>
  </r>
  <r>
    <n v="1148"/>
    <x v="26"/>
    <n v="1"/>
    <n v="1"/>
    <x v="21"/>
    <b v="0"/>
    <s v="Working"/>
    <n v="1"/>
    <x v="4"/>
    <n v="2"/>
    <n v="0.14000000000000001"/>
    <x v="0"/>
    <n v="0.13639999999999999"/>
    <x v="22"/>
    <x v="2"/>
    <x v="5"/>
    <x v="6"/>
    <x v="60"/>
    <x v="48"/>
  </r>
  <r>
    <n v="1149"/>
    <x v="26"/>
    <n v="1"/>
    <n v="1"/>
    <x v="23"/>
    <b v="0"/>
    <s v="Working"/>
    <n v="1"/>
    <x v="4"/>
    <n v="2"/>
    <n v="0.14000000000000001"/>
    <x v="0"/>
    <n v="0.13639999999999999"/>
    <x v="17"/>
    <x v="2"/>
    <x v="5"/>
    <x v="9"/>
    <x v="43"/>
    <x v="95"/>
  </r>
  <r>
    <n v="1150"/>
    <x v="26"/>
    <n v="1"/>
    <n v="1"/>
    <x v="13"/>
    <b v="0"/>
    <s v="Working"/>
    <n v="1"/>
    <x v="4"/>
    <n v="1"/>
    <n v="0.16"/>
    <x v="0"/>
    <n v="0.16669999999999999"/>
    <x v="23"/>
    <x v="2"/>
    <x v="6"/>
    <x v="10"/>
    <x v="77"/>
    <x v="74"/>
  </r>
  <r>
    <n v="1151"/>
    <x v="26"/>
    <n v="1"/>
    <n v="1"/>
    <x v="4"/>
    <b v="0"/>
    <s v="Working"/>
    <n v="1"/>
    <x v="4"/>
    <n v="1"/>
    <n v="0.16"/>
    <x v="0"/>
    <n v="0.1515"/>
    <x v="20"/>
    <x v="2"/>
    <x v="3"/>
    <x v="8"/>
    <x v="69"/>
    <x v="40"/>
  </r>
  <r>
    <n v="1152"/>
    <x v="26"/>
    <n v="1"/>
    <n v="1"/>
    <x v="16"/>
    <b v="0"/>
    <s v="Working"/>
    <n v="1"/>
    <x v="4"/>
    <n v="1"/>
    <n v="0.14000000000000001"/>
    <x v="0"/>
    <n v="0.1212"/>
    <x v="21"/>
    <x v="2"/>
    <x v="3"/>
    <x v="6"/>
    <x v="104"/>
    <x v="157"/>
  </r>
  <r>
    <n v="1153"/>
    <x v="26"/>
    <n v="1"/>
    <n v="1"/>
    <x v="5"/>
    <b v="0"/>
    <s v="Working"/>
    <n v="1"/>
    <x v="4"/>
    <n v="1"/>
    <n v="0.14000000000000001"/>
    <x v="0"/>
    <n v="0.13639999999999999"/>
    <x v="30"/>
    <x v="2"/>
    <x v="4"/>
    <x v="13"/>
    <x v="142"/>
    <x v="158"/>
  </r>
  <r>
    <n v="1154"/>
    <x v="26"/>
    <n v="1"/>
    <n v="1"/>
    <x v="6"/>
    <b v="0"/>
    <s v="Working"/>
    <n v="1"/>
    <x v="4"/>
    <n v="1"/>
    <n v="0.14000000000000001"/>
    <x v="0"/>
    <n v="0.1515"/>
    <x v="48"/>
    <x v="2"/>
    <x v="6"/>
    <x v="1"/>
    <x v="143"/>
    <x v="61"/>
  </r>
  <r>
    <n v="1155"/>
    <x v="26"/>
    <n v="1"/>
    <n v="1"/>
    <x v="7"/>
    <b v="0"/>
    <s v="Working"/>
    <n v="1"/>
    <x v="4"/>
    <n v="1"/>
    <n v="0.14000000000000001"/>
    <x v="0"/>
    <n v="0.13639999999999999"/>
    <x v="30"/>
    <x v="2"/>
    <x v="4"/>
    <x v="2"/>
    <x v="127"/>
    <x v="126"/>
  </r>
  <r>
    <n v="1156"/>
    <x v="26"/>
    <n v="1"/>
    <n v="1"/>
    <x v="8"/>
    <b v="0"/>
    <s v="Working"/>
    <n v="1"/>
    <x v="4"/>
    <n v="1"/>
    <n v="0.14000000000000001"/>
    <x v="0"/>
    <n v="0.1515"/>
    <x v="31"/>
    <x v="2"/>
    <x v="6"/>
    <x v="6"/>
    <x v="83"/>
    <x v="96"/>
  </r>
  <r>
    <n v="1157"/>
    <x v="26"/>
    <n v="1"/>
    <n v="1"/>
    <x v="9"/>
    <b v="0"/>
    <s v="Working"/>
    <n v="1"/>
    <x v="4"/>
    <n v="2"/>
    <n v="0.14000000000000001"/>
    <x v="0"/>
    <n v="0.13639999999999999"/>
    <x v="31"/>
    <x v="2"/>
    <x v="5"/>
    <x v="0"/>
    <x v="20"/>
    <x v="5"/>
  </r>
  <r>
    <n v="1158"/>
    <x v="26"/>
    <n v="1"/>
    <n v="1"/>
    <x v="17"/>
    <b v="0"/>
    <s v="Working"/>
    <n v="1"/>
    <x v="4"/>
    <n v="2"/>
    <n v="0.16"/>
    <x v="0"/>
    <n v="0.1515"/>
    <x v="27"/>
    <x v="2"/>
    <x v="3"/>
    <x v="0"/>
    <x v="144"/>
    <x v="121"/>
  </r>
  <r>
    <n v="1159"/>
    <x v="27"/>
    <n v="1"/>
    <n v="1"/>
    <x v="10"/>
    <b v="0"/>
    <s v="Working"/>
    <n v="2"/>
    <x v="2"/>
    <n v="2"/>
    <n v="0.16"/>
    <x v="0"/>
    <n v="0.13639999999999999"/>
    <x v="28"/>
    <x v="2"/>
    <x v="1"/>
    <x v="0"/>
    <x v="24"/>
    <x v="11"/>
  </r>
  <r>
    <n v="1160"/>
    <x v="27"/>
    <n v="1"/>
    <n v="1"/>
    <x v="0"/>
    <b v="0"/>
    <s v="Working"/>
    <n v="2"/>
    <x v="2"/>
    <n v="2"/>
    <n v="0.16"/>
    <x v="0"/>
    <n v="0.16669999999999999"/>
    <x v="28"/>
    <x v="2"/>
    <x v="6"/>
    <x v="12"/>
    <x v="26"/>
    <x v="25"/>
  </r>
  <r>
    <n v="1161"/>
    <x v="27"/>
    <n v="1"/>
    <n v="1"/>
    <x v="1"/>
    <b v="0"/>
    <s v="Working"/>
    <n v="2"/>
    <x v="2"/>
    <n v="1"/>
    <n v="0.16"/>
    <x v="0"/>
    <n v="0.1515"/>
    <x v="28"/>
    <x v="2"/>
    <x v="5"/>
    <x v="12"/>
    <x v="2"/>
    <x v="34"/>
  </r>
  <r>
    <n v="1162"/>
    <x v="27"/>
    <n v="1"/>
    <n v="1"/>
    <x v="22"/>
    <b v="0"/>
    <s v="Working"/>
    <n v="2"/>
    <x v="2"/>
    <n v="1"/>
    <n v="0.14000000000000001"/>
    <x v="0"/>
    <n v="0.16669999999999999"/>
    <x v="33"/>
    <x v="2"/>
    <x v="7"/>
    <x v="12"/>
    <x v="25"/>
    <x v="24"/>
  </r>
  <r>
    <n v="1163"/>
    <x v="27"/>
    <n v="1"/>
    <n v="1"/>
    <x v="18"/>
    <b v="0"/>
    <s v="Working"/>
    <n v="2"/>
    <x v="2"/>
    <n v="1"/>
    <n v="0.14000000000000001"/>
    <x v="0"/>
    <n v="0.13639999999999999"/>
    <x v="33"/>
    <x v="2"/>
    <x v="5"/>
    <x v="12"/>
    <x v="64"/>
    <x v="11"/>
  </r>
  <r>
    <n v="1164"/>
    <x v="27"/>
    <n v="1"/>
    <n v="1"/>
    <x v="19"/>
    <b v="0"/>
    <s v="Working"/>
    <n v="2"/>
    <x v="2"/>
    <n v="1"/>
    <n v="0.16"/>
    <x v="0"/>
    <n v="0.18179999999999999"/>
    <x v="33"/>
    <x v="2"/>
    <x v="7"/>
    <x v="2"/>
    <x v="42"/>
    <x v="7"/>
  </r>
  <r>
    <n v="1165"/>
    <x v="27"/>
    <n v="1"/>
    <n v="1"/>
    <x v="2"/>
    <b v="0"/>
    <s v="Working"/>
    <n v="2"/>
    <x v="2"/>
    <n v="1"/>
    <n v="0.16"/>
    <x v="0"/>
    <n v="0.1515"/>
    <x v="33"/>
    <x v="2"/>
    <x v="5"/>
    <x v="1"/>
    <x v="145"/>
    <x v="159"/>
  </r>
  <r>
    <n v="1166"/>
    <x v="27"/>
    <n v="1"/>
    <n v="1"/>
    <x v="14"/>
    <b v="0"/>
    <s v="Working"/>
    <n v="2"/>
    <x v="2"/>
    <n v="2"/>
    <n v="0.16"/>
    <x v="0"/>
    <n v="0.18179999999999999"/>
    <x v="33"/>
    <x v="2"/>
    <x v="9"/>
    <x v="1"/>
    <x v="146"/>
    <x v="160"/>
  </r>
  <r>
    <n v="1167"/>
    <x v="27"/>
    <n v="1"/>
    <n v="1"/>
    <x v="15"/>
    <b v="0"/>
    <s v="Working"/>
    <n v="2"/>
    <x v="2"/>
    <n v="2"/>
    <n v="0.2"/>
    <x v="0"/>
    <n v="0.2273"/>
    <x v="27"/>
    <x v="2"/>
    <x v="8"/>
    <x v="21"/>
    <x v="126"/>
    <x v="132"/>
  </r>
  <r>
    <n v="1168"/>
    <x v="27"/>
    <n v="1"/>
    <n v="1"/>
    <x v="12"/>
    <b v="0"/>
    <s v="Working"/>
    <n v="2"/>
    <x v="2"/>
    <n v="2"/>
    <n v="0.22"/>
    <x v="0"/>
    <n v="0.2424"/>
    <x v="54"/>
    <x v="2"/>
    <x v="7"/>
    <x v="6"/>
    <x v="49"/>
    <x v="114"/>
  </r>
  <r>
    <n v="1169"/>
    <x v="27"/>
    <n v="1"/>
    <n v="1"/>
    <x v="3"/>
    <b v="0"/>
    <s v="Working"/>
    <n v="2"/>
    <x v="2"/>
    <n v="2"/>
    <n v="0.24"/>
    <x v="0"/>
    <n v="0.2424"/>
    <x v="54"/>
    <x v="2"/>
    <x v="9"/>
    <x v="6"/>
    <x v="13"/>
    <x v="29"/>
  </r>
  <r>
    <n v="1170"/>
    <x v="27"/>
    <n v="1"/>
    <n v="1"/>
    <x v="20"/>
    <b v="0"/>
    <s v="Working"/>
    <n v="2"/>
    <x v="2"/>
    <n v="2"/>
    <n v="0.26"/>
    <x v="1"/>
    <n v="0.28789999999999999"/>
    <x v="35"/>
    <x v="2"/>
    <x v="8"/>
    <x v="27"/>
    <x v="89"/>
    <x v="61"/>
  </r>
  <r>
    <n v="1171"/>
    <x v="27"/>
    <n v="1"/>
    <n v="1"/>
    <x v="21"/>
    <b v="0"/>
    <s v="Working"/>
    <n v="2"/>
    <x v="2"/>
    <n v="2"/>
    <n v="0.26"/>
    <x v="1"/>
    <n v="0.2727"/>
    <x v="35"/>
    <x v="2"/>
    <x v="9"/>
    <x v="27"/>
    <x v="16"/>
    <x v="4"/>
  </r>
  <r>
    <n v="1172"/>
    <x v="27"/>
    <n v="1"/>
    <n v="1"/>
    <x v="23"/>
    <b v="0"/>
    <s v="Working"/>
    <n v="2"/>
    <x v="2"/>
    <n v="2"/>
    <n v="0.3"/>
    <x v="1"/>
    <n v="0.33329999999999999"/>
    <x v="50"/>
    <x v="2"/>
    <x v="0"/>
    <x v="7"/>
    <x v="96"/>
    <x v="127"/>
  </r>
  <r>
    <n v="1173"/>
    <x v="27"/>
    <n v="1"/>
    <n v="1"/>
    <x v="13"/>
    <b v="0"/>
    <s v="Working"/>
    <n v="2"/>
    <x v="2"/>
    <n v="2"/>
    <n v="0.32"/>
    <x v="1"/>
    <n v="0.34849999999999998"/>
    <x v="18"/>
    <x v="2"/>
    <x v="0"/>
    <x v="27"/>
    <x v="65"/>
    <x v="59"/>
  </r>
  <r>
    <n v="1174"/>
    <x v="27"/>
    <n v="1"/>
    <n v="1"/>
    <x v="4"/>
    <b v="0"/>
    <s v="Working"/>
    <n v="2"/>
    <x v="2"/>
    <n v="2"/>
    <n v="0.32"/>
    <x v="1"/>
    <n v="0.34849999999999998"/>
    <x v="18"/>
    <x v="2"/>
    <x v="0"/>
    <x v="23"/>
    <x v="72"/>
    <x v="155"/>
  </r>
  <r>
    <n v="1175"/>
    <x v="27"/>
    <n v="1"/>
    <n v="1"/>
    <x v="16"/>
    <b v="0"/>
    <s v="Working"/>
    <n v="2"/>
    <x v="2"/>
    <n v="1"/>
    <n v="0.3"/>
    <x v="1"/>
    <n v="0.33329999999999999"/>
    <x v="50"/>
    <x v="2"/>
    <x v="0"/>
    <x v="23"/>
    <x v="147"/>
    <x v="161"/>
  </r>
  <r>
    <n v="1176"/>
    <x v="27"/>
    <n v="1"/>
    <n v="1"/>
    <x v="5"/>
    <b v="0"/>
    <s v="Working"/>
    <n v="2"/>
    <x v="2"/>
    <n v="2"/>
    <n v="0.3"/>
    <x v="1"/>
    <n v="0.31819999999999998"/>
    <x v="37"/>
    <x v="2"/>
    <x v="8"/>
    <x v="10"/>
    <x v="148"/>
    <x v="162"/>
  </r>
  <r>
    <n v="1177"/>
    <x v="27"/>
    <n v="1"/>
    <n v="1"/>
    <x v="6"/>
    <b v="0"/>
    <s v="Working"/>
    <n v="2"/>
    <x v="2"/>
    <n v="2"/>
    <n v="0.26"/>
    <x v="1"/>
    <n v="0.2576"/>
    <x v="55"/>
    <x v="2"/>
    <x v="6"/>
    <x v="22"/>
    <x v="149"/>
    <x v="163"/>
  </r>
  <r>
    <n v="1178"/>
    <x v="27"/>
    <n v="1"/>
    <n v="1"/>
    <x v="7"/>
    <b v="0"/>
    <s v="Working"/>
    <n v="2"/>
    <x v="2"/>
    <n v="1"/>
    <n v="0.24"/>
    <x v="0"/>
    <n v="0.2273"/>
    <x v="55"/>
    <x v="2"/>
    <x v="4"/>
    <x v="19"/>
    <x v="145"/>
    <x v="164"/>
  </r>
  <r>
    <n v="1179"/>
    <x v="27"/>
    <n v="1"/>
    <n v="1"/>
    <x v="8"/>
    <b v="0"/>
    <s v="Working"/>
    <n v="2"/>
    <x v="2"/>
    <n v="1"/>
    <n v="0.24"/>
    <x v="0"/>
    <n v="0.2273"/>
    <x v="55"/>
    <x v="2"/>
    <x v="4"/>
    <x v="1"/>
    <x v="50"/>
    <x v="95"/>
  </r>
  <r>
    <n v="1180"/>
    <x v="27"/>
    <n v="1"/>
    <n v="1"/>
    <x v="9"/>
    <b v="0"/>
    <s v="Working"/>
    <n v="2"/>
    <x v="2"/>
    <n v="1"/>
    <n v="0.22"/>
    <x v="0"/>
    <n v="0.2273"/>
    <x v="27"/>
    <x v="2"/>
    <x v="6"/>
    <x v="8"/>
    <x v="49"/>
    <x v="13"/>
  </r>
  <r>
    <n v="1181"/>
    <x v="27"/>
    <n v="1"/>
    <n v="1"/>
    <x v="17"/>
    <b v="0"/>
    <s v="Working"/>
    <n v="2"/>
    <x v="2"/>
    <n v="2"/>
    <n v="0.22"/>
    <x v="0"/>
    <n v="0.2273"/>
    <x v="27"/>
    <x v="2"/>
    <x v="6"/>
    <x v="0"/>
    <x v="76"/>
    <x v="53"/>
  </r>
  <r>
    <n v="1182"/>
    <x v="9"/>
    <n v="1"/>
    <n v="1"/>
    <x v="10"/>
    <b v="0"/>
    <s v="Working"/>
    <n v="3"/>
    <x v="3"/>
    <n v="2"/>
    <n v="0.22"/>
    <x v="0"/>
    <n v="0.2273"/>
    <x v="28"/>
    <x v="2"/>
    <x v="9"/>
    <x v="0"/>
    <x v="106"/>
    <x v="10"/>
  </r>
  <r>
    <n v="1183"/>
    <x v="9"/>
    <n v="1"/>
    <n v="1"/>
    <x v="0"/>
    <b v="0"/>
    <s v="Working"/>
    <n v="3"/>
    <x v="3"/>
    <n v="2"/>
    <n v="0.24"/>
    <x v="0"/>
    <n v="0.2424"/>
    <x v="55"/>
    <x v="2"/>
    <x v="9"/>
    <x v="12"/>
    <x v="26"/>
    <x v="25"/>
  </r>
  <r>
    <n v="1184"/>
    <x v="9"/>
    <n v="1"/>
    <n v="1"/>
    <x v="1"/>
    <b v="0"/>
    <s v="Working"/>
    <n v="3"/>
    <x v="3"/>
    <n v="3"/>
    <n v="0.22"/>
    <x v="0"/>
    <n v="0.2273"/>
    <x v="28"/>
    <x v="2"/>
    <x v="4"/>
    <x v="0"/>
    <x v="23"/>
    <x v="115"/>
  </r>
  <r>
    <n v="1198"/>
    <x v="11"/>
    <n v="1"/>
    <n v="1"/>
    <x v="4"/>
    <b v="0"/>
    <s v="Working"/>
    <n v="4"/>
    <x v="6"/>
    <n v="1"/>
    <n v="0.22"/>
    <x v="0"/>
    <n v="0.2273"/>
    <x v="29"/>
    <x v="2"/>
    <x v="4"/>
    <x v="2"/>
    <x v="140"/>
    <x v="121"/>
  </r>
  <r>
    <n v="1199"/>
    <x v="11"/>
    <n v="1"/>
    <n v="1"/>
    <x v="16"/>
    <b v="0"/>
    <s v="Working"/>
    <n v="4"/>
    <x v="6"/>
    <n v="1"/>
    <n v="0.22"/>
    <x v="0"/>
    <n v="0.2424"/>
    <x v="29"/>
    <x v="2"/>
    <x v="7"/>
    <x v="9"/>
    <x v="93"/>
    <x v="59"/>
  </r>
  <r>
    <n v="1200"/>
    <x v="11"/>
    <n v="1"/>
    <n v="1"/>
    <x v="5"/>
    <b v="0"/>
    <s v="Working"/>
    <n v="4"/>
    <x v="6"/>
    <n v="1"/>
    <n v="0.2"/>
    <x v="0"/>
    <n v="0.2273"/>
    <x v="28"/>
    <x v="2"/>
    <x v="8"/>
    <x v="0"/>
    <x v="143"/>
    <x v="138"/>
  </r>
  <r>
    <n v="1201"/>
    <x v="11"/>
    <n v="1"/>
    <n v="1"/>
    <x v="6"/>
    <b v="0"/>
    <s v="Working"/>
    <n v="4"/>
    <x v="6"/>
    <n v="1"/>
    <n v="0.2"/>
    <x v="0"/>
    <n v="0.2273"/>
    <x v="28"/>
    <x v="2"/>
    <x v="8"/>
    <x v="0"/>
    <x v="101"/>
    <x v="86"/>
  </r>
  <r>
    <n v="1202"/>
    <x v="11"/>
    <n v="1"/>
    <n v="1"/>
    <x v="7"/>
    <b v="0"/>
    <s v="Working"/>
    <n v="4"/>
    <x v="6"/>
    <n v="1"/>
    <n v="0.18"/>
    <x v="0"/>
    <n v="0.21210000000000001"/>
    <x v="33"/>
    <x v="2"/>
    <x v="8"/>
    <x v="8"/>
    <x v="13"/>
    <x v="96"/>
  </r>
  <r>
    <n v="1203"/>
    <x v="11"/>
    <n v="1"/>
    <n v="1"/>
    <x v="8"/>
    <b v="0"/>
    <s v="Working"/>
    <n v="4"/>
    <x v="6"/>
    <n v="1"/>
    <n v="0.18"/>
    <x v="0"/>
    <n v="0.21210000000000001"/>
    <x v="33"/>
    <x v="2"/>
    <x v="8"/>
    <x v="9"/>
    <x v="44"/>
    <x v="57"/>
  </r>
  <r>
    <n v="1204"/>
    <x v="11"/>
    <n v="1"/>
    <n v="1"/>
    <x v="9"/>
    <b v="0"/>
    <s v="Working"/>
    <n v="4"/>
    <x v="6"/>
    <n v="1"/>
    <n v="0.18"/>
    <x v="0"/>
    <n v="0.21210000000000001"/>
    <x v="33"/>
    <x v="2"/>
    <x v="8"/>
    <x v="12"/>
    <x v="1"/>
    <x v="54"/>
  </r>
  <r>
    <n v="1206"/>
    <x v="10"/>
    <n v="1"/>
    <n v="1"/>
    <x v="10"/>
    <b v="0"/>
    <s v="Working"/>
    <n v="5"/>
    <x v="5"/>
    <n v="2"/>
    <n v="0.2"/>
    <x v="0"/>
    <n v="0.21210000000000001"/>
    <x v="10"/>
    <x v="2"/>
    <x v="9"/>
    <x v="12"/>
    <x v="64"/>
    <x v="11"/>
  </r>
  <r>
    <n v="1207"/>
    <x v="10"/>
    <n v="1"/>
    <n v="1"/>
    <x v="0"/>
    <b v="0"/>
    <s v="Working"/>
    <n v="5"/>
    <x v="5"/>
    <n v="2"/>
    <n v="0.2"/>
    <x v="0"/>
    <n v="0.21210000000000001"/>
    <x v="10"/>
    <x v="2"/>
    <x v="9"/>
    <x v="2"/>
    <x v="2"/>
    <x v="2"/>
  </r>
  <r>
    <n v="1208"/>
    <x v="10"/>
    <n v="1"/>
    <n v="1"/>
    <x v="1"/>
    <b v="0"/>
    <s v="Working"/>
    <n v="5"/>
    <x v="5"/>
    <n v="2"/>
    <n v="0.2"/>
    <x v="0"/>
    <n v="0.21210000000000001"/>
    <x v="10"/>
    <x v="2"/>
    <x v="6"/>
    <x v="12"/>
    <x v="2"/>
    <x v="34"/>
  </r>
  <r>
    <n v="1209"/>
    <x v="10"/>
    <n v="1"/>
    <n v="1"/>
    <x v="11"/>
    <b v="0"/>
    <s v="Working"/>
    <n v="5"/>
    <x v="5"/>
    <n v="2"/>
    <n v="0.2"/>
    <x v="0"/>
    <n v="0.2273"/>
    <x v="10"/>
    <x v="2"/>
    <x v="7"/>
    <x v="2"/>
    <x v="51"/>
    <x v="2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by_Days" xr10:uid="{55B8EF39-C605-4B7C-A350-15051BAC8F57}" sourceName="Week by Days">
  <data>
    <tabular pivotCacheId="924217561">
      <items count="7">
        <i x="0" s="1"/>
        <i x="4" s="1"/>
        <i x="2" s="1"/>
        <i x="3" s="1"/>
        <i x="6"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 xr10:uid="{F06753CC-4C8D-43BE-88B3-BB4D78E8C27E}" sourceName="Temperature">
  <data>
    <tabular pivotCacheId="92421756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IDITY" xr10:uid="{E021057B-9D5A-4CFB-B09A-4B2E0DE5A07B}" sourceName="HUMIDITY">
  <data>
    <tabular pivotCacheId="924217561">
      <items count="3">
        <i x="0"/>
        <i x="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dspeed" xr10:uid="{74560095-B5CF-43DF-AC27-AA840C9401C6}" sourceName="windspeed">
  <data>
    <tabular pivotCacheId="924217561">
      <items count="20">
        <i x="0" s="1"/>
        <i x="8" s="1"/>
        <i x="7" s="1"/>
        <i x="9" s="1"/>
        <i x="6" s="1"/>
        <i x="4" s="1"/>
        <i x="5" s="1"/>
        <i x="3" s="1"/>
        <i x="1" s="1"/>
        <i x="2" s="1"/>
        <i x="10" s="1"/>
        <i x="11" s="1"/>
        <i x="14" s="1"/>
        <i x="17" s="1"/>
        <i x="13" s="1"/>
        <i x="12" s="1"/>
        <i x="15" s="1"/>
        <i x="18" s="1"/>
        <i x="16"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by Days 1" xr10:uid="{2D6E5435-B87F-476F-B992-C6D189CA49C4}" cache="Slicer_Week_by_Days" caption="Week by Days" rowHeight="241300"/>
  <slicer name="Temperature 1" xr10:uid="{D87A6854-1B59-4E96-8FCA-07B96D92C460}" cache="Slicer_Temperature" caption="Temperature" rowHeight="241300"/>
  <slicer name="HUMIDITY 1" xr10:uid="{FD288E1E-0043-496F-BB1D-6207F439DE14}" cache="Slicer_HUMIDITY" caption="HUMIDITY" rowHeight="241300"/>
  <slicer name="windspeed 1" xr10:uid="{D4DC6DD4-1A69-4100-BC92-43C08DEB5BE2}" cache="Slicer_windspeed" caption="windspee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FEBD-5283-4FB2-B6F7-57A3F6659ECF}">
  <sheetPr>
    <tabColor theme="4" tint="0.39997558519241921"/>
  </sheetPr>
  <dimension ref="C2:T10"/>
  <sheetViews>
    <sheetView showGridLines="0" showRowColHeaders="0" tabSelected="1" topLeftCell="A42" workbookViewId="0">
      <selection activeCell="M62" sqref="M62"/>
    </sheetView>
  </sheetViews>
  <sheetFormatPr defaultRowHeight="15" x14ac:dyDescent="0.25"/>
  <cols>
    <col min="15" max="15" width="10.42578125" customWidth="1"/>
  </cols>
  <sheetData>
    <row r="2" spans="3:20" ht="26.25" x14ac:dyDescent="0.4">
      <c r="D2" s="9" t="s">
        <v>9</v>
      </c>
      <c r="E2" s="9"/>
      <c r="F2" s="9"/>
      <c r="G2" s="9"/>
      <c r="H2" s="9"/>
      <c r="I2" s="9"/>
      <c r="J2" s="9"/>
      <c r="K2" s="9"/>
      <c r="L2" s="9"/>
      <c r="M2" s="9"/>
      <c r="N2" s="9"/>
      <c r="O2" s="9"/>
      <c r="P2" s="10"/>
      <c r="Q2" s="10"/>
      <c r="R2" s="10"/>
      <c r="S2" s="10"/>
      <c r="T2" s="10"/>
    </row>
    <row r="3" spans="3:20" x14ac:dyDescent="0.25">
      <c r="D3" s="9"/>
      <c r="E3" s="9"/>
      <c r="F3" s="9"/>
      <c r="G3" s="9"/>
      <c r="H3" s="9"/>
      <c r="I3" s="9"/>
      <c r="J3" s="9"/>
      <c r="K3" s="9"/>
      <c r="L3" s="9"/>
      <c r="M3" s="9"/>
      <c r="N3" s="9"/>
      <c r="O3" s="9"/>
      <c r="P3" s="7"/>
      <c r="Q3" s="7"/>
      <c r="R3" s="7"/>
      <c r="S3" s="7"/>
      <c r="T3" s="7"/>
    </row>
    <row r="4" spans="3:20" ht="18.75" customHeight="1" x14ac:dyDescent="0.25">
      <c r="D4" s="8" t="s">
        <v>8</v>
      </c>
      <c r="E4" s="8"/>
      <c r="F4" s="8"/>
      <c r="G4" s="8"/>
      <c r="H4" s="8"/>
      <c r="I4" s="8"/>
      <c r="J4" s="8"/>
      <c r="K4" s="8"/>
      <c r="L4" s="8"/>
      <c r="M4" s="8"/>
      <c r="N4" s="8"/>
      <c r="O4" s="8"/>
      <c r="P4" s="7"/>
      <c r="Q4" s="7"/>
      <c r="R4" s="7"/>
      <c r="S4" s="7"/>
      <c r="T4" s="7"/>
    </row>
    <row r="5" spans="3:20" ht="15.75" thickBot="1" x14ac:dyDescent="0.3"/>
    <row r="6" spans="3:20" ht="15.75" thickBot="1" x14ac:dyDescent="0.3">
      <c r="C6" s="6" t="s">
        <v>7</v>
      </c>
      <c r="D6" s="5"/>
      <c r="E6" s="4"/>
      <c r="G6" s="6" t="s">
        <v>6</v>
      </c>
      <c r="H6" s="5"/>
      <c r="I6" s="4"/>
      <c r="K6" s="6" t="s">
        <v>5</v>
      </c>
      <c r="L6" s="5"/>
      <c r="M6" s="4"/>
      <c r="O6" s="6" t="s">
        <v>4</v>
      </c>
      <c r="P6" s="5"/>
      <c r="Q6" s="4"/>
    </row>
    <row r="7" spans="3:20" ht="21" thickBot="1" x14ac:dyDescent="0.3">
      <c r="C7" s="3">
        <f>SUM('[1]😛Sheet_B'!S2:S1195)</f>
        <v>67042</v>
      </c>
      <c r="D7" s="2"/>
      <c r="E7" s="1"/>
      <c r="G7" s="3">
        <f>AVERAGE('[1]😛Sheet_B'!S2:S1195)</f>
        <v>56.149078726968177</v>
      </c>
      <c r="H7" s="2"/>
      <c r="I7" s="1"/>
      <c r="K7" s="3">
        <f>SUM('[1]😛Sheet_B'!R2:R1195)</f>
        <v>61666</v>
      </c>
      <c r="L7" s="2"/>
      <c r="M7" s="1"/>
      <c r="O7" s="3">
        <f>SUM('[1]😛Sheet_B'!Q2:Q1195)</f>
        <v>5376</v>
      </c>
      <c r="P7" s="2"/>
      <c r="Q7" s="1"/>
    </row>
    <row r="8" spans="3:20" ht="15.75" thickBot="1" x14ac:dyDescent="0.3"/>
    <row r="9" spans="3:20" ht="15.75" thickBot="1" x14ac:dyDescent="0.3">
      <c r="C9" s="6" t="s">
        <v>3</v>
      </c>
      <c r="D9" s="5"/>
      <c r="E9" s="4"/>
      <c r="G9" s="6" t="s">
        <v>2</v>
      </c>
      <c r="H9" s="5"/>
      <c r="I9" s="4"/>
      <c r="K9" s="6" t="s">
        <v>1</v>
      </c>
      <c r="L9" s="5"/>
      <c r="M9" s="4"/>
      <c r="O9" s="6" t="s">
        <v>0</v>
      </c>
      <c r="P9" s="5"/>
      <c r="Q9" s="4"/>
    </row>
    <row r="10" spans="3:20" ht="21" thickBot="1" x14ac:dyDescent="0.3">
      <c r="C10" s="3">
        <f>INDEX([2]Analysis!B6:B29,MATCH(MAX([2]Analysis!C6:C29),[2]Analysis!C6:C29,0))</f>
        <v>7100</v>
      </c>
      <c r="D10" s="2"/>
      <c r="E10" s="1"/>
      <c r="G10" s="3">
        <f>INDEX([2]Analysis!G6:G12,MATCH(MAX([2]Analysis!H6:H12),[2]Analysis!H6:H12,0))</f>
        <v>10986</v>
      </c>
      <c r="H10" s="2"/>
      <c r="I10" s="1"/>
      <c r="K10" s="3">
        <f>CORREL('[1]😛Sheet_B'!K2:K1195,'[1]😛Sheet_B'!S2:S1195)</f>
        <v>0.21545115325251293</v>
      </c>
      <c r="L10" s="2"/>
      <c r="M10" s="1"/>
      <c r="O10" s="3">
        <f>_xlfn.STDEV.P('[1]😛Sheet_B'!S2:S1195)</f>
        <v>49.536507221719525</v>
      </c>
      <c r="P10" s="2"/>
      <c r="Q10" s="1"/>
    </row>
  </sheetData>
  <mergeCells count="18">
    <mergeCell ref="K9:M9"/>
    <mergeCell ref="O9:Q9"/>
    <mergeCell ref="C10:E10"/>
    <mergeCell ref="G10:I10"/>
    <mergeCell ref="K10:M10"/>
    <mergeCell ref="O10:Q10"/>
    <mergeCell ref="C7:E7"/>
    <mergeCell ref="G7:I7"/>
    <mergeCell ref="K7:M7"/>
    <mergeCell ref="O7:Q7"/>
    <mergeCell ref="C9:E9"/>
    <mergeCell ref="G9:I9"/>
    <mergeCell ref="D2:O3"/>
    <mergeCell ref="D4:O4"/>
    <mergeCell ref="C6:E6"/>
    <mergeCell ref="G6:I6"/>
    <mergeCell ref="K6:M6"/>
    <mergeCell ref="O6: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Arvind bhujade</dc:creator>
  <cp:lastModifiedBy>Arvind bhujade</cp:lastModifiedBy>
  <dcterms:created xsi:type="dcterms:W3CDTF">2026-07-24T17:59:59Z</dcterms:created>
  <dcterms:modified xsi:type="dcterms:W3CDTF">2026-07-24T18:00:53Z</dcterms:modified>
</cp:coreProperties>
</file>